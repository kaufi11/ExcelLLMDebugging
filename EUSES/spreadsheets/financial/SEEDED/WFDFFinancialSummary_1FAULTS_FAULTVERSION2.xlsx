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Financial summary" sheetId="1" state="visible" r:id="rId2"/>
    <sheet name="Balance Sheet" sheetId="2" state="visible" r:id="rId3"/>
    <sheet name="Stork - 2002 Expenditures" sheetId="3" state="visible" r:id="rId4"/>
    <sheet name="Stork - 2002 Receipts" sheetId="4" state="visible" r:id="rId5"/>
  </sheets>
  <definedNames>
    <definedName function="false" hidden="false" localSheetId="1" name="_xlnm.Print_Titles" vbProcedure="false">'Balance Sheet'!$A:$D,'Balance Sheet'!$1:$1</definedName>
    <definedName function="false" hidden="false" localSheetId="0" name="_xlnm.Print_Area" vbProcedure="false">'Financial summary'!$A$1:$K$51</definedName>
    <definedName function="false" hidden="false" localSheetId="0" name="_xlnm.Print_Titles" vbProcedure="false">'Financial summary'!$A:$B,'Financial summary'!$2:$2</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<sst xmlns="http://schemas.openxmlformats.org/spreadsheetml/2006/main" count="278" uniqueCount="173">
  <si>
    <t xml:space="preserve">6 months</t>
  </si>
  <si>
    <t xml:space="preserve">1998</t>
  </si>
  <si>
    <t xml:space="preserve">1999</t>
  </si>
  <si>
    <t xml:space="preserve">2000</t>
  </si>
  <si>
    <t xml:space="preserve">2001</t>
  </si>
  <si>
    <t xml:space="preserve">Beginning Cash Balance</t>
  </si>
  <si>
    <t xml:space="preserve">Note by WFDF interim treasurer Juha Jalovaara on 07/04/2003:
Attention!
Please note that the figures for 2001 have been restated compared to the material presented at Congress 2002.  2001 now shows a net loss of $4992.05 instead of the previously stated loss of $492.05.  This discrepancy was discovered shortly before Congress 2002 and discussed but not resolved there.  It is now resolved in this statement.  The problem was due to an error in transferring data while moving between two bookkeeping systems.</t>
  </si>
  <si>
    <t xml:space="preserve">Income</t>
  </si>
  <si>
    <t xml:space="preserve">Dues</t>
  </si>
  <si>
    <t xml:space="preserve">Special Sponsorship</t>
  </si>
  <si>
    <r>
      <rPr>
        <sz val="10"/>
        <color rgb="FF000000"/>
        <rFont val="Times New Roman"/>
        <family val="1"/>
      </rPr>
      <t xml:space="preserve">Sanctioning </t>
    </r>
    <r>
      <rPr>
        <vertAlign val="superscript"/>
        <sz val="10"/>
        <color rgb="FF000000"/>
        <rFont val="Times New Roman"/>
        <family val="1"/>
      </rPr>
      <t xml:space="preserve">2</t>
    </r>
  </si>
  <si>
    <t xml:space="preserve">Sponsorship</t>
  </si>
  <si>
    <t xml:space="preserve">Donations</t>
  </si>
  <si>
    <t xml:space="preserve">Interest</t>
  </si>
  <si>
    <t xml:space="preserve">Sales and Other Income</t>
  </si>
  <si>
    <t xml:space="preserve">a</t>
  </si>
  <si>
    <t xml:space="preserve">Total Income</t>
  </si>
  <si>
    <t xml:space="preserve">Expenses</t>
  </si>
  <si>
    <t xml:space="preserve">Administration</t>
  </si>
  <si>
    <t xml:space="preserve">Bank Fees</t>
  </si>
  <si>
    <t xml:space="preserve">Events inc.travel</t>
  </si>
  <si>
    <t xml:space="preserve">Member Services</t>
  </si>
  <si>
    <r>
      <rPr>
        <sz val="10"/>
        <color rgb="FF000000"/>
        <rFont val="Times New Roman"/>
        <family val="1"/>
      </rPr>
      <t xml:space="preserve">Memberships</t>
    </r>
    <r>
      <rPr>
        <vertAlign val="superscript"/>
        <sz val="10"/>
        <color rgb="FF000000"/>
        <rFont val="Times New Roman"/>
        <family val="1"/>
      </rPr>
      <t xml:space="preserve"> 3</t>
    </r>
  </si>
  <si>
    <t xml:space="preserve">Other Fees</t>
  </si>
  <si>
    <t xml:space="preserve">Outreach</t>
  </si>
  <si>
    <t xml:space="preserve">Total Expense</t>
  </si>
  <si>
    <t xml:space="preserve">Net Income/ (Loss)</t>
  </si>
  <si>
    <t xml:space="preserve">Ending Cash/Inv. Balance</t>
  </si>
  <si>
    <t xml:space="preserve">Checking Account</t>
  </si>
  <si>
    <t xml:space="preserve">Money Market</t>
  </si>
  <si>
    <t xml:space="preserve">Loan to Event Organizer</t>
  </si>
  <si>
    <t xml:space="preserve">Difference</t>
  </si>
  <si>
    <t xml:space="preserve">Notes</t>
  </si>
  <si>
    <t xml:space="preserve">Statement prepared under cash basis accounting; certain accounts have been reclassified on a historical basis for consistency.</t>
  </si>
  <si>
    <t xml:space="preserve">Sanctioning fees charged to participants at WFDF events of approximately US$7.50 per person;  events include:  1998 WUGC;</t>
  </si>
  <si>
    <t xml:space="preserve">1999 WUCC/WOC; 2000 WUGC; 2001 World Games/WOC.</t>
  </si>
  <si>
    <t xml:space="preserve">Fees for GAISF and IWGA memberships.</t>
  </si>
  <si>
    <t xml:space="preserve">Fees of SEK 80,673 (US$10,000) for  _______ and US$3,000 for ______.</t>
  </si>
  <si>
    <t xml:space="preserve">Sponsorship from Worldsport.com (now defunct).</t>
  </si>
  <si>
    <t xml:space="preserve">Sponsorship from Innova and Wham-O.</t>
  </si>
  <si>
    <t xml:space="preserve">Administrative Expenses includes part-time salary of US$ 6,000 p.a. in 1999-2001 and US$ 12,000 p.a. in 2002.</t>
  </si>
  <si>
    <t xml:space="preserve">Includes loan of US$5,000 to 2002 WUCC organizers.  Repayment shows in sales and income, payment in  Events.</t>
  </si>
  <si>
    <t xml:space="preserve">Represents grant to NEFA for Juniors program.</t>
  </si>
  <si>
    <t xml:space="preserve">Dec 31, '99</t>
  </si>
  <si>
    <t xml:space="preserve">Dec 31, '00</t>
  </si>
  <si>
    <t xml:space="preserve">Dec 31, '01</t>
  </si>
  <si>
    <t xml:space="preserve">Dec 31, '02</t>
  </si>
  <si>
    <t xml:space="preserve">ASSETS</t>
  </si>
  <si>
    <t xml:space="preserve">Current Assets</t>
  </si>
  <si>
    <t xml:space="preserve">Total Checking/Savings</t>
  </si>
  <si>
    <t xml:space="preserve">Money Market (Savings)</t>
  </si>
  <si>
    <t xml:space="preserve">Total Current Assets</t>
  </si>
  <si>
    <t xml:space="preserve">TOTAL ASSETS</t>
  </si>
  <si>
    <t xml:space="preserve">LIABILITIES &amp; EQUITY</t>
  </si>
  <si>
    <t xml:space="preserve">Equity</t>
  </si>
  <si>
    <t xml:space="preserve">Opening Bal Equity</t>
  </si>
  <si>
    <t xml:space="preserve">Retained Earnings</t>
  </si>
  <si>
    <t xml:space="preserve">Net Income</t>
  </si>
  <si>
    <t xml:space="preserve">Total Equity</t>
  </si>
  <si>
    <t xml:space="preserve">TOTAL LIABILITIES &amp; EQUITY</t>
  </si>
  <si>
    <t xml:space="preserve">WFDF 2002 Statement of Receipts and Expenditures</t>
  </si>
  <si>
    <t xml:space="preserve">(sheet 2)</t>
  </si>
  <si>
    <t xml:space="preserve">rev. 7/3/03</t>
  </si>
  <si>
    <t xml:space="preserve">Expenditures</t>
  </si>
  <si>
    <t xml:space="preserve">Date</t>
  </si>
  <si>
    <t xml:space="preserve">Type</t>
  </si>
  <si>
    <t xml:space="preserve">Total Expended</t>
  </si>
  <si>
    <t xml:space="preserve">Fees</t>
  </si>
  <si>
    <t xml:space="preserve">memo</t>
  </si>
  <si>
    <t xml:space="preserve">Events</t>
  </si>
  <si>
    <t xml:space="preserve">Mem Serv.</t>
  </si>
  <si>
    <t xml:space="preserve">Services</t>
  </si>
  <si>
    <t xml:space="preserve">Marketing</t>
  </si>
  <si>
    <t xml:space="preserve">Sp. Projects</t>
  </si>
  <si>
    <t xml:space="preserve">Other</t>
  </si>
  <si>
    <t xml:space="preserve">ck 1340</t>
  </si>
  <si>
    <t xml:space="preserve">UPA pc</t>
  </si>
  <si>
    <t xml:space="preserve">ck 1335</t>
  </si>
  <si>
    <t xml:space="preserve">WUCC Loan</t>
  </si>
  <si>
    <t xml:space="preserve">ck 1341</t>
  </si>
  <si>
    <t xml:space="preserve">P. Eriksson WG</t>
  </si>
  <si>
    <t xml:space="preserve">Bk transfer</t>
  </si>
  <si>
    <t xml:space="preserve">IWGA 2002</t>
  </si>
  <si>
    <t xml:space="preserve">Bk fee</t>
  </si>
  <si>
    <t xml:space="preserve">Payment fee</t>
  </si>
  <si>
    <t xml:space="preserve">GAISF 2002</t>
  </si>
  <si>
    <t xml:space="preserve">Dues transfer fee</t>
  </si>
  <si>
    <t xml:space="preserve">ck 1343</t>
  </si>
  <si>
    <t xml:space="preserve">Fr. Range Internet</t>
  </si>
  <si>
    <t xml:space="preserve">ck 1342</t>
  </si>
  <si>
    <t xml:space="preserve">B. Wright Internet</t>
  </si>
  <si>
    <t xml:space="preserve">ck 1344</t>
  </si>
  <si>
    <t xml:space="preserve">DR Q1 ED fee</t>
  </si>
  <si>
    <t xml:space="preserve">ck 1346</t>
  </si>
  <si>
    <t xml:space="preserve">Jr. Grant NEFA</t>
  </si>
  <si>
    <t xml:space="preserve">ck 1348</t>
  </si>
  <si>
    <t xml:space="preserve">DR Q2 ED fee</t>
  </si>
  <si>
    <t xml:space="preserve">ck 1349</t>
  </si>
  <si>
    <t xml:space="preserve">DR Cong Exp</t>
  </si>
  <si>
    <t xml:space="preserve">Medal engrav</t>
  </si>
  <si>
    <t xml:space="preserve">Payment fee </t>
  </si>
  <si>
    <t xml:space="preserve">ck 1350</t>
  </si>
  <si>
    <t xml:space="preserve">Cash from DR to JG</t>
  </si>
  <si>
    <t xml:space="preserve">CM01/02fees</t>
  </si>
  <si>
    <t xml:space="preserve">Pet. Cash BW</t>
  </si>
  <si>
    <t xml:space="preserve">ck 1347</t>
  </si>
  <si>
    <t xml:space="preserve">D&amp;O Insurance</t>
  </si>
  <si>
    <t xml:space="preserve">Medal pmt. foul up</t>
  </si>
  <si>
    <t xml:space="preserve">ck 1351</t>
  </si>
  <si>
    <t xml:space="preserve">Cong Facil. Exp.</t>
  </si>
  <si>
    <t xml:space="preserve">ck 1354</t>
  </si>
  <si>
    <t xml:space="preserve">BW Con Print</t>
  </si>
  <si>
    <t xml:space="preserve">auto wd</t>
  </si>
  <si>
    <t xml:space="preserve">ck 1353</t>
  </si>
  <si>
    <t xml:space="preserve">Cong Facil Exp.</t>
  </si>
  <si>
    <t xml:space="preserve">ck 1352</t>
  </si>
  <si>
    <t xml:space="preserve">JG Con Exp</t>
  </si>
  <si>
    <t xml:space="preserve">ck 1355</t>
  </si>
  <si>
    <t xml:space="preserve">MH Con Exp</t>
  </si>
  <si>
    <t xml:space="preserve">ck 1356</t>
  </si>
  <si>
    <t xml:space="preserve">118.52 not cashed</t>
  </si>
  <si>
    <t xml:space="preserve">JG/BW Con Exp</t>
  </si>
  <si>
    <t xml:space="preserve">ck 1357</t>
  </si>
  <si>
    <t xml:space="preserve">DR Q3 ED fee</t>
  </si>
  <si>
    <t xml:space="preserve">ck 1358</t>
  </si>
  <si>
    <t xml:space="preserve">DR Q4 ED fee</t>
  </si>
  <si>
    <t xml:space="preserve">Totals</t>
  </si>
  <si>
    <t xml:space="preserve">Net as of  7/3/03:</t>
  </si>
  <si>
    <t xml:space="preserve">Congress expenses total</t>
  </si>
  <si>
    <t xml:space="preserve">Receipts</t>
  </si>
  <si>
    <t xml:space="preserve">Net as of 7/3/03:</t>
  </si>
  <si>
    <t xml:space="preserve">(sheet 1)</t>
  </si>
  <si>
    <t xml:space="preserve">Total Received</t>
  </si>
  <si>
    <t xml:space="preserve">Licensing</t>
  </si>
  <si>
    <t xml:space="preserve">Sanctioning</t>
  </si>
  <si>
    <t xml:space="preserve">Bk trans</t>
  </si>
  <si>
    <t xml:space="preserve">Norway 99/00/01/02</t>
  </si>
  <si>
    <t xml:space="preserve">Norway credit</t>
  </si>
  <si>
    <t xml:space="preserve">Deposit</t>
  </si>
  <si>
    <t xml:space="preserve">Ireland (A) 01/02</t>
  </si>
  <si>
    <t xml:space="preserve">Sweden 02 OK</t>
  </si>
  <si>
    <t xml:space="preserve">Titcomb Jrs.</t>
  </si>
  <si>
    <t xml:space="preserve">UPA (O) 02 OK</t>
  </si>
  <si>
    <t xml:space="preserve">Petty cash</t>
  </si>
  <si>
    <t xml:space="preserve">Belgium 02</t>
  </si>
  <si>
    <t xml:space="preserve">France 01/02</t>
  </si>
  <si>
    <t xml:space="preserve">Spain 02</t>
  </si>
  <si>
    <t xml:space="preserve">Canada 02</t>
  </si>
  <si>
    <t xml:space="preserve">PDGA 99/00/01/02</t>
  </si>
  <si>
    <t xml:space="preserve">Brazil (A) 01/02</t>
  </si>
  <si>
    <t xml:space="preserve">Japan 02</t>
  </si>
  <si>
    <t xml:space="preserve">Mexico 02</t>
  </si>
  <si>
    <t xml:space="preserve">UK O2</t>
  </si>
  <si>
    <t xml:space="preserve">Australia 01/02</t>
  </si>
  <si>
    <t xml:space="preserve">Germany 02</t>
  </si>
  <si>
    <t xml:space="preserve">CZ Republic 02 OK</t>
  </si>
  <si>
    <t xml:space="preserve">Hong Kong 01</t>
  </si>
  <si>
    <t xml:space="preserve">S. Africa (A) 01/02 WL</t>
  </si>
  <si>
    <t xml:space="preserve">Denmark 02</t>
  </si>
  <si>
    <t xml:space="preserve">WUCC 02 Repay</t>
  </si>
  <si>
    <t xml:space="preserve">FPA 99/00/01/02 OK</t>
  </si>
  <si>
    <t xml:space="preserve">Switzerland 02</t>
  </si>
  <si>
    <t xml:space="preserve">Austrla 01/02</t>
  </si>
  <si>
    <t xml:space="preserve">Hong Kong 02</t>
  </si>
  <si>
    <t xml:space="preserve">Italy 02</t>
  </si>
  <si>
    <t xml:space="preserve">ROC O2 OK</t>
  </si>
  <si>
    <t xml:space="preserve">Russia (A) PE</t>
  </si>
  <si>
    <t xml:space="preserve">Latvia Jrs.</t>
  </si>
  <si>
    <t xml:space="preserve">UPA Grant</t>
  </si>
  <si>
    <t xml:space="preserve">Venezuela 02</t>
  </si>
  <si>
    <t xml:space="preserve">WUCC 2002</t>
  </si>
  <si>
    <t xml:space="preserve">Finland*</t>
  </si>
  <si>
    <t xml:space="preserve">MM int.</t>
  </si>
</sst>
</file>

<file path=xl/styles.xml><?xml version="1.0" encoding="utf-8"?>
<styleSheet xmlns="http://schemas.openxmlformats.org/spreadsheetml/2006/main">
  <numFmts count="12">
    <numFmt numFmtId="164" formatCode="General"/>
    <numFmt numFmtId="165" formatCode="\$#,##0.00_);[RED]&quot;($&quot;#,##0.00\)"/>
    <numFmt numFmtId="166" formatCode="@"/>
    <numFmt numFmtId="167" formatCode="0_);\(0\)"/>
    <numFmt numFmtId="168" formatCode="\$#,##0.00_);&quot;($&quot;#,##0.00\)"/>
    <numFmt numFmtId="169" formatCode="\$#,##0_);&quot;($&quot;#,##0\)"/>
    <numFmt numFmtId="170" formatCode="\$#,##0.00"/>
    <numFmt numFmtId="171" formatCode="0.00"/>
    <numFmt numFmtId="172" formatCode="0"/>
    <numFmt numFmtId="173" formatCode="#,##0.00"/>
    <numFmt numFmtId="174" formatCode="#,##0.00;\-#,##0.00"/>
    <numFmt numFmtId="175" formatCode="mm/dd/yy"/>
  </numFmts>
  <fonts count="25">
    <font>
      <sz val="10"/>
      <name val="Arial"/>
      <family val="0"/>
    </font>
    <font>
      <sz val="10"/>
      <name val="Arial"/>
      <family val="0"/>
    </font>
    <font>
      <sz val="10"/>
      <name val="Arial"/>
      <family val="0"/>
    </font>
    <font>
      <sz val="10"/>
      <name val="Arial"/>
      <family val="0"/>
    </font>
    <font>
      <sz val="9"/>
      <name val="Geneva"/>
      <family val="0"/>
    </font>
    <font>
      <b val="true"/>
      <sz val="10"/>
      <color rgb="FF000000"/>
      <name val="Times New Roman"/>
      <family val="1"/>
    </font>
    <font>
      <sz val="10"/>
      <name val="Times New Roman"/>
      <family val="1"/>
    </font>
    <font>
      <b val="true"/>
      <sz val="10"/>
      <name val="Times New Roman"/>
      <family val="0"/>
    </font>
    <font>
      <sz val="10"/>
      <color rgb="FF000000"/>
      <name val="Times New Roman"/>
      <family val="1"/>
    </font>
    <font>
      <vertAlign val="superscript"/>
      <sz val="10"/>
      <color rgb="FF000000"/>
      <name val="Times New Roman"/>
      <family val="1"/>
    </font>
    <font>
      <sz val="8"/>
      <name val="Times New Roman"/>
      <family val="1"/>
    </font>
    <font>
      <b val="true"/>
      <sz val="10"/>
      <name val="Times New Roman"/>
      <family val="1"/>
    </font>
    <font>
      <b val="true"/>
      <i val="true"/>
      <sz val="10"/>
      <color rgb="FFFF0000"/>
      <name val="Times New Roman"/>
      <family val="1"/>
    </font>
    <font>
      <b val="true"/>
      <sz val="10"/>
      <color rgb="FFFF0000"/>
      <name val="Times New Roman"/>
      <family val="1"/>
    </font>
    <font>
      <b val="true"/>
      <i val="true"/>
      <sz val="10"/>
      <color rgb="FFFF0000"/>
      <name val="Times New Roman"/>
      <family val="0"/>
    </font>
    <font>
      <sz val="8"/>
      <color rgb="FF000000"/>
      <name val="Times New Roman"/>
      <family val="1"/>
    </font>
    <font>
      <vertAlign val="superscript"/>
      <sz val="8"/>
      <color rgb="FF000000"/>
      <name val="Times New Roman"/>
      <family val="1"/>
    </font>
    <font>
      <sz val="9"/>
      <color rgb="FF000000"/>
      <name val="Times New Roman"/>
      <family val="0"/>
    </font>
    <font>
      <b val="true"/>
      <sz val="8"/>
      <color rgb="FF000000"/>
      <name val="Times New Roman"/>
      <family val="1"/>
    </font>
    <font>
      <b val="true"/>
      <sz val="12"/>
      <color rgb="FFFF0000"/>
      <name val="Geneva"/>
      <family val="0"/>
    </font>
    <font>
      <sz val="12"/>
      <name val="Geneva"/>
      <family val="0"/>
    </font>
    <font>
      <b val="true"/>
      <sz val="9"/>
      <name val="Geneva"/>
      <family val="0"/>
    </font>
    <font>
      <b val="true"/>
      <sz val="9"/>
      <color rgb="FFFF0000"/>
      <name val="Geneva"/>
      <family val="0"/>
    </font>
    <font>
      <u val="single"/>
      <sz val="9"/>
      <name val="Geneva"/>
      <family val="0"/>
    </font>
    <font>
      <sz val="12"/>
      <color rgb="FFFF0000"/>
      <name val="Geneva"/>
      <family val="0"/>
    </font>
  </fonts>
  <fills count="4">
    <fill>
      <patternFill patternType="none"/>
    </fill>
    <fill>
      <patternFill patternType="gray125"/>
    </fill>
    <fill>
      <patternFill patternType="solid">
        <fgColor rgb="FFFF99CC"/>
        <bgColor rgb="FFFF8080"/>
      </patternFill>
    </fill>
    <fill>
      <patternFill patternType="solid">
        <fgColor rgb="FFCCFFCC"/>
        <bgColor rgb="FFCCFFFF"/>
      </patternFill>
    </fill>
  </fills>
  <borders count="13">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bottom style="thin"/>
      <diagonal/>
    </border>
    <border diagonalUp="false" diagonalDown="false">
      <left/>
      <right/>
      <top style="thin"/>
      <bottom/>
      <diagonal/>
    </border>
    <border diagonalUp="false" diagonalDown="false">
      <left/>
      <right/>
      <top style="double"/>
      <bottom/>
      <diagonal/>
    </border>
    <border diagonalUp="false" diagonalDown="false">
      <left/>
      <right/>
      <top/>
      <bottom style="double"/>
      <diagonal/>
    </border>
    <border diagonalUp="false" diagonalDown="false">
      <left/>
      <right/>
      <top style="double"/>
      <bottom style="thin"/>
      <diagonal/>
    </border>
    <border diagonalUp="false" diagonalDown="false">
      <left/>
      <right/>
      <top/>
      <bottom style="thick"/>
      <diagonal/>
    </border>
    <border diagonalUp="false" diagonalDown="false">
      <left/>
      <right/>
      <top style="medium"/>
      <bottom style="medium"/>
      <diagonal/>
    </border>
    <border diagonalUp="false" diagonalDown="false">
      <left/>
      <right/>
      <top/>
      <bottom style="medium"/>
      <diagonal/>
    </border>
    <border diagonalUp="false" diagonalDown="false">
      <left/>
      <right/>
      <top style="medium"/>
      <bottom style="double"/>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3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center" vertical="bottom" textRotation="0" wrapText="false" indent="0" shrinkToFit="false"/>
      <protection locked="true" hidden="false"/>
    </xf>
    <xf numFmtId="166" fontId="5" fillId="0" borderId="0" xfId="0" applyFont="true" applyBorder="true" applyAlignment="true" applyProtection="false">
      <alignment horizontal="center" vertical="bottom" textRotation="0" wrapText="false" indent="0" shrinkToFit="false"/>
      <protection locked="true" hidden="false"/>
    </xf>
    <xf numFmtId="167" fontId="5" fillId="0" borderId="0"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left" vertical="bottom" textRotation="0" wrapText="false" indent="0" shrinkToFit="false"/>
      <protection locked="true" hidden="false"/>
    </xf>
    <xf numFmtId="166" fontId="5" fillId="0" borderId="2" xfId="0" applyFont="true" applyBorder="true" applyAlignment="true" applyProtection="false">
      <alignment horizontal="center" vertical="bottom" textRotation="0" wrapText="false" indent="0" shrinkToFit="false"/>
      <protection locked="true" hidden="false"/>
    </xf>
    <xf numFmtId="168" fontId="5" fillId="0" borderId="2" xfId="0" applyFont="true" applyBorder="true" applyAlignment="false" applyProtection="false">
      <alignment horizontal="general" vertical="bottom" textRotation="0" wrapText="false" indent="0" shrinkToFit="false"/>
      <protection locked="true" hidden="false"/>
    </xf>
    <xf numFmtId="169" fontId="5" fillId="0" borderId="2"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left" vertical="bottom" textRotation="0" wrapText="false" indent="0" shrinkToFit="false"/>
      <protection locked="true" hidden="false"/>
    </xf>
    <xf numFmtId="165" fontId="7" fillId="0" borderId="2" xfId="0" applyFont="true" applyBorder="true" applyAlignment="tru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65" fontId="7" fillId="0" borderId="3" xfId="0" applyFont="true" applyBorder="true" applyAlignment="true" applyProtection="true">
      <alignment horizontal="right" vertical="bottom" textRotation="0" wrapText="false" indent="0" shrinkToFit="false"/>
      <protection locked="false" hidden="false"/>
    </xf>
    <xf numFmtId="164" fontId="6" fillId="0" borderId="0" xfId="0" applyFont="true" applyBorder="true" applyAlignment="true" applyProtection="false">
      <alignment horizontal="left" vertical="top" textRotation="0" wrapText="true" indent="0" shrinkToFit="false"/>
      <protection locked="true" hidden="false"/>
    </xf>
    <xf numFmtId="168" fontId="8" fillId="0" borderId="0" xfId="0" applyFont="true" applyBorder="true" applyAlignment="false" applyProtection="false">
      <alignment horizontal="general" vertical="bottom" textRotation="0" wrapText="false" indent="0" shrinkToFit="false"/>
      <protection locked="true" hidden="false"/>
    </xf>
    <xf numFmtId="169" fontId="8" fillId="0" borderId="0" xfId="0" applyFont="true" applyBorder="true" applyAlignment="false" applyProtection="false">
      <alignment horizontal="general" vertical="bottom" textRotation="0" wrapText="false" indent="0" shrinkToFit="false"/>
      <protection locked="true" hidden="false"/>
    </xf>
    <xf numFmtId="168" fontId="5" fillId="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left" vertical="bottom" textRotation="0" wrapText="false" indent="0" shrinkToFit="false"/>
      <protection locked="true" hidden="false"/>
    </xf>
    <xf numFmtId="170" fontId="6" fillId="0" borderId="0" xfId="0" applyFont="true" applyBorder="false" applyAlignment="true" applyProtection="false">
      <alignment horizontal="center"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tru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true" applyAlignment="true" applyProtection="false">
      <alignment horizontal="right" vertical="bottom" textRotation="0" wrapText="false" indent="0" shrinkToFit="false"/>
      <protection locked="true" hidden="false"/>
    </xf>
    <xf numFmtId="168" fontId="6" fillId="0" borderId="0" xfId="0" applyFont="true" applyBorder="tru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71" fontId="10" fillId="0" borderId="0" xfId="22" applyFont="true" applyBorder="false" applyAlignment="false" applyProtection="false">
      <alignment horizontal="general" vertical="bottom" textRotation="0" wrapText="false" indent="0" shrinkToFit="false"/>
      <protection locked="true" hidden="false"/>
    </xf>
    <xf numFmtId="168" fontId="8" fillId="0" borderId="4" xfId="0" applyFont="true" applyBorder="true" applyAlignment="false" applyProtection="false">
      <alignment horizontal="general" vertical="bottom" textRotation="0" wrapText="false" indent="0" shrinkToFit="false"/>
      <protection locked="true" hidden="false"/>
    </xf>
    <xf numFmtId="165" fontId="6" fillId="0" borderId="4"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3" fontId="6" fillId="0" borderId="4" xfId="0" applyFont="true" applyBorder="tru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tru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8" fontId="5" fillId="0" borderId="4" xfId="0" applyFont="true" applyBorder="true" applyAlignment="false" applyProtection="false">
      <alignment horizontal="general" vertical="bottom" textRotation="0" wrapText="false" indent="0" shrinkToFit="false"/>
      <protection locked="true" hidden="false"/>
    </xf>
    <xf numFmtId="166" fontId="5" fillId="0" borderId="0" xfId="0" applyFont="true" applyBorder="true" applyAlignment="false" applyProtection="false">
      <alignment horizontal="general" vertical="bottom" textRotation="0" wrapText="false" indent="0" shrinkToFit="false"/>
      <protection locked="true" hidden="false"/>
    </xf>
    <xf numFmtId="165" fontId="6" fillId="0" borderId="5" xfId="0" applyFont="true" applyBorder="true" applyAlignment="false" applyProtection="false">
      <alignment horizontal="general" vertical="bottom" textRotation="0" wrapText="false" indent="0" shrinkToFit="false"/>
      <protection locked="true" hidden="false"/>
    </xf>
    <xf numFmtId="170" fontId="6" fillId="0" borderId="5"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5" xfId="0" applyFont="true" applyBorder="true" applyAlignment="false" applyProtection="false">
      <alignment horizontal="general" vertical="bottom" textRotation="0" wrapText="false" indent="0" shrinkToFit="false"/>
      <protection locked="true" hidden="false"/>
    </xf>
    <xf numFmtId="170" fontId="5" fillId="0" borderId="6"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0" fontId="5" fillId="0" borderId="5" xfId="0" applyFont="true" applyBorder="true" applyAlignment="false" applyProtection="false">
      <alignment horizontal="general" vertical="bottom" textRotation="0" wrapText="false" indent="0" shrinkToFit="false"/>
      <protection locked="true" hidden="false"/>
    </xf>
    <xf numFmtId="165" fontId="7" fillId="0" borderId="4" xfId="0" applyFont="true" applyBorder="tru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8" fontId="5" fillId="0" borderId="7" xfId="0" applyFont="true" applyBorder="true" applyAlignment="false" applyProtection="false">
      <alignment horizontal="general" vertical="bottom" textRotation="0" wrapText="false" indent="0" shrinkToFit="false"/>
      <protection locked="true" hidden="false"/>
    </xf>
    <xf numFmtId="165" fontId="6" fillId="0" borderId="8" xfId="0" applyFont="true" applyBorder="true" applyAlignment="false" applyProtection="false">
      <alignment horizontal="general" vertical="bottom" textRotation="0" wrapText="false" indent="0" shrinkToFit="false"/>
      <protection locked="true" hidden="false"/>
    </xf>
    <xf numFmtId="170" fontId="6" fillId="0" borderId="6"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8" fontId="11" fillId="0" borderId="2" xfId="0" applyFont="true" applyBorder="true" applyAlignment="false" applyProtection="false">
      <alignment horizontal="general" vertical="bottom" textRotation="0" wrapText="false" indent="0" shrinkToFit="false"/>
      <protection locked="true" hidden="false"/>
    </xf>
    <xf numFmtId="165" fontId="7" fillId="0" borderId="2" xfId="0" applyFont="tru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70" fontId="7" fillId="0" borderId="3" xfId="0" applyFont="true" applyBorder="tru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8" fontId="12" fillId="0" borderId="2" xfId="0" applyFont="tru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4" fontId="12" fillId="0" borderId="2" xfId="0" applyFont="true" applyBorder="true" applyAlignment="false" applyProtection="false">
      <alignment horizontal="general" vertical="bottom" textRotation="0" wrapText="false" indent="0" shrinkToFit="false"/>
      <protection locked="true" hidden="false"/>
    </xf>
    <xf numFmtId="164" fontId="12" fillId="0" borderId="2" xfId="0" applyFont="true" applyBorder="true" applyAlignment="false" applyProtection="false">
      <alignment horizontal="general" vertical="bottom" textRotation="0" wrapText="false" indent="0" shrinkToFit="false"/>
      <protection locked="true" hidden="false"/>
    </xf>
    <xf numFmtId="165" fontId="14" fillId="0" borderId="2" xfId="0" applyFont="true" applyBorder="true" applyAlignment="false" applyProtection="false">
      <alignment horizontal="general" vertical="bottom" textRotation="0" wrapText="false" indent="0" shrinkToFit="false"/>
      <protection locked="true" hidden="false"/>
    </xf>
    <xf numFmtId="165" fontId="14" fillId="0" borderId="3"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right"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true" applyProtection="false">
      <alignment horizontal="center" vertical="bottom" textRotation="0" wrapText="false" indent="0" shrinkToFit="false"/>
      <protection locked="true" hidden="false"/>
    </xf>
    <xf numFmtId="166" fontId="18" fillId="0" borderId="9" xfId="0" applyFont="true" applyBorder="true" applyAlignment="true" applyProtection="false">
      <alignment horizontal="center" vertical="bottom" textRotation="0" wrapText="fals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74" fontId="15" fillId="0" borderId="0" xfId="0" applyFont="true" applyBorder="false" applyAlignment="false" applyProtection="false">
      <alignment horizontal="general" vertical="bottom" textRotation="0" wrapText="false" indent="0" shrinkToFit="false"/>
      <protection locked="true" hidden="false"/>
    </xf>
    <xf numFmtId="174" fontId="15" fillId="0" borderId="1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4" fontId="15" fillId="0" borderId="11" xfId="0" applyFont="true" applyBorder="true" applyAlignment="false" applyProtection="false">
      <alignment horizontal="general" vertical="bottom" textRotation="0" wrapText="false" indent="0" shrinkToFit="false"/>
      <protection locked="true" hidden="false"/>
    </xf>
    <xf numFmtId="174" fontId="18" fillId="0" borderId="12" xfId="0" applyFont="true" applyBorder="true" applyAlignment="false" applyProtection="false">
      <alignment horizontal="general" vertical="bottom" textRotation="0" wrapText="false" indent="0" shrinkToFit="false"/>
      <protection locked="true" hidden="false"/>
    </xf>
    <xf numFmtId="174" fontId="18" fillId="0" borderId="0" xfId="0" applyFont="true" applyBorder="true" applyAlignment="false" applyProtection="false">
      <alignment horizontal="general" vertical="bottom" textRotation="0" wrapText="false" indent="0" shrinkToFit="false"/>
      <protection locked="true" hidden="false"/>
    </xf>
    <xf numFmtId="175" fontId="4" fillId="0" borderId="0" xfId="20" applyFont="false" applyBorder="false" applyAlignment="true" applyProtection="false">
      <alignment horizontal="center" vertical="bottom" textRotation="0" wrapText="false" indent="0" shrinkToFit="false"/>
      <protection locked="true" hidden="false"/>
    </xf>
    <xf numFmtId="164" fontId="4" fillId="0" borderId="0" xfId="20" applyFont="false" applyBorder="false" applyAlignment="true" applyProtection="false">
      <alignment horizontal="center" vertical="bottom" textRotation="0" wrapText="false" indent="0" shrinkToFit="false"/>
      <protection locked="true" hidden="false"/>
    </xf>
    <xf numFmtId="164" fontId="4" fillId="0" borderId="0" xfId="20" applyFont="false" applyBorder="false" applyAlignment="false" applyProtection="false">
      <alignment horizontal="general" vertical="bottom" textRotation="0" wrapText="false" indent="0" shrinkToFit="false"/>
      <protection locked="true" hidden="false"/>
    </xf>
    <xf numFmtId="175" fontId="19" fillId="2" borderId="0" xfId="20" applyFont="true" applyBorder="false" applyAlignment="true" applyProtection="false">
      <alignment horizontal="left" vertical="bottom" textRotation="0" wrapText="false" indent="0" shrinkToFit="false"/>
      <protection locked="true" hidden="false"/>
    </xf>
    <xf numFmtId="164" fontId="20" fillId="2" borderId="0" xfId="20" applyFont="true" applyBorder="false" applyAlignment="true" applyProtection="false">
      <alignment horizontal="center" vertical="bottom" textRotation="0" wrapText="false" indent="0" shrinkToFit="false"/>
      <protection locked="true" hidden="false"/>
    </xf>
    <xf numFmtId="164" fontId="20" fillId="2" borderId="0" xfId="20" applyFont="true" applyBorder="false" applyAlignment="false" applyProtection="false">
      <alignment horizontal="general" vertical="bottom" textRotation="0" wrapText="false" indent="0" shrinkToFit="false"/>
      <protection locked="true" hidden="false"/>
    </xf>
    <xf numFmtId="164" fontId="4" fillId="2" borderId="0" xfId="20" applyFont="false" applyBorder="false" applyAlignment="true" applyProtection="false">
      <alignment horizontal="center" vertical="bottom" textRotation="0" wrapText="false" indent="0" shrinkToFit="false"/>
      <protection locked="true" hidden="false"/>
    </xf>
    <xf numFmtId="164" fontId="4" fillId="2" borderId="0" xfId="20" applyFont="true" applyBorder="false" applyAlignment="true" applyProtection="false">
      <alignment horizontal="center" vertical="bottom" textRotation="0" wrapText="false" indent="0" shrinkToFit="false"/>
      <protection locked="true" hidden="false"/>
    </xf>
    <xf numFmtId="164" fontId="4" fillId="2" borderId="0" xfId="20" applyFont="false" applyBorder="false" applyAlignment="false" applyProtection="false">
      <alignment horizontal="general" vertical="bottom" textRotation="0" wrapText="false" indent="0" shrinkToFit="false"/>
      <protection locked="true" hidden="false"/>
    </xf>
    <xf numFmtId="175" fontId="4" fillId="2" borderId="0" xfId="20" applyFont="false" applyBorder="false" applyAlignment="true" applyProtection="false">
      <alignment horizontal="center" vertical="bottom" textRotation="0" wrapText="false" indent="0" shrinkToFit="false"/>
      <protection locked="true" hidden="false"/>
    </xf>
    <xf numFmtId="175" fontId="21" fillId="2" borderId="0" xfId="20" applyFont="true" applyBorder="false" applyAlignment="true" applyProtection="false">
      <alignment horizontal="center" vertical="bottom" textRotation="0" wrapText="false" indent="0" shrinkToFit="false"/>
      <protection locked="true" hidden="false"/>
    </xf>
    <xf numFmtId="164" fontId="21" fillId="2" borderId="0" xfId="20" applyFont="true" applyBorder="false" applyAlignment="true" applyProtection="false">
      <alignment horizontal="center" vertical="bottom" textRotation="0" wrapText="false" indent="0" shrinkToFit="false"/>
      <protection locked="true" hidden="false"/>
    </xf>
    <xf numFmtId="164" fontId="21" fillId="2" borderId="0" xfId="20" applyFont="true" applyBorder="false" applyAlignment="false" applyProtection="false">
      <alignment horizontal="general" vertical="bottom" textRotation="0" wrapText="false" indent="0" shrinkToFit="false"/>
      <protection locked="true" hidden="false"/>
    </xf>
    <xf numFmtId="175" fontId="21" fillId="0" borderId="0" xfId="20" applyFont="true" applyBorder="false" applyAlignment="true" applyProtection="false">
      <alignment horizontal="center" vertical="bottom" textRotation="0" wrapText="false" indent="0" shrinkToFit="false"/>
      <protection locked="true" hidden="false"/>
    </xf>
    <xf numFmtId="164" fontId="21" fillId="0" borderId="0" xfId="20" applyFont="true" applyBorder="false" applyAlignment="true" applyProtection="false">
      <alignment horizontal="center" vertical="bottom" textRotation="0" wrapText="false" indent="0" shrinkToFit="false"/>
      <protection locked="true" hidden="false"/>
    </xf>
    <xf numFmtId="164" fontId="21" fillId="0" borderId="0" xfId="20" applyFont="tru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true" applyProtection="false">
      <alignment horizontal="center" vertical="bottom" textRotation="0" wrapText="false" indent="0" shrinkToFit="false"/>
      <protection locked="true" hidden="false"/>
    </xf>
    <xf numFmtId="175" fontId="4" fillId="0" borderId="0" xfId="20" applyFont="true" applyBorder="false" applyAlignment="true" applyProtection="false">
      <alignment horizontal="center" vertical="bottom" textRotation="0" wrapText="fals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71" fontId="4" fillId="0" borderId="0" xfId="20" applyFont="true" applyBorder="false" applyAlignment="true" applyProtection="false">
      <alignment horizontal="center" vertical="bottom" textRotation="0" wrapText="false" indent="0" shrinkToFit="false"/>
      <protection locked="true" hidden="false"/>
    </xf>
    <xf numFmtId="171" fontId="4" fillId="0" borderId="0" xfId="20" applyFont="false" applyBorder="false" applyAlignment="false" applyProtection="false">
      <alignment horizontal="general" vertical="bottom" textRotation="0" wrapText="false" indent="0" shrinkToFit="false"/>
      <protection locked="true" hidden="false"/>
    </xf>
    <xf numFmtId="175" fontId="19" fillId="2" borderId="0" xfId="20" applyFont="true" applyBorder="false" applyAlignment="true" applyProtection="false">
      <alignment horizontal="center" vertical="bottom" textRotation="0" wrapText="false" indent="0" shrinkToFit="false"/>
      <protection locked="true" hidden="false"/>
    </xf>
    <xf numFmtId="164" fontId="22" fillId="2" borderId="0" xfId="20" applyFont="true" applyBorder="false" applyAlignment="true" applyProtection="false">
      <alignment horizontal="center" vertical="bottom" textRotation="0" wrapText="false" indent="0" shrinkToFit="false"/>
      <protection locked="true" hidden="false"/>
    </xf>
    <xf numFmtId="171" fontId="4" fillId="2" borderId="0" xfId="20" applyFont="fals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true" applyProtection="false">
      <alignment horizontal="left" vertical="bottom" textRotation="0" wrapText="false" indent="0" shrinkToFit="false"/>
      <protection locked="true" hidden="false"/>
    </xf>
    <xf numFmtId="171" fontId="23" fillId="0" borderId="0" xfId="20" applyFont="true" applyBorder="false" applyAlignment="false" applyProtection="false">
      <alignment horizontal="general" vertical="bottom" textRotation="0" wrapText="false" indent="0" shrinkToFit="false"/>
      <protection locked="true" hidden="false"/>
    </xf>
    <xf numFmtId="175" fontId="4" fillId="0" borderId="0" xfId="21" applyFont="false" applyBorder="false" applyAlignment="true" applyProtection="false">
      <alignment horizontal="center" vertical="bottom" textRotation="0" wrapText="false" indent="0" shrinkToFit="false"/>
      <protection locked="true" hidden="false"/>
    </xf>
    <xf numFmtId="164" fontId="4" fillId="0" borderId="0" xfId="21" applyFont="false" applyBorder="false" applyAlignment="true" applyProtection="false">
      <alignment horizontal="center" vertical="bottom" textRotation="0" wrapText="false" indent="0" shrinkToFit="false"/>
      <protection locked="true" hidden="false"/>
    </xf>
    <xf numFmtId="171" fontId="4" fillId="0" borderId="0" xfId="21" applyFont="false" applyBorder="false" applyAlignment="false" applyProtection="false">
      <alignment horizontal="general" vertical="bottom" textRotation="0" wrapText="false" indent="0" shrinkToFit="false"/>
      <protection locked="true" hidden="false"/>
    </xf>
    <xf numFmtId="164" fontId="4" fillId="0" borderId="0" xfId="21" applyFont="false" applyBorder="false" applyAlignment="false" applyProtection="false">
      <alignment horizontal="general" vertical="bottom" textRotation="0" wrapText="false" indent="0" shrinkToFit="false"/>
      <protection locked="true" hidden="false"/>
    </xf>
    <xf numFmtId="175" fontId="19" fillId="3" borderId="0" xfId="21" applyFont="true" applyBorder="false" applyAlignment="true" applyProtection="false">
      <alignment horizontal="left" vertical="bottom" textRotation="0" wrapText="false" indent="0" shrinkToFit="false"/>
      <protection locked="true" hidden="false"/>
    </xf>
    <xf numFmtId="164" fontId="24" fillId="3" borderId="0" xfId="21" applyFont="true" applyBorder="false" applyAlignment="true" applyProtection="false">
      <alignment horizontal="center" vertical="bottom" textRotation="0" wrapText="false" indent="0" shrinkToFit="false"/>
      <protection locked="true" hidden="false"/>
    </xf>
    <xf numFmtId="171" fontId="24" fillId="3" borderId="0" xfId="21" applyFont="true" applyBorder="false" applyAlignment="false" applyProtection="false">
      <alignment horizontal="general" vertical="bottom" textRotation="0" wrapText="false" indent="0" shrinkToFit="false"/>
      <protection locked="true" hidden="false"/>
    </xf>
    <xf numFmtId="164" fontId="24" fillId="3" borderId="0" xfId="21" applyFont="true" applyBorder="false" applyAlignment="false" applyProtection="false">
      <alignment horizontal="general" vertical="bottom" textRotation="0" wrapText="false" indent="0" shrinkToFit="false"/>
      <protection locked="true" hidden="false"/>
    </xf>
    <xf numFmtId="164" fontId="4" fillId="3" borderId="0" xfId="21" applyFont="false" applyBorder="false" applyAlignment="true" applyProtection="false">
      <alignment horizontal="center" vertical="bottom" textRotation="0" wrapText="false" indent="0" shrinkToFit="false"/>
      <protection locked="true" hidden="false"/>
    </xf>
    <xf numFmtId="164" fontId="4" fillId="3" borderId="0" xfId="21" applyFont="true" applyBorder="false" applyAlignment="true" applyProtection="false">
      <alignment horizontal="center" vertical="bottom" textRotation="0" wrapText="false" indent="0" shrinkToFit="false"/>
      <protection locked="true" hidden="false"/>
    </xf>
    <xf numFmtId="164" fontId="4" fillId="3" borderId="0" xfId="21" applyFont="false" applyBorder="false" applyAlignment="false" applyProtection="false">
      <alignment horizontal="general" vertical="bottom" textRotation="0" wrapText="false" indent="0" shrinkToFit="false"/>
      <protection locked="true" hidden="false"/>
    </xf>
    <xf numFmtId="175" fontId="21" fillId="3" borderId="0" xfId="21" applyFont="true" applyBorder="false" applyAlignment="true" applyProtection="false">
      <alignment horizontal="center" vertical="bottom" textRotation="0" wrapText="false" indent="0" shrinkToFit="false"/>
      <protection locked="true" hidden="false"/>
    </xf>
    <xf numFmtId="171" fontId="4" fillId="3" borderId="0" xfId="21" applyFont="false" applyBorder="false" applyAlignment="false" applyProtection="false">
      <alignment horizontal="general" vertical="bottom" textRotation="0" wrapText="false" indent="0" shrinkToFit="false"/>
      <protection locked="true" hidden="false"/>
    </xf>
    <xf numFmtId="175" fontId="19" fillId="3" borderId="0" xfId="21" applyFont="true" applyBorder="false" applyAlignment="true" applyProtection="false">
      <alignment horizontal="center" vertical="bottom" textRotation="0" wrapText="false" indent="0" shrinkToFit="false"/>
      <protection locked="true" hidden="false"/>
    </xf>
    <xf numFmtId="164" fontId="21" fillId="3" borderId="0" xfId="21" applyFont="true" applyBorder="false" applyAlignment="true" applyProtection="false">
      <alignment horizontal="center" vertical="bottom" textRotation="0" wrapText="false" indent="0" shrinkToFit="false"/>
      <protection locked="true" hidden="false"/>
    </xf>
    <xf numFmtId="171" fontId="21" fillId="3" borderId="0" xfId="21" applyFont="true" applyBorder="false" applyAlignment="false" applyProtection="false">
      <alignment horizontal="general" vertical="bottom" textRotation="0" wrapText="false" indent="0" shrinkToFit="false"/>
      <protection locked="true" hidden="false"/>
    </xf>
    <xf numFmtId="164" fontId="21" fillId="3" borderId="0" xfId="21" applyFont="true" applyBorder="false" applyAlignment="false" applyProtection="false">
      <alignment horizontal="general" vertical="bottom" textRotation="0" wrapText="false" indent="0" shrinkToFit="false"/>
      <protection locked="true" hidden="false"/>
    </xf>
    <xf numFmtId="164" fontId="21" fillId="0" borderId="0" xfId="21" applyFont="true" applyBorder="false" applyAlignment="false" applyProtection="false">
      <alignment horizontal="general" vertical="bottom" textRotation="0" wrapText="false" indent="0" shrinkToFit="false"/>
      <protection locked="true" hidden="false"/>
    </xf>
    <xf numFmtId="175" fontId="21" fillId="0" borderId="0" xfId="21" applyFont="true" applyBorder="false" applyAlignment="true" applyProtection="false">
      <alignment horizontal="center" vertical="bottom" textRotation="0" wrapText="false" indent="0" shrinkToFit="false"/>
      <protection locked="true" hidden="false"/>
    </xf>
    <xf numFmtId="164" fontId="21" fillId="0" borderId="0" xfId="21" applyFont="true" applyBorder="false" applyAlignment="true" applyProtection="false">
      <alignment horizontal="center" vertical="bottom" textRotation="0" wrapText="false" indent="0" shrinkToFit="false"/>
      <protection locked="true" hidden="false"/>
    </xf>
    <xf numFmtId="171" fontId="21" fillId="0" borderId="0" xfId="21" applyFont="true" applyBorder="false" applyAlignment="false" applyProtection="false">
      <alignment horizontal="general" vertical="bottom" textRotation="0" wrapText="false" indent="0" shrinkToFit="false"/>
      <protection locked="true" hidden="false"/>
    </xf>
    <xf numFmtId="164" fontId="4" fillId="0" borderId="0" xfId="21" applyFont="true" applyBorder="false" applyAlignment="true" applyProtection="false">
      <alignment horizontal="center" vertical="bottom" textRotation="0" wrapText="false" indent="0" shrinkToFit="false"/>
      <protection locked="true" hidden="false"/>
    </xf>
    <xf numFmtId="171" fontId="4" fillId="0" borderId="0" xfId="21" applyFont="true" applyBorder="false" applyAlignment="true" applyProtection="false">
      <alignment horizontal="center" vertical="bottom" textRotation="0" wrapText="false" indent="0" shrinkToFit="false"/>
      <protection locked="true" hidden="false"/>
    </xf>
    <xf numFmtId="171" fontId="4" fillId="3" borderId="0" xfId="21" applyFont="false" applyBorder="false" applyAlignment="true" applyProtection="false">
      <alignment horizontal="center" vertical="bottom" textRotation="0" wrapText="false" indent="0" shrinkToFit="false"/>
      <protection locked="true" hidden="false"/>
    </xf>
    <xf numFmtId="171" fontId="4" fillId="0" borderId="0" xfId="21" applyFont="true" applyBorder="false" applyAlignment="false" applyProtection="fals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_WFDF 2002 Rec.  Exp" xfId="20"/>
    <cellStyle name="Normal_WFDF 2002 Rec.  Exp (by Stork)2" xfId="21"/>
    <cellStyle name="Normal_wfdfsu98" xfId="22"/>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T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P32" activeCellId="0" sqref="P32"/>
    </sheetView>
  </sheetViews>
  <sheetFormatPr defaultColWidth="9.13671875" defaultRowHeight="12.75" zeroHeight="false" outlineLevelRow="0" outlineLevelCol="0"/>
  <cols>
    <col collapsed="false" customWidth="true" hidden="false" outlineLevel="0" max="1" min="1" style="1" width="2.28"/>
    <col collapsed="false" customWidth="true" hidden="false" outlineLevel="0" max="2" min="2" style="1" width="19.83"/>
    <col collapsed="false" customWidth="true" hidden="false" outlineLevel="0" max="3" min="3" style="1" width="10.69"/>
    <col collapsed="false" customWidth="true" hidden="false" outlineLevel="0" max="4" min="4" style="1" width="1.41"/>
    <col collapsed="false" customWidth="true" hidden="false" outlineLevel="0" max="5" min="5" style="2" width="10.69"/>
    <col collapsed="false" customWidth="true" hidden="false" outlineLevel="0" max="6" min="6" style="2" width="1.7"/>
    <col collapsed="false" customWidth="true" hidden="false" outlineLevel="0" max="7" min="7" style="3" width="10.69"/>
    <col collapsed="false" customWidth="true" hidden="false" outlineLevel="0" max="8" min="8" style="3" width="1.7"/>
    <col collapsed="false" customWidth="true" hidden="false" outlineLevel="0" max="9" min="9" style="3" width="10.69"/>
    <col collapsed="false" customWidth="true" hidden="false" outlineLevel="0" max="10" min="10" style="3" width="1.41"/>
    <col collapsed="false" customWidth="true" hidden="false" outlineLevel="0" max="11" min="11" style="4" width="10.4"/>
    <col collapsed="false" customWidth="true" hidden="false" outlineLevel="0" max="12" min="12" style="3" width="2.13"/>
    <col collapsed="false" customWidth="true" hidden="false" outlineLevel="0" max="13" min="13" style="3" width="12.12"/>
    <col collapsed="false" customWidth="true" hidden="false" outlineLevel="0" max="14" min="14" style="3" width="8.13"/>
    <col collapsed="false" customWidth="false" hidden="false" outlineLevel="0" max="257" min="15" style="3" width="9.13"/>
  </cols>
  <sheetData>
    <row r="1" customFormat="false" ht="12.75" hidden="false" customHeight="false" outlineLevel="0" collapsed="false">
      <c r="M1" s="5" t="s">
        <v>0</v>
      </c>
    </row>
    <row r="2" s="10" customFormat="true" ht="12.75" hidden="false" customHeight="false" outlineLevel="0" collapsed="false">
      <c r="A2" s="6"/>
      <c r="B2" s="7"/>
      <c r="C2" s="8" t="s">
        <v>1</v>
      </c>
      <c r="D2" s="8"/>
      <c r="E2" s="8" t="s">
        <v>2</v>
      </c>
      <c r="F2" s="8"/>
      <c r="G2" s="8" t="s">
        <v>3</v>
      </c>
      <c r="H2" s="8"/>
      <c r="I2" s="8" t="s">
        <v>4</v>
      </c>
      <c r="J2" s="8"/>
      <c r="K2" s="9" t="n">
        <v>2002</v>
      </c>
      <c r="M2" s="5" t="n">
        <v>2003</v>
      </c>
    </row>
    <row r="3" s="10" customFormat="true" ht="12.75" hidden="false" customHeight="false" outlineLevel="0" collapsed="false">
      <c r="A3" s="6"/>
      <c r="B3" s="7"/>
      <c r="C3" s="7"/>
      <c r="D3" s="7"/>
      <c r="E3" s="7"/>
      <c r="F3" s="7"/>
      <c r="G3" s="7"/>
      <c r="H3" s="7"/>
      <c r="I3" s="7"/>
      <c r="J3" s="7"/>
      <c r="K3" s="11"/>
    </row>
    <row r="4" s="10" customFormat="true" ht="12.75" hidden="false" customHeight="true" outlineLevel="0" collapsed="false">
      <c r="A4" s="12" t="s">
        <v>5</v>
      </c>
      <c r="B4" s="13"/>
      <c r="C4" s="14" t="n">
        <v>15023.53</v>
      </c>
      <c r="D4" s="15"/>
      <c r="E4" s="14" t="n">
        <f aca="false">C33</f>
        <v>13204.9394052045</v>
      </c>
      <c r="F4" s="16"/>
      <c r="G4" s="14" t="n">
        <f aca="false">E33</f>
        <v>69161.8194052045</v>
      </c>
      <c r="H4" s="16"/>
      <c r="I4" s="14" t="n">
        <f aca="false">G33</f>
        <v>58643.2794052045</v>
      </c>
      <c r="J4" s="16"/>
      <c r="K4" s="17" t="n">
        <f aca="false">I33</f>
        <v>53651.2294052045</v>
      </c>
      <c r="L4" s="18"/>
      <c r="M4" s="19" t="n">
        <f aca="false">K33</f>
        <v>55257.0594052045</v>
      </c>
      <c r="O4" s="20" t="s">
        <v>6</v>
      </c>
      <c r="P4" s="20"/>
      <c r="Q4" s="20"/>
      <c r="R4" s="20"/>
      <c r="S4" s="20"/>
      <c r="T4" s="20"/>
    </row>
    <row r="5" s="10" customFormat="true" ht="15.75" hidden="false" customHeight="false" outlineLevel="0" collapsed="false">
      <c r="A5" s="6"/>
      <c r="B5" s="7"/>
      <c r="C5" s="21"/>
      <c r="D5" s="22"/>
      <c r="E5" s="23"/>
      <c r="F5" s="24"/>
      <c r="G5" s="23"/>
      <c r="H5" s="24"/>
      <c r="I5" s="23"/>
      <c r="J5" s="24"/>
      <c r="K5" s="11"/>
      <c r="M5" s="25"/>
      <c r="O5" s="20"/>
      <c r="P5" s="20"/>
      <c r="Q5" s="20"/>
      <c r="R5" s="20"/>
      <c r="S5" s="20"/>
      <c r="T5" s="20"/>
    </row>
    <row r="6" customFormat="false" ht="15.75" hidden="false" customHeight="false" outlineLevel="0" collapsed="false">
      <c r="A6" s="26" t="s">
        <v>7</v>
      </c>
      <c r="B6" s="27"/>
      <c r="C6" s="21"/>
      <c r="D6" s="22"/>
      <c r="E6" s="21"/>
      <c r="F6" s="24"/>
      <c r="G6" s="21"/>
      <c r="H6" s="24"/>
      <c r="I6" s="21"/>
      <c r="J6" s="24"/>
      <c r="M6" s="28"/>
      <c r="O6" s="20"/>
      <c r="P6" s="20"/>
      <c r="Q6" s="20"/>
      <c r="R6" s="20"/>
      <c r="S6" s="20"/>
      <c r="T6" s="20"/>
    </row>
    <row r="7" customFormat="false" ht="15.75" hidden="false" customHeight="false" outlineLevel="0" collapsed="false">
      <c r="A7" s="29"/>
      <c r="B7" s="27" t="s">
        <v>8</v>
      </c>
      <c r="C7" s="30" t="n">
        <v>1705.26</v>
      </c>
      <c r="D7" s="24"/>
      <c r="E7" s="21" t="n">
        <v>2496</v>
      </c>
      <c r="F7" s="24"/>
      <c r="G7" s="21" t="n">
        <v>3684.14</v>
      </c>
      <c r="H7" s="24"/>
      <c r="I7" s="21" t="n">
        <v>3110</v>
      </c>
      <c r="J7" s="24"/>
      <c r="K7" s="4" t="n">
        <v>5354.09</v>
      </c>
      <c r="M7" s="28" t="n">
        <v>6542</v>
      </c>
      <c r="O7" s="20"/>
      <c r="P7" s="20"/>
      <c r="Q7" s="20"/>
      <c r="R7" s="20"/>
      <c r="S7" s="20"/>
      <c r="T7" s="20"/>
    </row>
    <row r="8" customFormat="false" ht="15.75" hidden="false" customHeight="false" outlineLevel="0" collapsed="false">
      <c r="A8" s="29"/>
      <c r="B8" s="27" t="s">
        <v>9</v>
      </c>
      <c r="C8" s="21" t="n">
        <v>0</v>
      </c>
      <c r="D8" s="24"/>
      <c r="E8" s="21" t="n">
        <v>55000</v>
      </c>
      <c r="F8" s="24" t="n">
        <v>5</v>
      </c>
      <c r="G8" s="31" t="n">
        <v>0</v>
      </c>
      <c r="H8" s="24"/>
      <c r="I8" s="32" t="n">
        <v>0</v>
      </c>
      <c r="J8" s="24"/>
      <c r="K8" s="4" t="n">
        <v>0</v>
      </c>
      <c r="M8" s="28"/>
      <c r="O8" s="20"/>
      <c r="P8" s="20"/>
      <c r="Q8" s="20"/>
      <c r="R8" s="20"/>
      <c r="S8" s="20"/>
      <c r="T8" s="20"/>
    </row>
    <row r="9" customFormat="false" ht="15.75" hidden="false" customHeight="false" outlineLevel="0" collapsed="false">
      <c r="A9" s="29"/>
      <c r="B9" s="27" t="s">
        <v>10</v>
      </c>
      <c r="C9" s="21" t="n">
        <v>12391.57</v>
      </c>
      <c r="D9" s="24"/>
      <c r="E9" s="21" t="n">
        <v>8907.66</v>
      </c>
      <c r="F9" s="24"/>
      <c r="G9" s="21" t="n">
        <v>1655.09</v>
      </c>
      <c r="H9" s="24"/>
      <c r="I9" s="21" t="n">
        <v>7398</v>
      </c>
      <c r="J9" s="24"/>
      <c r="K9" s="4" t="n">
        <v>16360</v>
      </c>
      <c r="M9" s="28"/>
      <c r="O9" s="20"/>
      <c r="P9" s="20"/>
      <c r="Q9" s="20"/>
      <c r="R9" s="20"/>
      <c r="S9" s="20"/>
      <c r="T9" s="20"/>
    </row>
    <row r="10" customFormat="false" ht="15.75" hidden="false" customHeight="false" outlineLevel="0" collapsed="false">
      <c r="A10" s="29"/>
      <c r="B10" s="27" t="s">
        <v>11</v>
      </c>
      <c r="C10" s="21" t="n">
        <v>0</v>
      </c>
      <c r="D10" s="24"/>
      <c r="E10" s="21" t="n">
        <v>4000</v>
      </c>
      <c r="F10" s="24" t="n">
        <v>6</v>
      </c>
      <c r="G10" s="21" t="n">
        <v>0</v>
      </c>
      <c r="H10" s="24"/>
      <c r="I10" s="32" t="n">
        <v>0</v>
      </c>
      <c r="J10" s="24"/>
      <c r="K10" s="4" t="n">
        <v>0</v>
      </c>
      <c r="M10" s="28"/>
      <c r="O10" s="20"/>
      <c r="P10" s="20"/>
      <c r="Q10" s="20"/>
      <c r="R10" s="20"/>
      <c r="S10" s="20"/>
      <c r="T10" s="20"/>
    </row>
    <row r="11" customFormat="false" ht="15.75" hidden="false" customHeight="false" outlineLevel="0" collapsed="false">
      <c r="A11" s="29"/>
      <c r="B11" s="27" t="s">
        <v>12</v>
      </c>
      <c r="C11" s="21" t="n">
        <v>0</v>
      </c>
      <c r="D11" s="24"/>
      <c r="E11" s="21" t="n">
        <v>0</v>
      </c>
      <c r="F11" s="24"/>
      <c r="G11" s="21" t="n">
        <v>0</v>
      </c>
      <c r="H11" s="24"/>
      <c r="I11" s="21" t="n">
        <v>2000</v>
      </c>
      <c r="J11" s="24"/>
      <c r="K11" s="4" t="n">
        <v>5506</v>
      </c>
      <c r="L11" s="33"/>
      <c r="M11" s="28" t="n">
        <v>500</v>
      </c>
      <c r="O11" s="20"/>
      <c r="P11" s="20"/>
      <c r="Q11" s="20"/>
      <c r="R11" s="20"/>
      <c r="S11" s="20"/>
      <c r="T11" s="20"/>
    </row>
    <row r="12" customFormat="false" ht="15.75" hidden="false" customHeight="false" outlineLevel="0" collapsed="false">
      <c r="A12" s="29"/>
      <c r="B12" s="27" t="s">
        <v>13</v>
      </c>
      <c r="C12" s="21" t="n">
        <v>232.909541511772</v>
      </c>
      <c r="D12" s="24"/>
      <c r="E12" s="21" t="n">
        <v>0</v>
      </c>
      <c r="F12" s="24"/>
      <c r="G12" s="21" t="n">
        <v>64.79</v>
      </c>
      <c r="H12" s="24"/>
      <c r="I12" s="21" t="n">
        <v>762.45</v>
      </c>
      <c r="J12" s="24"/>
      <c r="K12" s="4" t="n">
        <v>340.16</v>
      </c>
      <c r="L12" s="33"/>
      <c r="M12" s="28" t="n">
        <v>69.09</v>
      </c>
      <c r="O12" s="20"/>
      <c r="P12" s="20"/>
      <c r="Q12" s="20"/>
      <c r="R12" s="20"/>
      <c r="S12" s="20"/>
      <c r="T12" s="20"/>
    </row>
    <row r="13" customFormat="false" ht="15.75" hidden="false" customHeight="false" outlineLevel="0" collapsed="false">
      <c r="A13" s="29"/>
      <c r="B13" s="27" t="s">
        <v>14</v>
      </c>
      <c r="C13" s="34" t="n">
        <v>2388.57</v>
      </c>
      <c r="D13" s="24"/>
      <c r="E13" s="34" t="n">
        <v>0</v>
      </c>
      <c r="F13" s="24"/>
      <c r="G13" s="34" t="n">
        <v>0</v>
      </c>
      <c r="H13" s="24"/>
      <c r="I13" s="34" t="n">
        <v>1062</v>
      </c>
      <c r="J13" s="24"/>
      <c r="K13" s="35" t="n">
        <v>5014</v>
      </c>
      <c r="L13" s="36" t="s">
        <v>15</v>
      </c>
      <c r="M13" s="37"/>
      <c r="O13" s="20"/>
      <c r="P13" s="20"/>
      <c r="Q13" s="20"/>
      <c r="R13" s="20"/>
      <c r="S13" s="20"/>
      <c r="T13" s="20"/>
    </row>
    <row r="14" customFormat="false" ht="2.25" hidden="false" customHeight="true" outlineLevel="0" collapsed="false">
      <c r="A14" s="29"/>
      <c r="B14" s="27"/>
      <c r="C14" s="21"/>
      <c r="D14" s="24"/>
      <c r="E14" s="21"/>
      <c r="F14" s="24"/>
      <c r="G14" s="21"/>
      <c r="H14" s="24"/>
      <c r="I14" s="21"/>
      <c r="J14" s="24"/>
      <c r="M14" s="38"/>
    </row>
    <row r="15" customFormat="false" ht="15.75" hidden="false" customHeight="false" outlineLevel="0" collapsed="false">
      <c r="A15" s="3"/>
      <c r="B15" s="26" t="s">
        <v>16</v>
      </c>
      <c r="C15" s="39" t="n">
        <f aca="false">SUM(C6:C13)</f>
        <v>16718.3095415118</v>
      </c>
      <c r="D15" s="24"/>
      <c r="E15" s="39" t="n">
        <f aca="false">SUM(E6:E13)</f>
        <v>70403.66</v>
      </c>
      <c r="F15" s="24"/>
      <c r="G15" s="39" t="n">
        <f aca="false">SUM(G6:G13)</f>
        <v>5404.02</v>
      </c>
      <c r="H15" s="24"/>
      <c r="I15" s="39" t="n">
        <f aca="false">SUM(I6:I13)</f>
        <v>14332.45</v>
      </c>
      <c r="J15" s="24"/>
      <c r="K15" s="40" t="n">
        <f aca="false">SUM(K6:K13)</f>
        <v>32574.25</v>
      </c>
      <c r="M15" s="41" t="n">
        <f aca="false">SUM(M6:M13)</f>
        <v>7111.09</v>
      </c>
    </row>
    <row r="16" customFormat="false" ht="2.25" hidden="false" customHeight="true" outlineLevel="0" collapsed="false">
      <c r="A16" s="3"/>
      <c r="B16" s="26"/>
      <c r="C16" s="42"/>
      <c r="D16" s="24"/>
      <c r="E16" s="42"/>
      <c r="F16" s="24"/>
      <c r="G16" s="42"/>
      <c r="H16" s="24"/>
      <c r="I16" s="42"/>
      <c r="J16" s="24"/>
      <c r="M16" s="28"/>
    </row>
    <row r="17" customFormat="false" ht="15.75" hidden="false" customHeight="false" outlineLevel="0" collapsed="false">
      <c r="A17" s="26"/>
      <c r="B17" s="43"/>
      <c r="C17" s="21"/>
      <c r="D17" s="24"/>
      <c r="E17" s="21"/>
      <c r="F17" s="24"/>
      <c r="G17" s="21"/>
      <c r="H17" s="24"/>
      <c r="I17" s="21"/>
      <c r="J17" s="24"/>
      <c r="K17" s="44"/>
      <c r="M17" s="45"/>
    </row>
    <row r="18" customFormat="false" ht="15.75" hidden="false" customHeight="false" outlineLevel="0" collapsed="false">
      <c r="A18" s="26" t="s">
        <v>17</v>
      </c>
      <c r="B18" s="27"/>
      <c r="C18" s="21"/>
      <c r="D18" s="24"/>
      <c r="E18" s="21"/>
      <c r="F18" s="24"/>
      <c r="G18" s="21"/>
      <c r="H18" s="24"/>
      <c r="I18" s="21"/>
      <c r="J18" s="24"/>
      <c r="M18" s="28"/>
    </row>
    <row r="19" customFormat="false" ht="15.75" hidden="false" customHeight="false" outlineLevel="0" collapsed="false">
      <c r="A19" s="29"/>
      <c r="B19" s="27" t="s">
        <v>18</v>
      </c>
      <c r="C19" s="21" t="n">
        <v>2969.44</v>
      </c>
      <c r="D19" s="24"/>
      <c r="E19" s="21" t="n">
        <v>9179.63</v>
      </c>
      <c r="F19" s="24" t="n">
        <v>7</v>
      </c>
      <c r="G19" s="21" t="n">
        <v>8797.44</v>
      </c>
      <c r="H19" s="24" t="n">
        <v>7</v>
      </c>
      <c r="I19" s="21" t="n">
        <f aca="false">8238.33</f>
        <v>8238.33</v>
      </c>
      <c r="J19" s="24" t="n">
        <v>7</v>
      </c>
      <c r="K19" s="4" t="n">
        <v>14000</v>
      </c>
      <c r="M19" s="28" t="n">
        <v>7014.09</v>
      </c>
    </row>
    <row r="20" customFormat="false" ht="15.75" hidden="false" customHeight="false" outlineLevel="0" collapsed="false">
      <c r="A20" s="29"/>
      <c r="B20" s="27" t="s">
        <v>19</v>
      </c>
      <c r="C20" s="21" t="n">
        <v>336.270136307311</v>
      </c>
      <c r="D20" s="24"/>
      <c r="E20" s="21" t="n">
        <v>0</v>
      </c>
      <c r="F20" s="24"/>
      <c r="G20" s="21" t="n">
        <v>0</v>
      </c>
      <c r="H20" s="24"/>
      <c r="I20" s="21" t="n">
        <v>200</v>
      </c>
      <c r="J20" s="24"/>
      <c r="K20" s="4" t="n">
        <v>347.65</v>
      </c>
      <c r="M20" s="28" t="n">
        <v>134</v>
      </c>
    </row>
    <row r="21" customFormat="false" ht="15.75" hidden="false" customHeight="false" outlineLevel="0" collapsed="false">
      <c r="A21" s="29"/>
      <c r="B21" s="27" t="s">
        <v>20</v>
      </c>
      <c r="C21" s="21" t="n">
        <v>0</v>
      </c>
      <c r="D21" s="24"/>
      <c r="E21" s="21" t="n">
        <v>1529.6</v>
      </c>
      <c r="F21" s="24"/>
      <c r="G21" s="21" t="n">
        <v>1728.76</v>
      </c>
      <c r="H21" s="24"/>
      <c r="I21" s="21" t="n">
        <v>8054.12</v>
      </c>
      <c r="J21" s="24"/>
      <c r="K21" s="4" t="n">
        <f aca="false">8821.24+118.52</f>
        <v>8939.76</v>
      </c>
      <c r="L21" s="3" t="s">
        <v>15</v>
      </c>
      <c r="M21" s="28" t="n">
        <v>835.91</v>
      </c>
    </row>
    <row r="22" customFormat="false" ht="15.75" hidden="false" customHeight="false" outlineLevel="0" collapsed="false">
      <c r="A22" s="29"/>
      <c r="B22" s="27" t="s">
        <v>21</v>
      </c>
      <c r="C22" s="21" t="n">
        <v>0</v>
      </c>
      <c r="D22" s="24"/>
      <c r="E22" s="21" t="n">
        <v>872.07</v>
      </c>
      <c r="F22" s="24"/>
      <c r="G22" s="21" t="n">
        <v>459.37</v>
      </c>
      <c r="H22" s="24"/>
      <c r="I22" s="21" t="n">
        <v>447.17</v>
      </c>
      <c r="J22" s="24"/>
      <c r="K22" s="4" t="n">
        <v>2875.88</v>
      </c>
      <c r="M22" s="28"/>
    </row>
    <row r="23" customFormat="false" ht="15.75" hidden="false" customHeight="false" outlineLevel="0" collapsed="false">
      <c r="A23" s="29"/>
      <c r="B23" s="27" t="s">
        <v>22</v>
      </c>
      <c r="C23" s="21" t="n">
        <v>2234.55</v>
      </c>
      <c r="D23" s="24"/>
      <c r="E23" s="21" t="n">
        <v>2797.25</v>
      </c>
      <c r="F23" s="24"/>
      <c r="G23" s="21" t="n">
        <v>4784.49</v>
      </c>
      <c r="H23" s="24"/>
      <c r="I23" s="21" t="n">
        <v>2384.88</v>
      </c>
      <c r="J23" s="24"/>
      <c r="K23" s="4" t="n">
        <v>2313.2</v>
      </c>
      <c r="M23" s="28" t="n">
        <v>2884.8</v>
      </c>
    </row>
    <row r="24" customFormat="false" ht="15.75" hidden="false" customHeight="false" outlineLevel="0" collapsed="false">
      <c r="A24" s="29"/>
      <c r="B24" s="27" t="s">
        <v>23</v>
      </c>
      <c r="C24" s="30" t="n">
        <v>12996.64</v>
      </c>
      <c r="D24" s="24" t="n">
        <v>4</v>
      </c>
      <c r="E24" s="21" t="n">
        <v>0</v>
      </c>
      <c r="F24" s="24"/>
      <c r="G24" s="21" t="n">
        <v>0</v>
      </c>
      <c r="H24" s="24"/>
      <c r="I24" s="21" t="n">
        <v>0</v>
      </c>
      <c r="J24" s="24"/>
      <c r="K24" s="4" t="n">
        <v>491.93</v>
      </c>
      <c r="M24" s="28"/>
    </row>
    <row r="25" customFormat="false" ht="15.75" hidden="false" customHeight="false" outlineLevel="0" collapsed="false">
      <c r="A25" s="29"/>
      <c r="B25" s="27" t="s">
        <v>24</v>
      </c>
      <c r="C25" s="34" t="n">
        <v>0</v>
      </c>
      <c r="D25" s="24"/>
      <c r="E25" s="34" t="n">
        <v>68.23</v>
      </c>
      <c r="F25" s="24"/>
      <c r="G25" s="34" t="n">
        <v>152.5</v>
      </c>
      <c r="H25" s="24"/>
      <c r="I25" s="34" t="n">
        <v>0</v>
      </c>
      <c r="J25" s="24"/>
      <c r="K25" s="35" t="n">
        <v>2000</v>
      </c>
      <c r="M25" s="28"/>
    </row>
    <row r="26" customFormat="false" ht="2.25" hidden="false" customHeight="true" outlineLevel="0" collapsed="false">
      <c r="A26" s="29"/>
      <c r="B26" s="27"/>
      <c r="C26" s="21"/>
      <c r="D26" s="24"/>
      <c r="E26" s="21"/>
      <c r="F26" s="24"/>
      <c r="G26" s="21"/>
      <c r="H26" s="24"/>
      <c r="I26" s="21"/>
      <c r="J26" s="24"/>
      <c r="M26" s="28"/>
    </row>
    <row r="27" s="46" customFormat="true" ht="16.5" hidden="false" customHeight="false" outlineLevel="0" collapsed="false">
      <c r="B27" s="26" t="s">
        <v>25</v>
      </c>
      <c r="C27" s="39" t="n">
        <f aca="false">SUM(C19:C25)</f>
        <v>18536.9001363073</v>
      </c>
      <c r="D27" s="24"/>
      <c r="E27" s="39" t="n">
        <f aca="false">SUM(E19:E25)</f>
        <v>14446.78</v>
      </c>
      <c r="F27" s="24"/>
      <c r="G27" s="39" t="n">
        <f aca="false">SUM(G19:G25)</f>
        <v>15922.56</v>
      </c>
      <c r="H27" s="24"/>
      <c r="I27" s="39" t="n">
        <f aca="false">SUM(I19:I25)</f>
        <v>19324.5</v>
      </c>
      <c r="J27" s="24"/>
      <c r="K27" s="47" t="n">
        <f aca="false">SUM(K19:K25)</f>
        <v>30968.42</v>
      </c>
      <c r="M27" s="48" t="n">
        <f aca="false">SUM(M19:M25)</f>
        <v>10868.8</v>
      </c>
    </row>
    <row r="28" s="46" customFormat="true" ht="2.25" hidden="false" customHeight="true" outlineLevel="0" collapsed="false">
      <c r="B28" s="26"/>
      <c r="C28" s="42"/>
      <c r="D28" s="24"/>
      <c r="E28" s="42"/>
      <c r="F28" s="24"/>
      <c r="G28" s="42"/>
      <c r="H28" s="24"/>
      <c r="I28" s="42"/>
      <c r="J28" s="24"/>
      <c r="K28" s="49"/>
      <c r="M28" s="50"/>
    </row>
    <row r="29" s="46" customFormat="true" ht="15.75" hidden="false" customHeight="false" outlineLevel="0" collapsed="false">
      <c r="A29" s="26"/>
      <c r="B29" s="43"/>
      <c r="C29" s="21"/>
      <c r="D29" s="24"/>
      <c r="E29" s="21"/>
      <c r="F29" s="24"/>
      <c r="G29" s="21"/>
      <c r="H29" s="24"/>
      <c r="I29" s="21"/>
      <c r="J29" s="24"/>
      <c r="K29" s="47"/>
      <c r="M29" s="51"/>
    </row>
    <row r="30" customFormat="false" ht="15.75" hidden="false" customHeight="false" outlineLevel="0" collapsed="false">
      <c r="A30" s="26" t="s">
        <v>26</v>
      </c>
      <c r="B30" s="43"/>
      <c r="C30" s="39" t="n">
        <f aca="false">C15-C27</f>
        <v>-1818.59059479554</v>
      </c>
      <c r="D30" s="24"/>
      <c r="E30" s="39" t="n">
        <f aca="false">E15-E27</f>
        <v>55956.88</v>
      </c>
      <c r="F30" s="24"/>
      <c r="G30" s="39" t="n">
        <f aca="false">G15-G27</f>
        <v>-10518.54</v>
      </c>
      <c r="H30" s="24"/>
      <c r="I30" s="39" t="n">
        <f aca="false">I15-I27</f>
        <v>-4992.05</v>
      </c>
      <c r="J30" s="24"/>
      <c r="K30" s="52" t="n">
        <f aca="false">K15-K27</f>
        <v>1605.83</v>
      </c>
      <c r="M30" s="53" t="n">
        <f aca="false">M15-M27</f>
        <v>-3757.71</v>
      </c>
    </row>
    <row r="31" customFormat="false" ht="1.5" hidden="false" customHeight="true" outlineLevel="0" collapsed="false">
      <c r="A31" s="26"/>
      <c r="B31" s="43"/>
      <c r="C31" s="54"/>
      <c r="D31" s="24"/>
      <c r="E31" s="54"/>
      <c r="F31" s="24"/>
      <c r="G31" s="54"/>
      <c r="H31" s="24"/>
      <c r="I31" s="54"/>
      <c r="J31" s="24"/>
      <c r="M31" s="28"/>
    </row>
    <row r="32" customFormat="false" ht="16.5" hidden="false" customHeight="false" outlineLevel="0" collapsed="false">
      <c r="C32" s="32"/>
      <c r="D32" s="24"/>
      <c r="E32" s="32"/>
      <c r="F32" s="24"/>
      <c r="G32" s="32"/>
      <c r="H32" s="24"/>
      <c r="I32" s="31"/>
      <c r="J32" s="24"/>
      <c r="K32" s="55"/>
      <c r="M32" s="56"/>
    </row>
    <row r="33" customFormat="false" ht="15.75" hidden="false" customHeight="false" outlineLevel="0" collapsed="false">
      <c r="A33" s="57" t="s">
        <v>27</v>
      </c>
      <c r="B33" s="58"/>
      <c r="C33" s="59" t="n">
        <f aca="false">C4+C30</f>
        <v>13204.9394052045</v>
      </c>
      <c r="D33" s="16"/>
      <c r="E33" s="59" t="n">
        <f aca="false">E4+E30</f>
        <v>69161.8194052045</v>
      </c>
      <c r="F33" s="16"/>
      <c r="G33" s="59" t="n">
        <f aca="false">G4+G30</f>
        <v>58643.2794052045</v>
      </c>
      <c r="H33" s="16"/>
      <c r="I33" s="59" t="n">
        <f aca="false">I4+I30</f>
        <v>53651.2294052045</v>
      </c>
      <c r="J33" s="16"/>
      <c r="K33" s="60" t="n">
        <f aca="false">K4+K30</f>
        <v>55257.0594052045</v>
      </c>
      <c r="L33" s="61"/>
      <c r="M33" s="62" t="n">
        <f aca="false">M4+M30</f>
        <v>51499.3494052045</v>
      </c>
    </row>
    <row r="34" customFormat="false" ht="4.5" hidden="false" customHeight="true" outlineLevel="0" collapsed="false">
      <c r="C34" s="63"/>
      <c r="D34" s="24"/>
      <c r="E34" s="63"/>
      <c r="F34" s="24"/>
      <c r="G34" s="63"/>
      <c r="H34" s="24"/>
      <c r="I34" s="63"/>
      <c r="J34" s="24"/>
      <c r="M34" s="28"/>
    </row>
    <row r="35" customFormat="false" ht="15.75" hidden="false" customHeight="false" outlineLevel="0" collapsed="false">
      <c r="B35" s="64" t="s">
        <v>28</v>
      </c>
      <c r="C35" s="32" t="n">
        <f aca="false">C33</f>
        <v>13204.9394052045</v>
      </c>
      <c r="D35" s="24"/>
      <c r="E35" s="32" t="n">
        <v>69161.82</v>
      </c>
      <c r="F35" s="24"/>
      <c r="G35" s="32" t="n">
        <v>8578.49</v>
      </c>
      <c r="H35" s="24"/>
      <c r="I35" s="32" t="n">
        <v>12823.99</v>
      </c>
      <c r="J35" s="24"/>
      <c r="K35" s="4" t="n">
        <v>14326.7</v>
      </c>
      <c r="M35" s="28" t="n">
        <v>10525.9</v>
      </c>
    </row>
    <row r="36" customFormat="false" ht="15.75" hidden="false" customHeight="false" outlineLevel="0" collapsed="false">
      <c r="B36" s="64" t="s">
        <v>29</v>
      </c>
      <c r="C36" s="32" t="n">
        <v>0</v>
      </c>
      <c r="D36" s="24"/>
      <c r="E36" s="32" t="n">
        <v>0</v>
      </c>
      <c r="F36" s="24"/>
      <c r="G36" s="32" t="n">
        <v>50064.79</v>
      </c>
      <c r="H36" s="24"/>
      <c r="I36" s="32" t="n">
        <v>40827.24</v>
      </c>
      <c r="J36" s="24"/>
      <c r="K36" s="4" t="n">
        <v>41167.4</v>
      </c>
      <c r="M36" s="28" t="n">
        <v>41210.49</v>
      </c>
      <c r="N36" s="28"/>
    </row>
    <row r="37" customFormat="false" ht="16.5" hidden="false" customHeight="true" outlineLevel="0" collapsed="false">
      <c r="B37" s="64" t="s">
        <v>30</v>
      </c>
      <c r="C37" s="32" t="n">
        <v>0</v>
      </c>
      <c r="D37" s="64"/>
      <c r="E37" s="32" t="n">
        <v>0</v>
      </c>
      <c r="F37" s="32"/>
      <c r="G37" s="32" t="n">
        <v>0</v>
      </c>
      <c r="H37" s="32"/>
      <c r="I37" s="32" t="n">
        <v>0</v>
      </c>
      <c r="J37" s="32"/>
      <c r="K37" s="4" t="n">
        <v>0</v>
      </c>
      <c r="M37" s="28" t="n">
        <v>0</v>
      </c>
    </row>
    <row r="38" customFormat="false" ht="4.5" hidden="false" customHeight="true" outlineLevel="0" collapsed="false">
      <c r="B38" s="64"/>
      <c r="C38" s="32"/>
      <c r="D38" s="64"/>
      <c r="E38" s="32"/>
      <c r="F38" s="32"/>
      <c r="G38" s="32"/>
      <c r="H38" s="32"/>
      <c r="I38" s="32"/>
      <c r="J38" s="32"/>
      <c r="M38" s="28"/>
    </row>
    <row r="39" customFormat="false" ht="16.5" hidden="false" customHeight="true" outlineLevel="0" collapsed="false">
      <c r="A39" s="65" t="s">
        <v>31</v>
      </c>
      <c r="B39" s="61"/>
      <c r="C39" s="66" t="n">
        <f aca="false">C33-SUM(C35:C37)</f>
        <v>0</v>
      </c>
      <c r="D39" s="67"/>
      <c r="E39" s="66" t="n">
        <f aca="false">E33-SUM(E35:E37)</f>
        <v>-0.000594795536017045</v>
      </c>
      <c r="F39" s="68"/>
      <c r="G39" s="66" t="n">
        <f aca="false">G33-SUM(G35:G37)</f>
        <v>-0.000594795528741088</v>
      </c>
      <c r="H39" s="69"/>
      <c r="I39" s="66" t="n">
        <f aca="false">I33-SUM(I35:I37)</f>
        <v>-0.00059479552146513</v>
      </c>
      <c r="J39" s="69"/>
      <c r="K39" s="70" t="n">
        <f aca="false">K33-SUM(K35:K37)</f>
        <v>-237.04059479553</v>
      </c>
      <c r="L39" s="61"/>
      <c r="M39" s="71" t="n">
        <f aca="false">M33-SUM(M35:M37)</f>
        <v>-237.040594795522</v>
      </c>
    </row>
    <row r="40" customFormat="false" ht="8.25" hidden="false" customHeight="true" outlineLevel="0" collapsed="false"/>
    <row r="41" customFormat="false" ht="12.75" hidden="false" customHeight="false" outlineLevel="0" collapsed="false">
      <c r="A41" s="1" t="s">
        <v>32</v>
      </c>
    </row>
    <row r="42" customFormat="false" ht="12.75" hidden="false" customHeight="false" outlineLevel="0" collapsed="false">
      <c r="A42" s="72" t="n">
        <v>1</v>
      </c>
      <c r="B42" s="73" t="s">
        <v>33</v>
      </c>
    </row>
    <row r="43" customFormat="false" ht="12.75" hidden="false" customHeight="false" outlineLevel="0" collapsed="false">
      <c r="A43" s="72" t="n">
        <v>2</v>
      </c>
      <c r="B43" s="73" t="s">
        <v>34</v>
      </c>
    </row>
    <row r="44" customFormat="false" ht="12.75" hidden="false" customHeight="false" outlineLevel="0" collapsed="false">
      <c r="A44" s="72"/>
      <c r="B44" s="73" t="s">
        <v>35</v>
      </c>
      <c r="N44" s="32"/>
    </row>
    <row r="45" customFormat="false" ht="12.75" hidden="false" customHeight="false" outlineLevel="0" collapsed="false">
      <c r="A45" s="72" t="n">
        <v>3</v>
      </c>
      <c r="B45" s="73" t="s">
        <v>36</v>
      </c>
      <c r="N45" s="32"/>
    </row>
    <row r="46" customFormat="false" ht="12.75" hidden="false" customHeight="false" outlineLevel="0" collapsed="false">
      <c r="A46" s="72" t="n">
        <v>4</v>
      </c>
      <c r="B46" s="73" t="s">
        <v>37</v>
      </c>
    </row>
    <row r="47" customFormat="false" ht="12.75" hidden="false" customHeight="false" outlineLevel="0" collapsed="false">
      <c r="A47" s="72" t="n">
        <v>5</v>
      </c>
      <c r="B47" s="73" t="s">
        <v>38</v>
      </c>
    </row>
    <row r="48" customFormat="false" ht="12.75" hidden="false" customHeight="false" outlineLevel="0" collapsed="false">
      <c r="A48" s="72" t="n">
        <v>6</v>
      </c>
      <c r="B48" s="73" t="s">
        <v>39</v>
      </c>
    </row>
    <row r="49" customFormat="false" ht="12.75" hidden="false" customHeight="false" outlineLevel="0" collapsed="false">
      <c r="A49" s="72" t="n">
        <v>7</v>
      </c>
      <c r="B49" s="73" t="s">
        <v>40</v>
      </c>
    </row>
    <row r="50" customFormat="false" ht="12.75" hidden="false" customHeight="false" outlineLevel="0" collapsed="false">
      <c r="A50" s="74" t="s">
        <v>15</v>
      </c>
      <c r="B50" s="73" t="s">
        <v>41</v>
      </c>
    </row>
    <row r="51" customFormat="false" ht="12.75" hidden="false" customHeight="false" outlineLevel="0" collapsed="false">
      <c r="A51" s="72" t="n">
        <v>9</v>
      </c>
      <c r="B51" s="73" t="s">
        <v>42</v>
      </c>
    </row>
    <row r="52" customFormat="false" ht="12.75" hidden="false" customHeight="false" outlineLevel="0" collapsed="false">
      <c r="B52" s="75"/>
    </row>
  </sheetData>
  <mergeCells count="1">
    <mergeCell ref="O4:T13"/>
  </mergeCells>
  <printOptions headings="false" gridLines="false" gridLinesSet="true" horizontalCentered="false" verticalCentered="false"/>
  <pageMargins left="1.10972222222222" right="0.25" top="1.45972222222222" bottom="0.509722222222222" header="0.579861111111111" footer="0.309722222222222"/>
  <pageSetup paperSize="1" scale="100" fitToWidth="1" fitToHeight="1" pageOrder="downThenOver" orientation="landscape" blackAndWhite="false" draft="false" cellComments="none" horizontalDpi="300" verticalDpi="300" copies="1"/>
  <headerFooter differentFirst="false" differentOddEven="false">
    <oddHeader>&amp;C&amp;"Arial,Bold"&amp;20 &amp;"Times New Roman,Bold"World Flying Disc Federation
&amp;18 Summary Restated Financial Statements&amp;12 &amp;X1
&amp;"Arial,Bold"&amp;10&amp;X </oddHeader>
    <oddFooter>&amp;RJune 22, 2003</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I30" activeCellId="0" sqref="I30"/>
    </sheetView>
  </sheetViews>
  <sheetFormatPr defaultColWidth="9.13671875" defaultRowHeight="12.75" zeroHeight="false" outlineLevelRow="0" outlineLevelCol="0"/>
  <cols>
    <col collapsed="false" customWidth="true" hidden="false" outlineLevel="0" max="3" min="1" style="76" width="2.99"/>
    <col collapsed="false" customWidth="true" hidden="false" outlineLevel="0" max="4" min="4" style="76" width="20.11"/>
    <col collapsed="false" customWidth="true" hidden="false" outlineLevel="0" max="5" min="5" style="2" width="8.98"/>
    <col collapsed="false" customWidth="false" hidden="false" outlineLevel="0" max="257" min="6" style="3" width="9.13"/>
  </cols>
  <sheetData>
    <row r="1" s="10" customFormat="true" ht="13.5" hidden="false" customHeight="false" outlineLevel="0" collapsed="false">
      <c r="A1" s="77"/>
      <c r="B1" s="77"/>
      <c r="C1" s="77"/>
      <c r="D1" s="77"/>
      <c r="E1" s="78" t="s">
        <v>43</v>
      </c>
      <c r="F1" s="78" t="s">
        <v>44</v>
      </c>
      <c r="G1" s="78" t="s">
        <v>45</v>
      </c>
      <c r="H1" s="78" t="s">
        <v>46</v>
      </c>
    </row>
    <row r="2" customFormat="false" ht="13.5" hidden="false" customHeight="false" outlineLevel="0" collapsed="false">
      <c r="A2" s="79" t="s">
        <v>47</v>
      </c>
      <c r="B2" s="79"/>
      <c r="C2" s="79"/>
      <c r="D2" s="79"/>
      <c r="E2" s="80"/>
      <c r="F2" s="80"/>
      <c r="G2" s="80"/>
      <c r="H2" s="80"/>
    </row>
    <row r="3" customFormat="false" ht="13.5" hidden="false" customHeight="false" outlineLevel="0" collapsed="false">
      <c r="A3" s="79"/>
      <c r="B3" s="79" t="s">
        <v>48</v>
      </c>
      <c r="C3" s="79"/>
      <c r="D3" s="79"/>
      <c r="E3" s="80"/>
      <c r="F3" s="80"/>
      <c r="G3" s="80"/>
      <c r="H3" s="80"/>
    </row>
    <row r="4" customFormat="false" ht="13.5" hidden="false" customHeight="false" outlineLevel="0" collapsed="false">
      <c r="A4" s="79"/>
      <c r="B4" s="79"/>
      <c r="C4" s="79" t="s">
        <v>49</v>
      </c>
      <c r="D4" s="79"/>
      <c r="E4" s="81" t="n">
        <v>69161.82</v>
      </c>
      <c r="F4" s="81" t="n">
        <v>8578.49</v>
      </c>
      <c r="G4" s="81" t="n">
        <v>12323.99</v>
      </c>
      <c r="H4" s="81" t="n">
        <f aca="false">'Financial summary'!K35</f>
        <v>14326.7</v>
      </c>
    </row>
    <row r="5" s="82" customFormat="true" ht="12.75" hidden="false" customHeight="true" outlineLevel="0" collapsed="false">
      <c r="A5" s="79"/>
      <c r="B5" s="79"/>
      <c r="C5" s="79" t="s">
        <v>50</v>
      </c>
      <c r="E5" s="81" t="n">
        <v>0</v>
      </c>
      <c r="F5" s="83" t="n">
        <v>50064.79</v>
      </c>
      <c r="G5" s="83" t="n">
        <v>40827.24</v>
      </c>
      <c r="H5" s="83" t="n">
        <f aca="false">'Financial summary'!K36</f>
        <v>41167.4</v>
      </c>
    </row>
    <row r="6" customFormat="false" ht="13.5" hidden="false" customHeight="false" outlineLevel="0" collapsed="false">
      <c r="A6" s="79"/>
      <c r="C6" s="79"/>
      <c r="D6" s="79" t="s">
        <v>51</v>
      </c>
      <c r="E6" s="81" t="n">
        <f aca="false">E4+E5</f>
        <v>69161.82</v>
      </c>
      <c r="F6" s="81" t="n">
        <f aca="false">F4+F5</f>
        <v>58643.28</v>
      </c>
      <c r="G6" s="81" t="n">
        <f aca="false">G4+G5</f>
        <v>53151.23</v>
      </c>
      <c r="H6" s="81" t="n">
        <f aca="false">H4+H5</f>
        <v>55494.1</v>
      </c>
    </row>
    <row r="7" customFormat="false" ht="13.5" hidden="false" customHeight="false" outlineLevel="0" collapsed="false">
      <c r="A7" s="79" t="s">
        <v>52</v>
      </c>
      <c r="B7" s="79"/>
      <c r="C7" s="79"/>
      <c r="D7" s="79"/>
      <c r="E7" s="84" t="n">
        <f aca="false">ROUND(E2+E6,5)</f>
        <v>69161.82</v>
      </c>
      <c r="F7" s="84" t="n">
        <f aca="false">ROUND(F2+F6,5)</f>
        <v>58643.28</v>
      </c>
      <c r="G7" s="84" t="n">
        <f aca="false">ROUND(G2+G6,5)</f>
        <v>53151.23</v>
      </c>
      <c r="H7" s="84" t="n">
        <f aca="false">ROUND(H2+H6,5)</f>
        <v>55494.1</v>
      </c>
    </row>
    <row r="8" customFormat="false" ht="13.5" hidden="false" customHeight="false" outlineLevel="0" collapsed="false">
      <c r="A8" s="79"/>
      <c r="B8" s="79"/>
      <c r="C8" s="79"/>
      <c r="D8" s="79"/>
      <c r="E8" s="85"/>
      <c r="F8" s="85"/>
      <c r="G8" s="85"/>
      <c r="H8" s="85"/>
    </row>
    <row r="9" customFormat="false" ht="12.75" hidden="false" customHeight="false" outlineLevel="0" collapsed="false">
      <c r="A9" s="79" t="s">
        <v>53</v>
      </c>
      <c r="B9" s="79"/>
      <c r="C9" s="79"/>
      <c r="D9" s="79"/>
      <c r="E9" s="80"/>
      <c r="F9" s="80"/>
      <c r="G9" s="80"/>
      <c r="H9" s="80"/>
    </row>
    <row r="10" customFormat="false" ht="12.75" hidden="false" customHeight="false" outlineLevel="0" collapsed="false">
      <c r="A10" s="79"/>
      <c r="B10" s="79" t="s">
        <v>54</v>
      </c>
      <c r="C10" s="79"/>
      <c r="D10" s="79"/>
      <c r="E10" s="80"/>
      <c r="F10" s="80"/>
      <c r="G10" s="80"/>
      <c r="H10" s="80"/>
    </row>
    <row r="11" s="82" customFormat="true" ht="12.75" hidden="false" customHeight="true" outlineLevel="0" collapsed="false">
      <c r="A11" s="79"/>
      <c r="B11" s="79"/>
      <c r="C11" s="79" t="s">
        <v>55</v>
      </c>
      <c r="D11" s="79"/>
      <c r="E11" s="80" t="n">
        <v>5481.15</v>
      </c>
      <c r="F11" s="80" t="n">
        <v>5481.15</v>
      </c>
      <c r="G11" s="80" t="n">
        <v>5481.15</v>
      </c>
      <c r="H11" s="80" t="n">
        <v>5481.15</v>
      </c>
    </row>
    <row r="12" customFormat="false" ht="12.75" hidden="false" customHeight="false" outlineLevel="0" collapsed="false">
      <c r="A12" s="79"/>
      <c r="B12" s="79"/>
      <c r="C12" s="79" t="s">
        <v>56</v>
      </c>
      <c r="D12" s="79"/>
      <c r="E12" s="80" t="n">
        <v>0</v>
      </c>
      <c r="F12" s="80" t="n">
        <v>63680.67</v>
      </c>
      <c r="G12" s="80" t="n">
        <v>53162.13</v>
      </c>
      <c r="H12" s="80" t="n">
        <f aca="false">G12+G13</f>
        <v>48170.08</v>
      </c>
    </row>
    <row r="13" customFormat="false" ht="13.5" hidden="false" customHeight="false" outlineLevel="0" collapsed="false">
      <c r="A13" s="79"/>
      <c r="B13" s="79"/>
      <c r="C13" s="79" t="s">
        <v>57</v>
      </c>
      <c r="D13" s="79"/>
      <c r="E13" s="83" t="n">
        <v>63680.67</v>
      </c>
      <c r="F13" s="83" t="n">
        <v>-10518.54</v>
      </c>
      <c r="G13" s="83" t="n">
        <f aca="false">'Financial summary'!I30</f>
        <v>-4992.05</v>
      </c>
      <c r="H13" s="83" t="n">
        <f aca="false">'Financial summary'!K30</f>
        <v>1605.83</v>
      </c>
    </row>
    <row r="14" customFormat="false" ht="13.5" hidden="false" customHeight="false" outlineLevel="0" collapsed="false">
      <c r="A14" s="79"/>
      <c r="C14" s="79"/>
      <c r="D14" s="79" t="s">
        <v>58</v>
      </c>
      <c r="E14" s="81" t="n">
        <f aca="false">ROUND(SUM(E10:E13),5)</f>
        <v>69161.82</v>
      </c>
      <c r="F14" s="81" t="n">
        <f aca="false">ROUND(SUM(F10:F13),5)</f>
        <v>58643.28</v>
      </c>
      <c r="G14" s="81" t="n">
        <f aca="false">ROUND(SUM(G10:G13),5)</f>
        <v>53651.23</v>
      </c>
      <c r="H14" s="81" t="n">
        <f aca="false">ROUND(SUM(H10:H13),5)</f>
        <v>55257.06</v>
      </c>
    </row>
    <row r="15" customFormat="false" ht="13.5" hidden="false" customHeight="false" outlineLevel="0" collapsed="false">
      <c r="A15" s="79" t="s">
        <v>59</v>
      </c>
      <c r="B15" s="79"/>
      <c r="C15" s="79"/>
      <c r="D15" s="79"/>
      <c r="E15" s="84" t="n">
        <f aca="false">ROUND(E9+E14,5)</f>
        <v>69161.82</v>
      </c>
      <c r="F15" s="84" t="n">
        <f aca="false">ROUND(F9+F14,5)</f>
        <v>58643.28</v>
      </c>
      <c r="G15" s="84" t="n">
        <f aca="false">ROUND(G9+G14,5)</f>
        <v>53651.23</v>
      </c>
      <c r="H15" s="84" t="n">
        <f aca="false">ROUND(H9+H14,5)</f>
        <v>55257.06</v>
      </c>
    </row>
    <row r="16" customFormat="false" ht="13.5"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25" footer="0.5"/>
  <pageSetup paperSize="1" scale="100" fitToWidth="1" fitToHeight="1" pageOrder="downThenOver" orientation="portrait" blackAndWhite="false" draft="false" cellComments="none" horizontalDpi="300" verticalDpi="300" copies="1"/>
  <headerFooter differentFirst="false" differentOddEven="false">
    <oddHeader>&amp;L&amp;"Arial,Bold"&amp;8 07/26/02&amp;C&amp;"Arial,Bold"&amp;12 World Flying Disc Federation
&amp;14 Balance Sheet
&amp;10 As of December 31, 1999</oddHeader>
    <oddFooter>&amp;R&amp;"Arial,Bold"&amp;8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BM5" activePane="bottomLeft" state="frozen"/>
      <selection pane="topLeft" activeCell="A1" activeCellId="0" sqref="A1"/>
      <selection pane="bottomLeft" activeCell="G64" activeCellId="0" sqref="G64"/>
    </sheetView>
  </sheetViews>
  <sheetFormatPr defaultColWidth="11.41796875" defaultRowHeight="12" zeroHeight="false" outlineLevelRow="0" outlineLevelCol="0"/>
  <cols>
    <col collapsed="false" customWidth="true" hidden="false" outlineLevel="0" max="1" min="1" style="86" width="12.27"/>
    <col collapsed="false" customWidth="true" hidden="false" outlineLevel="0" max="2" min="2" style="87" width="10.84"/>
    <col collapsed="false" customWidth="true" hidden="false" outlineLevel="0" max="3" min="3" style="88" width="15.68"/>
    <col collapsed="false" customWidth="true" hidden="false" outlineLevel="0" max="4" min="4" style="88" width="11.27"/>
    <col collapsed="false" customWidth="true" hidden="false" outlineLevel="0" max="5" min="5" style="87" width="15.68"/>
    <col collapsed="false" customWidth="true" hidden="false" outlineLevel="0" max="6" min="6" style="88" width="14.83"/>
    <col collapsed="false" customWidth="true" hidden="false" outlineLevel="0" max="7" min="7" style="87" width="14.83"/>
    <col collapsed="false" customWidth="false" hidden="false" outlineLevel="0" max="8" min="8" style="88" width="11.4"/>
    <col collapsed="false" customWidth="true" hidden="false" outlineLevel="0" max="9" min="9" style="87" width="12.69"/>
    <col collapsed="false" customWidth="false" hidden="false" outlineLevel="0" max="10" min="10" style="88" width="11.4"/>
    <col collapsed="false" customWidth="true" hidden="false" outlineLevel="0" max="11" min="11" style="87" width="10.84"/>
    <col collapsed="false" customWidth="false" hidden="false" outlineLevel="0" max="12" min="12" style="88" width="11.4"/>
    <col collapsed="false" customWidth="true" hidden="false" outlineLevel="0" max="13" min="13" style="87" width="10.84"/>
    <col collapsed="false" customWidth="false" hidden="false" outlineLevel="0" max="14" min="14" style="88" width="11.4"/>
    <col collapsed="false" customWidth="true" hidden="false" outlineLevel="0" max="15" min="15" style="87" width="14.69"/>
    <col collapsed="false" customWidth="false" hidden="false" outlineLevel="0" max="16" min="16" style="88" width="11.4"/>
    <col collapsed="false" customWidth="true" hidden="false" outlineLevel="0" max="17" min="17" style="87" width="10.84"/>
    <col collapsed="false" customWidth="true" hidden="false" outlineLevel="0" max="18" min="18" style="88" width="13.12"/>
    <col collapsed="false" customWidth="true" hidden="false" outlineLevel="0" max="19" min="19" style="87" width="13.12"/>
    <col collapsed="false" customWidth="false" hidden="false" outlineLevel="0" max="20" min="20" style="88" width="11.4"/>
    <col collapsed="false" customWidth="true" hidden="false" outlineLevel="0" max="21" min="21" style="87" width="10.84"/>
    <col collapsed="false" customWidth="false" hidden="false" outlineLevel="0" max="257" min="22" style="88" width="11.4"/>
  </cols>
  <sheetData>
    <row r="1" customFormat="false" ht="15.75" hidden="false" customHeight="false" outlineLevel="0" collapsed="false">
      <c r="A1" s="89" t="s">
        <v>60</v>
      </c>
      <c r="B1" s="90"/>
      <c r="C1" s="91"/>
      <c r="D1" s="91"/>
      <c r="E1" s="92"/>
      <c r="F1" s="92" t="s">
        <v>61</v>
      </c>
      <c r="G1" s="93" t="s">
        <v>62</v>
      </c>
      <c r="H1" s="94"/>
      <c r="I1" s="92"/>
      <c r="J1" s="94"/>
      <c r="K1" s="92"/>
      <c r="L1" s="94"/>
      <c r="M1" s="92"/>
      <c r="N1" s="94"/>
      <c r="O1" s="92"/>
      <c r="P1" s="94"/>
      <c r="Q1" s="92"/>
      <c r="R1" s="94"/>
      <c r="S1" s="92"/>
      <c r="T1" s="94"/>
      <c r="U1" s="92"/>
    </row>
    <row r="2" customFormat="false" ht="12" hidden="false" customHeight="false" outlineLevel="0" collapsed="false">
      <c r="A2" s="95"/>
      <c r="B2" s="92"/>
      <c r="C2" s="94"/>
      <c r="D2" s="94"/>
      <c r="E2" s="92"/>
      <c r="F2" s="94"/>
      <c r="G2" s="92"/>
      <c r="H2" s="94"/>
      <c r="I2" s="92"/>
      <c r="J2" s="94"/>
      <c r="K2" s="92"/>
      <c r="L2" s="94"/>
      <c r="M2" s="92"/>
      <c r="N2" s="94"/>
      <c r="O2" s="92"/>
      <c r="P2" s="94"/>
      <c r="Q2" s="92"/>
      <c r="R2" s="94"/>
      <c r="S2" s="92"/>
      <c r="T2" s="94"/>
      <c r="U2" s="92"/>
    </row>
    <row r="3" customFormat="false" ht="15.75" hidden="false" customHeight="false" outlineLevel="0" collapsed="false">
      <c r="A3" s="89" t="s">
        <v>63</v>
      </c>
      <c r="B3" s="92"/>
      <c r="C3" s="94"/>
      <c r="D3" s="94"/>
      <c r="E3" s="92"/>
      <c r="F3" s="94"/>
      <c r="G3" s="92"/>
      <c r="H3" s="94"/>
      <c r="I3" s="92"/>
      <c r="J3" s="94"/>
      <c r="K3" s="92"/>
      <c r="L3" s="94"/>
      <c r="M3" s="92"/>
      <c r="N3" s="94"/>
      <c r="O3" s="92"/>
      <c r="P3" s="94"/>
      <c r="Q3" s="92"/>
      <c r="R3" s="94"/>
      <c r="S3" s="92"/>
      <c r="T3" s="94"/>
      <c r="U3" s="92"/>
    </row>
    <row r="4" customFormat="false" ht="12" hidden="false" customHeight="false" outlineLevel="0" collapsed="false">
      <c r="A4" s="96" t="s">
        <v>64</v>
      </c>
      <c r="B4" s="97" t="s">
        <v>65</v>
      </c>
      <c r="C4" s="98" t="s">
        <v>66</v>
      </c>
      <c r="D4" s="98" t="s">
        <v>67</v>
      </c>
      <c r="E4" s="93" t="s">
        <v>68</v>
      </c>
      <c r="F4" s="98" t="s">
        <v>18</v>
      </c>
      <c r="G4" s="93" t="s">
        <v>68</v>
      </c>
      <c r="H4" s="98" t="s">
        <v>69</v>
      </c>
      <c r="I4" s="93" t="s">
        <v>68</v>
      </c>
      <c r="J4" s="98" t="s">
        <v>70</v>
      </c>
      <c r="K4" s="93" t="s">
        <v>68</v>
      </c>
      <c r="L4" s="98" t="s">
        <v>8</v>
      </c>
      <c r="M4" s="93" t="s">
        <v>68</v>
      </c>
      <c r="N4" s="98" t="s">
        <v>71</v>
      </c>
      <c r="O4" s="93" t="s">
        <v>68</v>
      </c>
      <c r="P4" s="98" t="s">
        <v>72</v>
      </c>
      <c r="Q4" s="93" t="s">
        <v>68</v>
      </c>
      <c r="R4" s="98" t="s">
        <v>73</v>
      </c>
      <c r="S4" s="93" t="s">
        <v>68</v>
      </c>
      <c r="T4" s="98" t="s">
        <v>74</v>
      </c>
      <c r="U4" s="93" t="s">
        <v>68</v>
      </c>
    </row>
    <row r="5" customFormat="false" ht="12" hidden="false" customHeight="false" outlineLevel="0" collapsed="false">
      <c r="A5" s="99"/>
      <c r="B5" s="100"/>
      <c r="C5" s="101"/>
      <c r="D5" s="101"/>
      <c r="E5" s="102"/>
      <c r="F5" s="101"/>
      <c r="G5" s="102"/>
      <c r="H5" s="101"/>
      <c r="I5" s="102"/>
      <c r="J5" s="101"/>
      <c r="K5" s="102"/>
      <c r="L5" s="101"/>
      <c r="M5" s="102"/>
      <c r="N5" s="101"/>
      <c r="O5" s="102"/>
      <c r="P5" s="101"/>
      <c r="Q5" s="102"/>
      <c r="R5" s="101"/>
      <c r="S5" s="102"/>
      <c r="T5" s="101"/>
      <c r="U5" s="102"/>
    </row>
    <row r="6" s="104" customFormat="true" ht="12" hidden="false" customHeight="false" outlineLevel="0" collapsed="false">
      <c r="A6" s="103" t="n">
        <v>37263</v>
      </c>
      <c r="B6" s="102" t="s">
        <v>75</v>
      </c>
      <c r="C6" s="104" t="n">
        <v>25.58</v>
      </c>
      <c r="E6" s="102"/>
      <c r="G6" s="102"/>
      <c r="I6" s="102"/>
      <c r="K6" s="102"/>
      <c r="M6" s="102"/>
      <c r="O6" s="102"/>
      <c r="Q6" s="102"/>
      <c r="S6" s="102"/>
      <c r="T6" s="104" t="n">
        <v>25.58</v>
      </c>
      <c r="U6" s="102" t="s">
        <v>76</v>
      </c>
    </row>
    <row r="7" s="104" customFormat="true" ht="12" hidden="false" customHeight="false" outlineLevel="0" collapsed="false">
      <c r="A7" s="103" t="n">
        <v>37263</v>
      </c>
      <c r="B7" s="102" t="s">
        <v>77</v>
      </c>
      <c r="C7" s="104" t="n">
        <v>5000</v>
      </c>
      <c r="E7" s="102"/>
      <c r="G7" s="102"/>
      <c r="H7" s="104" t="n">
        <v>5000</v>
      </c>
      <c r="I7" s="102" t="s">
        <v>78</v>
      </c>
      <c r="K7" s="102"/>
      <c r="M7" s="102"/>
      <c r="O7" s="102"/>
      <c r="Q7" s="102"/>
      <c r="S7" s="102"/>
      <c r="U7" s="102"/>
    </row>
    <row r="8" customFormat="false" ht="12" hidden="false" customHeight="false" outlineLevel="0" collapsed="false">
      <c r="A8" s="86" t="n">
        <v>37285</v>
      </c>
      <c r="B8" s="105" t="s">
        <v>79</v>
      </c>
      <c r="C8" s="106" t="n">
        <v>500</v>
      </c>
      <c r="D8" s="106"/>
      <c r="E8" s="105"/>
      <c r="F8" s="106"/>
      <c r="G8" s="105"/>
      <c r="H8" s="106" t="n">
        <v>500</v>
      </c>
      <c r="I8" s="105" t="s">
        <v>80</v>
      </c>
      <c r="J8" s="106"/>
      <c r="K8" s="105"/>
      <c r="L8" s="106"/>
      <c r="M8" s="105"/>
      <c r="N8" s="106"/>
      <c r="O8" s="105"/>
      <c r="P8" s="106"/>
      <c r="Q8" s="105"/>
      <c r="R8" s="106"/>
      <c r="S8" s="105"/>
      <c r="T8" s="106"/>
      <c r="U8" s="105"/>
    </row>
    <row r="9" customFormat="false" ht="12" hidden="false" customHeight="false" outlineLevel="0" collapsed="false">
      <c r="A9" s="86" t="n">
        <v>37300</v>
      </c>
      <c r="B9" s="105" t="s">
        <v>81</v>
      </c>
      <c r="C9" s="106" t="n">
        <v>306.8</v>
      </c>
      <c r="D9" s="106"/>
      <c r="E9" s="105"/>
      <c r="F9" s="106"/>
      <c r="G9" s="105"/>
      <c r="H9" s="106"/>
      <c r="I9" s="105"/>
      <c r="J9" s="106"/>
      <c r="K9" s="105"/>
      <c r="L9" s="106" t="n">
        <v>306.8</v>
      </c>
      <c r="M9" s="105" t="s">
        <v>82</v>
      </c>
      <c r="N9" s="106"/>
      <c r="O9" s="105"/>
      <c r="P9" s="106"/>
      <c r="Q9" s="105"/>
      <c r="R9" s="106"/>
      <c r="S9" s="105"/>
      <c r="T9" s="106"/>
      <c r="U9" s="105"/>
    </row>
    <row r="10" customFormat="false" ht="12" hidden="false" customHeight="false" outlineLevel="0" collapsed="false">
      <c r="A10" s="86" t="n">
        <v>37300</v>
      </c>
      <c r="B10" s="105" t="s">
        <v>83</v>
      </c>
      <c r="C10" s="106" t="n">
        <v>42</v>
      </c>
      <c r="D10" s="106" t="n">
        <v>42</v>
      </c>
      <c r="E10" s="105" t="s">
        <v>84</v>
      </c>
      <c r="F10" s="106"/>
      <c r="G10" s="105"/>
      <c r="H10" s="106"/>
      <c r="I10" s="105"/>
      <c r="J10" s="106"/>
      <c r="K10" s="105"/>
      <c r="L10" s="106"/>
      <c r="M10" s="105"/>
      <c r="N10" s="106"/>
      <c r="O10" s="105"/>
      <c r="P10" s="106"/>
      <c r="Q10" s="105"/>
      <c r="R10" s="106"/>
      <c r="S10" s="105"/>
      <c r="T10" s="106"/>
      <c r="U10" s="105"/>
    </row>
    <row r="11" customFormat="false" ht="12" hidden="false" customHeight="false" outlineLevel="0" collapsed="false">
      <c r="A11" s="86" t="n">
        <v>37301</v>
      </c>
      <c r="B11" s="105" t="s">
        <v>81</v>
      </c>
      <c r="C11" s="106" t="n">
        <v>2006.4</v>
      </c>
      <c r="D11" s="106"/>
      <c r="E11" s="105"/>
      <c r="F11" s="106"/>
      <c r="G11" s="105"/>
      <c r="H11" s="106"/>
      <c r="I11" s="105"/>
      <c r="J11" s="106"/>
      <c r="K11" s="105"/>
      <c r="L11" s="106" t="n">
        <v>2006.4</v>
      </c>
      <c r="M11" s="105" t="s">
        <v>85</v>
      </c>
      <c r="N11" s="106"/>
      <c r="O11" s="105"/>
      <c r="P11" s="106"/>
      <c r="Q11" s="105"/>
      <c r="R11" s="106"/>
      <c r="S11" s="105"/>
      <c r="T11" s="106"/>
      <c r="U11" s="105"/>
    </row>
    <row r="12" customFormat="false" ht="12" hidden="false" customHeight="false" outlineLevel="0" collapsed="false">
      <c r="A12" s="86" t="n">
        <v>37301</v>
      </c>
      <c r="B12" s="105" t="s">
        <v>83</v>
      </c>
      <c r="C12" s="106" t="n">
        <v>42</v>
      </c>
      <c r="D12" s="106" t="n">
        <v>42</v>
      </c>
      <c r="E12" s="105" t="s">
        <v>84</v>
      </c>
      <c r="F12" s="106"/>
      <c r="G12" s="105"/>
      <c r="H12" s="106"/>
      <c r="I12" s="105"/>
      <c r="J12" s="106"/>
      <c r="K12" s="105"/>
      <c r="L12" s="106"/>
      <c r="M12" s="105"/>
      <c r="N12" s="106"/>
      <c r="O12" s="105"/>
      <c r="P12" s="106"/>
      <c r="Q12" s="105"/>
      <c r="R12" s="106"/>
      <c r="S12" s="105"/>
      <c r="T12" s="106"/>
      <c r="U12" s="105"/>
    </row>
    <row r="13" customFormat="false" ht="12" hidden="false" customHeight="false" outlineLevel="0" collapsed="false">
      <c r="A13" s="86" t="n">
        <v>37307</v>
      </c>
      <c r="B13" s="105" t="s">
        <v>83</v>
      </c>
      <c r="C13" s="106" t="n">
        <v>10</v>
      </c>
      <c r="D13" s="106" t="n">
        <v>10</v>
      </c>
      <c r="E13" s="105" t="s">
        <v>86</v>
      </c>
      <c r="F13" s="106"/>
      <c r="G13" s="105"/>
      <c r="H13" s="106"/>
      <c r="I13" s="105"/>
      <c r="J13" s="106"/>
      <c r="K13" s="105"/>
      <c r="L13" s="106"/>
      <c r="M13" s="105"/>
      <c r="N13" s="106"/>
      <c r="O13" s="105"/>
      <c r="P13" s="106"/>
      <c r="Q13" s="105"/>
      <c r="R13" s="106"/>
      <c r="S13" s="105"/>
      <c r="T13" s="106"/>
      <c r="U13" s="105"/>
    </row>
    <row r="14" customFormat="false" ht="12" hidden="false" customHeight="false" outlineLevel="0" collapsed="false">
      <c r="A14" s="86" t="n">
        <v>37307</v>
      </c>
      <c r="B14" s="105" t="s">
        <v>83</v>
      </c>
      <c r="C14" s="106" t="n">
        <v>10</v>
      </c>
      <c r="D14" s="106" t="n">
        <v>10</v>
      </c>
      <c r="E14" s="105" t="s">
        <v>86</v>
      </c>
      <c r="F14" s="106"/>
      <c r="G14" s="105"/>
      <c r="H14" s="106"/>
      <c r="I14" s="105"/>
      <c r="J14" s="106"/>
      <c r="K14" s="105"/>
      <c r="L14" s="106"/>
      <c r="M14" s="105"/>
      <c r="N14" s="106"/>
      <c r="O14" s="105"/>
      <c r="P14" s="106"/>
      <c r="Q14" s="105"/>
      <c r="R14" s="106"/>
      <c r="S14" s="105"/>
      <c r="T14" s="106"/>
      <c r="U14" s="105"/>
    </row>
    <row r="15" customFormat="false" ht="12" hidden="false" customHeight="false" outlineLevel="0" collapsed="false">
      <c r="A15" s="86" t="n">
        <v>37308</v>
      </c>
      <c r="B15" s="105" t="s">
        <v>83</v>
      </c>
      <c r="C15" s="106" t="n">
        <v>10</v>
      </c>
      <c r="D15" s="106" t="n">
        <v>10</v>
      </c>
      <c r="E15" s="105" t="s">
        <v>86</v>
      </c>
      <c r="F15" s="106"/>
      <c r="G15" s="105"/>
      <c r="H15" s="106"/>
      <c r="I15" s="105"/>
      <c r="J15" s="106"/>
      <c r="K15" s="105"/>
      <c r="L15" s="106"/>
      <c r="M15" s="105"/>
      <c r="N15" s="106"/>
      <c r="O15" s="105"/>
      <c r="P15" s="106"/>
      <c r="Q15" s="105"/>
      <c r="R15" s="106"/>
      <c r="S15" s="105"/>
      <c r="T15" s="106"/>
      <c r="U15" s="105"/>
    </row>
    <row r="16" customFormat="false" ht="12" hidden="false" customHeight="false" outlineLevel="0" collapsed="false">
      <c r="A16" s="86" t="n">
        <v>37350</v>
      </c>
      <c r="B16" s="105" t="s">
        <v>87</v>
      </c>
      <c r="C16" s="106" t="n">
        <v>40</v>
      </c>
      <c r="D16" s="106"/>
      <c r="E16" s="105"/>
      <c r="F16" s="106"/>
      <c r="G16" s="105"/>
      <c r="H16" s="106"/>
      <c r="I16" s="105"/>
      <c r="J16" s="106"/>
      <c r="K16" s="105"/>
      <c r="L16" s="106"/>
      <c r="M16" s="105"/>
      <c r="N16" s="106" t="n">
        <v>40</v>
      </c>
      <c r="O16" s="105" t="s">
        <v>88</v>
      </c>
      <c r="P16" s="106"/>
      <c r="Q16" s="105"/>
      <c r="R16" s="106"/>
      <c r="S16" s="105"/>
      <c r="T16" s="106"/>
      <c r="U16" s="105"/>
    </row>
    <row r="17" customFormat="false" ht="12" hidden="false" customHeight="false" outlineLevel="0" collapsed="false">
      <c r="A17" s="86" t="n">
        <v>37351</v>
      </c>
      <c r="B17" s="105" t="s">
        <v>83</v>
      </c>
      <c r="C17" s="106" t="n">
        <v>10</v>
      </c>
      <c r="D17" s="106" t="n">
        <v>10</v>
      </c>
      <c r="E17" s="105" t="s">
        <v>86</v>
      </c>
      <c r="F17" s="106"/>
      <c r="G17" s="105"/>
      <c r="H17" s="106"/>
      <c r="I17" s="105"/>
      <c r="J17" s="106"/>
      <c r="K17" s="105"/>
      <c r="L17" s="106"/>
      <c r="M17" s="105"/>
      <c r="N17" s="106"/>
      <c r="O17" s="105"/>
      <c r="P17" s="106"/>
      <c r="Q17" s="105"/>
      <c r="R17" s="106"/>
      <c r="S17" s="105"/>
      <c r="T17" s="106"/>
      <c r="U17" s="105"/>
    </row>
    <row r="18" customFormat="false" ht="12" hidden="false" customHeight="false" outlineLevel="0" collapsed="false">
      <c r="A18" s="86" t="n">
        <v>37354</v>
      </c>
      <c r="B18" s="105" t="s">
        <v>89</v>
      </c>
      <c r="C18" s="106" t="n">
        <v>52.54</v>
      </c>
      <c r="D18" s="106"/>
      <c r="E18" s="105"/>
      <c r="F18" s="106"/>
      <c r="G18" s="105"/>
      <c r="H18" s="106"/>
      <c r="I18" s="105"/>
      <c r="J18" s="106"/>
      <c r="K18" s="105"/>
      <c r="L18" s="106"/>
      <c r="M18" s="105"/>
      <c r="N18" s="106" t="n">
        <v>52.54</v>
      </c>
      <c r="O18" s="105" t="s">
        <v>90</v>
      </c>
      <c r="P18" s="106"/>
      <c r="Q18" s="105"/>
      <c r="R18" s="106"/>
      <c r="S18" s="105"/>
      <c r="T18" s="106"/>
      <c r="U18" s="105"/>
    </row>
    <row r="19" customFormat="false" ht="12" hidden="false" customHeight="false" outlineLevel="0" collapsed="false">
      <c r="A19" s="86" t="n">
        <v>37356</v>
      </c>
      <c r="B19" s="105" t="s">
        <v>83</v>
      </c>
      <c r="C19" s="106" t="n">
        <v>10</v>
      </c>
      <c r="D19" s="106" t="n">
        <v>10</v>
      </c>
      <c r="E19" s="105" t="s">
        <v>86</v>
      </c>
      <c r="F19" s="106"/>
      <c r="G19" s="105"/>
      <c r="H19" s="106"/>
      <c r="I19" s="105"/>
      <c r="J19" s="106"/>
      <c r="K19" s="105"/>
      <c r="L19" s="106"/>
      <c r="M19" s="105"/>
      <c r="N19" s="106"/>
      <c r="O19" s="105"/>
      <c r="P19" s="106"/>
      <c r="Q19" s="105"/>
      <c r="R19" s="106"/>
      <c r="S19" s="105"/>
      <c r="T19" s="106"/>
      <c r="U19" s="105"/>
    </row>
    <row r="20" customFormat="false" ht="12" hidden="false" customHeight="false" outlineLevel="0" collapsed="false">
      <c r="A20" s="86" t="n">
        <v>37356</v>
      </c>
      <c r="B20" s="105" t="s">
        <v>83</v>
      </c>
      <c r="C20" s="106" t="n">
        <v>10</v>
      </c>
      <c r="D20" s="106" t="n">
        <v>10</v>
      </c>
      <c r="E20" s="105" t="s">
        <v>86</v>
      </c>
      <c r="F20" s="106"/>
      <c r="G20" s="105"/>
      <c r="H20" s="106"/>
      <c r="I20" s="105"/>
      <c r="J20" s="106"/>
      <c r="K20" s="105"/>
      <c r="L20" s="106"/>
      <c r="M20" s="105"/>
      <c r="N20" s="106"/>
      <c r="O20" s="105"/>
      <c r="P20" s="106"/>
      <c r="Q20" s="105"/>
      <c r="R20" s="106"/>
      <c r="S20" s="105"/>
      <c r="T20" s="106"/>
      <c r="U20" s="105"/>
    </row>
    <row r="21" customFormat="false" ht="12" hidden="false" customHeight="false" outlineLevel="0" collapsed="false">
      <c r="A21" s="86" t="n">
        <v>37356</v>
      </c>
      <c r="B21" s="105" t="s">
        <v>91</v>
      </c>
      <c r="C21" s="106" t="n">
        <v>3000</v>
      </c>
      <c r="D21" s="106"/>
      <c r="E21" s="105"/>
      <c r="F21" s="106" t="n">
        <v>3000</v>
      </c>
      <c r="G21" s="105" t="s">
        <v>92</v>
      </c>
      <c r="H21" s="106"/>
      <c r="I21" s="105"/>
      <c r="J21" s="106"/>
      <c r="K21" s="105"/>
      <c r="L21" s="106"/>
      <c r="M21" s="105"/>
      <c r="N21" s="106"/>
      <c r="O21" s="105"/>
      <c r="P21" s="106"/>
      <c r="Q21" s="105"/>
      <c r="R21" s="106"/>
      <c r="S21" s="105"/>
      <c r="T21" s="106"/>
      <c r="U21" s="105"/>
    </row>
    <row r="22" customFormat="false" ht="12" hidden="false" customHeight="false" outlineLevel="0" collapsed="false">
      <c r="A22" s="86" t="n">
        <v>37365</v>
      </c>
      <c r="B22" s="105" t="s">
        <v>83</v>
      </c>
      <c r="C22" s="106" t="n">
        <v>1.5</v>
      </c>
      <c r="D22" s="106" t="n">
        <v>1.5</v>
      </c>
      <c r="E22" s="105" t="s">
        <v>86</v>
      </c>
      <c r="F22" s="106"/>
      <c r="G22" s="105"/>
      <c r="H22" s="106"/>
      <c r="I22" s="105"/>
      <c r="J22" s="106"/>
      <c r="K22" s="105"/>
      <c r="L22" s="106"/>
      <c r="M22" s="105"/>
      <c r="N22" s="106"/>
      <c r="O22" s="105"/>
      <c r="P22" s="106"/>
      <c r="Q22" s="105"/>
      <c r="R22" s="106"/>
      <c r="S22" s="105"/>
      <c r="T22" s="106"/>
      <c r="U22" s="105"/>
    </row>
    <row r="23" customFormat="false" ht="12" hidden="false" customHeight="false" outlineLevel="0" collapsed="false">
      <c r="A23" s="86" t="n">
        <v>37377</v>
      </c>
      <c r="B23" s="105" t="s">
        <v>83</v>
      </c>
      <c r="C23" s="106" t="n">
        <v>10</v>
      </c>
      <c r="D23" s="106" t="n">
        <v>10</v>
      </c>
      <c r="E23" s="105" t="s">
        <v>86</v>
      </c>
      <c r="F23" s="106"/>
      <c r="G23" s="105"/>
      <c r="H23" s="106"/>
      <c r="I23" s="105"/>
      <c r="J23" s="106"/>
      <c r="K23" s="105"/>
      <c r="L23" s="106"/>
      <c r="M23" s="105"/>
      <c r="N23" s="106"/>
      <c r="O23" s="105"/>
      <c r="P23" s="106"/>
      <c r="Q23" s="105"/>
      <c r="R23" s="106"/>
      <c r="S23" s="105"/>
      <c r="T23" s="106"/>
      <c r="U23" s="105"/>
    </row>
    <row r="24" customFormat="false" ht="12" hidden="false" customHeight="false" outlineLevel="0" collapsed="false">
      <c r="A24" s="86" t="n">
        <v>37378</v>
      </c>
      <c r="B24" s="105" t="s">
        <v>83</v>
      </c>
      <c r="C24" s="106" t="n">
        <v>10</v>
      </c>
      <c r="D24" s="106" t="n">
        <v>10</v>
      </c>
      <c r="E24" s="105" t="s">
        <v>86</v>
      </c>
      <c r="F24" s="106"/>
      <c r="G24" s="105"/>
      <c r="H24" s="106"/>
      <c r="I24" s="105"/>
      <c r="J24" s="106"/>
      <c r="K24" s="105"/>
      <c r="L24" s="106"/>
      <c r="M24" s="105"/>
      <c r="N24" s="106"/>
      <c r="O24" s="105"/>
      <c r="P24" s="106"/>
      <c r="Q24" s="105"/>
      <c r="R24" s="106"/>
      <c r="S24" s="105"/>
      <c r="T24" s="106"/>
      <c r="U24" s="105"/>
    </row>
    <row r="25" customFormat="false" ht="12" hidden="false" customHeight="false" outlineLevel="0" collapsed="false">
      <c r="A25" s="86" t="n">
        <v>37378</v>
      </c>
      <c r="B25" s="105" t="s">
        <v>83</v>
      </c>
      <c r="C25" s="106" t="n">
        <v>10</v>
      </c>
      <c r="D25" s="106" t="n">
        <v>10</v>
      </c>
      <c r="E25" s="105" t="s">
        <v>86</v>
      </c>
      <c r="F25" s="106"/>
      <c r="G25" s="105"/>
      <c r="H25" s="106"/>
      <c r="I25" s="105"/>
      <c r="J25" s="106"/>
      <c r="K25" s="105"/>
      <c r="L25" s="106"/>
      <c r="M25" s="105"/>
      <c r="N25" s="106"/>
      <c r="O25" s="105"/>
      <c r="P25" s="106"/>
      <c r="Q25" s="105"/>
      <c r="R25" s="106"/>
      <c r="S25" s="105"/>
      <c r="T25" s="106"/>
      <c r="U25" s="105"/>
    </row>
    <row r="26" customFormat="false" ht="12" hidden="false" customHeight="false" outlineLevel="0" collapsed="false">
      <c r="A26" s="86" t="n">
        <v>37392</v>
      </c>
      <c r="B26" s="105" t="s">
        <v>83</v>
      </c>
      <c r="C26" s="106" t="n">
        <v>10</v>
      </c>
      <c r="D26" s="106" t="n">
        <v>10</v>
      </c>
      <c r="E26" s="105" t="s">
        <v>86</v>
      </c>
      <c r="F26" s="106"/>
      <c r="G26" s="105"/>
      <c r="H26" s="106"/>
      <c r="I26" s="105"/>
      <c r="J26" s="106"/>
      <c r="K26" s="105"/>
      <c r="L26" s="106"/>
      <c r="M26" s="105"/>
      <c r="N26" s="106"/>
      <c r="O26" s="105"/>
      <c r="P26" s="106"/>
      <c r="Q26" s="105"/>
      <c r="R26" s="106"/>
      <c r="S26" s="105"/>
      <c r="T26" s="106"/>
      <c r="U26" s="105"/>
    </row>
    <row r="27" customFormat="false" ht="12" hidden="false" customHeight="false" outlineLevel="0" collapsed="false">
      <c r="A27" s="86" t="n">
        <v>37405</v>
      </c>
      <c r="B27" s="105" t="s">
        <v>93</v>
      </c>
      <c r="C27" s="106" t="n">
        <v>2000</v>
      </c>
      <c r="D27" s="106"/>
      <c r="E27" s="105"/>
      <c r="F27" s="106"/>
      <c r="G27" s="105"/>
      <c r="H27" s="106"/>
      <c r="I27" s="105"/>
      <c r="J27" s="106"/>
      <c r="K27" s="105"/>
      <c r="L27" s="106"/>
      <c r="M27" s="105"/>
      <c r="N27" s="106"/>
      <c r="O27" s="105"/>
      <c r="P27" s="106"/>
      <c r="Q27" s="105"/>
      <c r="R27" s="106" t="n">
        <v>2000</v>
      </c>
      <c r="S27" s="105" t="s">
        <v>94</v>
      </c>
      <c r="T27" s="106"/>
      <c r="U27" s="105"/>
    </row>
    <row r="28" customFormat="false" ht="12" hidden="false" customHeight="false" outlineLevel="0" collapsed="false">
      <c r="A28" s="86" t="n">
        <v>37407</v>
      </c>
      <c r="B28" s="105" t="s">
        <v>83</v>
      </c>
      <c r="C28" s="106" t="n">
        <v>10</v>
      </c>
      <c r="D28" s="106" t="n">
        <v>10</v>
      </c>
      <c r="E28" s="105" t="s">
        <v>86</v>
      </c>
      <c r="F28" s="106"/>
      <c r="G28" s="105"/>
      <c r="H28" s="106"/>
      <c r="I28" s="105"/>
      <c r="J28" s="106"/>
      <c r="K28" s="105"/>
      <c r="L28" s="106"/>
      <c r="M28" s="105"/>
      <c r="N28" s="106"/>
      <c r="O28" s="105"/>
      <c r="P28" s="106"/>
      <c r="Q28" s="105"/>
      <c r="R28" s="106"/>
      <c r="S28" s="105"/>
      <c r="T28" s="106"/>
      <c r="U28" s="105"/>
    </row>
    <row r="29" customFormat="false" ht="12" hidden="false" customHeight="false" outlineLevel="0" collapsed="false">
      <c r="A29" s="86" t="n">
        <v>37418</v>
      </c>
      <c r="B29" s="105" t="s">
        <v>83</v>
      </c>
      <c r="C29" s="106" t="n">
        <v>10</v>
      </c>
      <c r="D29" s="106" t="n">
        <v>10</v>
      </c>
      <c r="E29" s="105" t="s">
        <v>86</v>
      </c>
      <c r="F29" s="106"/>
      <c r="G29" s="105"/>
      <c r="H29" s="106"/>
      <c r="I29" s="105"/>
      <c r="J29" s="106"/>
      <c r="K29" s="105"/>
      <c r="L29" s="106"/>
      <c r="M29" s="105"/>
      <c r="N29" s="106"/>
      <c r="O29" s="105"/>
      <c r="P29" s="106"/>
      <c r="Q29" s="105"/>
      <c r="R29" s="106"/>
      <c r="S29" s="105"/>
      <c r="T29" s="106"/>
      <c r="U29" s="105"/>
    </row>
    <row r="30" customFormat="false" ht="12" hidden="false" customHeight="false" outlineLevel="0" collapsed="false">
      <c r="A30" s="86" t="n">
        <v>37427</v>
      </c>
      <c r="B30" s="105" t="s">
        <v>83</v>
      </c>
      <c r="C30" s="106" t="n">
        <v>10</v>
      </c>
      <c r="D30" s="106" t="n">
        <v>10</v>
      </c>
      <c r="E30" s="105" t="s">
        <v>86</v>
      </c>
      <c r="F30" s="106"/>
      <c r="G30" s="105"/>
      <c r="H30" s="106"/>
      <c r="I30" s="105"/>
      <c r="J30" s="106"/>
      <c r="K30" s="105"/>
      <c r="L30" s="106"/>
      <c r="M30" s="105"/>
      <c r="N30" s="106"/>
      <c r="O30" s="105"/>
      <c r="P30" s="106"/>
      <c r="Q30" s="105"/>
      <c r="R30" s="106"/>
      <c r="S30" s="105"/>
      <c r="T30" s="106"/>
      <c r="U30" s="105"/>
    </row>
    <row r="31" customFormat="false" ht="12" hidden="false" customHeight="false" outlineLevel="0" collapsed="false">
      <c r="A31" s="86" t="n">
        <v>37442</v>
      </c>
      <c r="B31" s="105" t="s">
        <v>83</v>
      </c>
      <c r="C31" s="106" t="n">
        <v>10</v>
      </c>
      <c r="D31" s="106" t="n">
        <v>10</v>
      </c>
      <c r="E31" s="105" t="s">
        <v>86</v>
      </c>
      <c r="F31" s="106"/>
      <c r="G31" s="105"/>
      <c r="H31" s="106"/>
      <c r="I31" s="105"/>
      <c r="J31" s="106"/>
      <c r="K31" s="105"/>
      <c r="L31" s="106"/>
      <c r="M31" s="105"/>
      <c r="N31" s="106"/>
      <c r="O31" s="105"/>
      <c r="P31" s="106"/>
      <c r="Q31" s="105"/>
      <c r="R31" s="106"/>
      <c r="S31" s="105"/>
      <c r="T31" s="106"/>
      <c r="U31" s="105"/>
    </row>
    <row r="32" customFormat="false" ht="12" hidden="false" customHeight="false" outlineLevel="0" collapsed="false">
      <c r="A32" s="86" t="n">
        <v>37445</v>
      </c>
      <c r="B32" s="105" t="s">
        <v>95</v>
      </c>
      <c r="C32" s="106" t="n">
        <v>3000</v>
      </c>
      <c r="D32" s="106"/>
      <c r="E32" s="105"/>
      <c r="F32" s="106" t="n">
        <v>3000</v>
      </c>
      <c r="G32" s="105" t="s">
        <v>96</v>
      </c>
      <c r="H32" s="106"/>
      <c r="I32" s="105"/>
      <c r="J32" s="106"/>
      <c r="K32" s="105"/>
      <c r="L32" s="106"/>
      <c r="M32" s="105"/>
      <c r="N32" s="106"/>
      <c r="O32" s="105"/>
      <c r="P32" s="106"/>
      <c r="Q32" s="105"/>
      <c r="R32" s="106"/>
      <c r="S32" s="105"/>
      <c r="T32" s="106"/>
      <c r="U32" s="105"/>
    </row>
    <row r="33" customFormat="false" ht="12" hidden="false" customHeight="false" outlineLevel="0" collapsed="false">
      <c r="A33" s="86" t="n">
        <v>37453</v>
      </c>
      <c r="B33" s="105" t="s">
        <v>97</v>
      </c>
      <c r="C33" s="106" t="n">
        <v>650</v>
      </c>
      <c r="D33" s="106"/>
      <c r="E33" s="105"/>
      <c r="F33" s="106"/>
      <c r="G33" s="105"/>
      <c r="H33" s="106" t="n">
        <v>650</v>
      </c>
      <c r="I33" s="105" t="s">
        <v>98</v>
      </c>
      <c r="J33" s="106"/>
      <c r="K33" s="105"/>
      <c r="L33" s="106"/>
      <c r="M33" s="105"/>
      <c r="N33" s="106"/>
      <c r="O33" s="105"/>
      <c r="P33" s="106"/>
      <c r="Q33" s="105"/>
      <c r="R33" s="106"/>
      <c r="S33" s="105"/>
      <c r="T33" s="106"/>
      <c r="U33" s="105"/>
    </row>
    <row r="34" customFormat="false" ht="12" hidden="false" customHeight="false" outlineLevel="0" collapsed="false">
      <c r="A34" s="86" t="n">
        <v>37456</v>
      </c>
      <c r="B34" s="105" t="s">
        <v>81</v>
      </c>
      <c r="C34" s="106" t="n">
        <v>609.82</v>
      </c>
      <c r="D34" s="106"/>
      <c r="E34" s="105"/>
      <c r="F34" s="106"/>
      <c r="G34" s="105"/>
      <c r="H34" s="106" t="n">
        <v>609.82</v>
      </c>
      <c r="I34" s="105" t="s">
        <v>99</v>
      </c>
      <c r="J34" s="106"/>
      <c r="K34" s="105"/>
      <c r="L34" s="106"/>
      <c r="M34" s="105"/>
      <c r="N34" s="106"/>
      <c r="O34" s="105"/>
      <c r="P34" s="106"/>
      <c r="Q34" s="105"/>
      <c r="R34" s="106"/>
      <c r="S34" s="105"/>
      <c r="T34" s="106"/>
      <c r="U34" s="105"/>
    </row>
    <row r="35" customFormat="false" ht="12" hidden="false" customHeight="false" outlineLevel="0" collapsed="false">
      <c r="A35" s="86" t="n">
        <v>37456</v>
      </c>
      <c r="B35" s="105" t="s">
        <v>83</v>
      </c>
      <c r="C35" s="106" t="n">
        <v>42</v>
      </c>
      <c r="D35" s="106" t="n">
        <v>42</v>
      </c>
      <c r="E35" s="105" t="s">
        <v>100</v>
      </c>
      <c r="F35" s="106"/>
      <c r="G35" s="105"/>
      <c r="H35" s="106"/>
      <c r="I35" s="105"/>
      <c r="J35" s="106"/>
      <c r="K35" s="105"/>
      <c r="L35" s="106"/>
      <c r="M35" s="105"/>
      <c r="N35" s="106"/>
      <c r="O35" s="105"/>
      <c r="P35" s="106"/>
      <c r="Q35" s="105"/>
      <c r="R35" s="106"/>
      <c r="S35" s="105"/>
      <c r="T35" s="106"/>
      <c r="U35" s="105"/>
    </row>
    <row r="36" customFormat="false" ht="12" hidden="false" customHeight="false" outlineLevel="0" collapsed="false">
      <c r="A36" s="86" t="n">
        <v>37468</v>
      </c>
      <c r="B36" s="105" t="s">
        <v>101</v>
      </c>
      <c r="C36" s="106" t="n">
        <v>2024.48</v>
      </c>
      <c r="D36" s="106"/>
      <c r="E36" s="105" t="s">
        <v>102</v>
      </c>
      <c r="F36" s="106" t="n">
        <v>2000</v>
      </c>
      <c r="G36" s="105" t="s">
        <v>103</v>
      </c>
      <c r="H36" s="106"/>
      <c r="I36" s="105"/>
      <c r="J36" s="106"/>
      <c r="K36" s="105"/>
      <c r="L36" s="106"/>
      <c r="M36" s="105"/>
      <c r="N36" s="106"/>
      <c r="O36" s="105"/>
      <c r="P36" s="106"/>
      <c r="Q36" s="105"/>
      <c r="R36" s="106"/>
      <c r="S36" s="105"/>
      <c r="T36" s="106" t="n">
        <v>24.48</v>
      </c>
      <c r="U36" s="105" t="s">
        <v>104</v>
      </c>
    </row>
    <row r="37" customFormat="false" ht="12" hidden="false" customHeight="false" outlineLevel="0" collapsed="false">
      <c r="A37" s="103" t="n">
        <v>37468</v>
      </c>
      <c r="B37" s="105" t="s">
        <v>83</v>
      </c>
      <c r="C37" s="106" t="n">
        <v>10</v>
      </c>
      <c r="D37" s="106" t="n">
        <v>10</v>
      </c>
      <c r="E37" s="105" t="s">
        <v>84</v>
      </c>
      <c r="F37" s="106"/>
      <c r="G37" s="105"/>
      <c r="H37" s="106"/>
      <c r="I37" s="105"/>
      <c r="J37" s="106"/>
      <c r="K37" s="105"/>
      <c r="L37" s="106"/>
      <c r="M37" s="105"/>
      <c r="N37" s="106"/>
      <c r="O37" s="105"/>
      <c r="P37" s="106"/>
      <c r="Q37" s="105"/>
      <c r="R37" s="106"/>
      <c r="S37" s="105"/>
      <c r="T37" s="106"/>
      <c r="U37" s="105"/>
    </row>
    <row r="38" customFormat="false" ht="12" hidden="false" customHeight="false" outlineLevel="0" collapsed="false">
      <c r="A38" s="86" t="n">
        <v>37470</v>
      </c>
      <c r="B38" s="105" t="s">
        <v>105</v>
      </c>
      <c r="C38" s="106" t="n">
        <v>1000</v>
      </c>
      <c r="D38" s="106"/>
      <c r="E38" s="105"/>
      <c r="F38" s="106"/>
      <c r="G38" s="105"/>
      <c r="H38" s="106"/>
      <c r="I38" s="105"/>
      <c r="J38" s="106"/>
      <c r="K38" s="105"/>
      <c r="L38" s="106"/>
      <c r="M38" s="105"/>
      <c r="N38" s="106" t="n">
        <v>1000</v>
      </c>
      <c r="O38" s="105" t="s">
        <v>106</v>
      </c>
      <c r="P38" s="106"/>
      <c r="Q38" s="105"/>
      <c r="R38" s="106"/>
      <c r="S38" s="105"/>
      <c r="T38" s="106"/>
      <c r="U38" s="105"/>
    </row>
    <row r="39" customFormat="false" ht="12" hidden="false" customHeight="false" outlineLevel="0" collapsed="false">
      <c r="A39" s="86" t="n">
        <v>37476</v>
      </c>
      <c r="B39" s="105" t="s">
        <v>83</v>
      </c>
      <c r="C39" s="106" t="n">
        <v>54.15</v>
      </c>
      <c r="D39" s="106" t="n">
        <v>54.15</v>
      </c>
      <c r="E39" s="105" t="s">
        <v>107</v>
      </c>
      <c r="F39" s="106"/>
      <c r="G39" s="105"/>
      <c r="H39" s="106"/>
      <c r="I39" s="105"/>
      <c r="J39" s="106"/>
      <c r="K39" s="105"/>
      <c r="L39" s="106"/>
      <c r="M39" s="105"/>
      <c r="N39" s="106"/>
      <c r="O39" s="105"/>
      <c r="P39" s="106"/>
      <c r="Q39" s="105"/>
      <c r="R39" s="106"/>
      <c r="S39" s="105"/>
      <c r="T39" s="106"/>
      <c r="U39" s="105"/>
    </row>
    <row r="40" customFormat="false" ht="12" hidden="false" customHeight="false" outlineLevel="0" collapsed="false">
      <c r="A40" s="86" t="n">
        <v>37496</v>
      </c>
      <c r="B40" s="105" t="s">
        <v>108</v>
      </c>
      <c r="C40" s="106" t="n">
        <v>1045.43</v>
      </c>
      <c r="D40" s="106"/>
      <c r="E40" s="105"/>
      <c r="F40" s="106"/>
      <c r="G40" s="105"/>
      <c r="H40" s="106"/>
      <c r="I40" s="105"/>
      <c r="J40" s="106"/>
      <c r="K40" s="105"/>
      <c r="L40" s="106"/>
      <c r="M40" s="105"/>
      <c r="N40" s="106" t="n">
        <v>1045.43</v>
      </c>
      <c r="O40" s="105" t="s">
        <v>109</v>
      </c>
      <c r="P40" s="106"/>
      <c r="Q40" s="105"/>
      <c r="R40" s="106"/>
      <c r="S40" s="105"/>
      <c r="T40" s="106"/>
      <c r="U40" s="105"/>
    </row>
    <row r="41" customFormat="false" ht="12" hidden="false" customHeight="false" outlineLevel="0" collapsed="false">
      <c r="A41" s="86" t="n">
        <v>37502</v>
      </c>
      <c r="B41" s="105" t="s">
        <v>110</v>
      </c>
      <c r="C41" s="106" t="n">
        <v>441.87</v>
      </c>
      <c r="D41" s="106"/>
      <c r="E41" s="105"/>
      <c r="F41" s="106"/>
      <c r="G41" s="105"/>
      <c r="H41" s="106"/>
      <c r="I41" s="105"/>
      <c r="J41" s="106"/>
      <c r="K41" s="105"/>
      <c r="L41" s="106"/>
      <c r="M41" s="105"/>
      <c r="N41" s="106"/>
      <c r="O41" s="105"/>
      <c r="P41" s="106"/>
      <c r="Q41" s="105"/>
      <c r="R41" s="106"/>
      <c r="S41" s="105"/>
      <c r="T41" s="106" t="n">
        <v>441.87</v>
      </c>
      <c r="U41" s="105" t="s">
        <v>111</v>
      </c>
    </row>
    <row r="42" customFormat="false" ht="12" hidden="false" customHeight="false" outlineLevel="0" collapsed="false">
      <c r="A42" s="86" t="n">
        <v>37503</v>
      </c>
      <c r="B42" s="105" t="s">
        <v>112</v>
      </c>
      <c r="C42" s="106" t="n">
        <v>416.73</v>
      </c>
      <c r="D42" s="106"/>
      <c r="E42" s="105"/>
      <c r="F42" s="106"/>
      <c r="G42" s="105"/>
      <c r="H42" s="106"/>
      <c r="I42" s="105"/>
      <c r="J42" s="106"/>
      <c r="K42" s="105"/>
      <c r="L42" s="106"/>
      <c r="M42" s="105"/>
      <c r="N42" s="106" t="n">
        <v>416.73</v>
      </c>
      <c r="O42" s="105" t="s">
        <v>88</v>
      </c>
      <c r="P42" s="106"/>
      <c r="Q42" s="105"/>
      <c r="R42" s="106"/>
      <c r="S42" s="105"/>
      <c r="T42" s="106"/>
      <c r="U42" s="105"/>
    </row>
    <row r="43" customFormat="false" ht="12" hidden="false" customHeight="false" outlineLevel="0" collapsed="false">
      <c r="A43" s="103" t="n">
        <v>37504</v>
      </c>
      <c r="B43" s="105" t="s">
        <v>113</v>
      </c>
      <c r="C43" s="106" t="n">
        <v>309.74</v>
      </c>
      <c r="D43" s="106"/>
      <c r="E43" s="105"/>
      <c r="F43" s="106"/>
      <c r="G43" s="105"/>
      <c r="H43" s="106"/>
      <c r="I43" s="105"/>
      <c r="J43" s="106"/>
      <c r="K43" s="105"/>
      <c r="L43" s="106"/>
      <c r="M43" s="105"/>
      <c r="N43" s="106" t="n">
        <v>309.74</v>
      </c>
      <c r="O43" s="105" t="s">
        <v>114</v>
      </c>
      <c r="P43" s="106"/>
      <c r="Q43" s="105"/>
      <c r="R43" s="106"/>
      <c r="S43" s="105"/>
      <c r="T43" s="106"/>
      <c r="U43" s="105"/>
    </row>
    <row r="44" customFormat="false" ht="12" hidden="false" customHeight="false" outlineLevel="0" collapsed="false">
      <c r="A44" s="103" t="n">
        <v>37510</v>
      </c>
      <c r="B44" s="105" t="s">
        <v>115</v>
      </c>
      <c r="C44" s="106" t="n">
        <v>380</v>
      </c>
      <c r="D44" s="106"/>
      <c r="E44" s="105"/>
      <c r="F44" s="106"/>
      <c r="G44" s="105"/>
      <c r="H44" s="106" t="n">
        <v>380</v>
      </c>
      <c r="I44" s="105" t="s">
        <v>116</v>
      </c>
      <c r="J44" s="106"/>
      <c r="K44" s="105"/>
      <c r="L44" s="106"/>
      <c r="M44" s="105"/>
      <c r="N44" s="106"/>
      <c r="O44" s="105"/>
      <c r="P44" s="106"/>
      <c r="Q44" s="105"/>
      <c r="R44" s="106"/>
      <c r="S44" s="105"/>
      <c r="T44" s="106"/>
      <c r="U44" s="105"/>
    </row>
    <row r="45" customFormat="false" ht="12" hidden="false" customHeight="false" outlineLevel="0" collapsed="false">
      <c r="A45" s="103" t="n">
        <v>37515</v>
      </c>
      <c r="B45" s="105" t="s">
        <v>117</v>
      </c>
      <c r="C45" s="106" t="n">
        <v>1562.9</v>
      </c>
      <c r="D45" s="106"/>
      <c r="E45" s="105"/>
      <c r="F45" s="106"/>
      <c r="G45" s="105"/>
      <c r="H45" s="106" t="n">
        <v>1562.9</v>
      </c>
      <c r="I45" s="105" t="s">
        <v>118</v>
      </c>
      <c r="J45" s="106"/>
      <c r="K45" s="105"/>
      <c r="L45" s="106"/>
      <c r="M45" s="105"/>
      <c r="N45" s="106"/>
      <c r="O45" s="105"/>
      <c r="P45" s="106"/>
      <c r="Q45" s="105"/>
      <c r="R45" s="106"/>
      <c r="S45" s="105"/>
      <c r="T45" s="106"/>
      <c r="U45" s="105"/>
    </row>
    <row r="46" customFormat="false" ht="12" hidden="false" customHeight="false" outlineLevel="0" collapsed="false">
      <c r="A46" s="86" t="n">
        <v>37517</v>
      </c>
      <c r="B46" s="105" t="s">
        <v>119</v>
      </c>
      <c r="C46" s="106" t="n">
        <v>0</v>
      </c>
      <c r="D46" s="106"/>
      <c r="E46" s="105" t="s">
        <v>120</v>
      </c>
      <c r="F46" s="106"/>
      <c r="G46" s="105"/>
      <c r="H46" s="106" t="n">
        <v>0</v>
      </c>
      <c r="I46" s="105" t="s">
        <v>121</v>
      </c>
      <c r="J46" s="106"/>
      <c r="K46" s="105"/>
      <c r="L46" s="106"/>
      <c r="M46" s="105"/>
      <c r="N46" s="106"/>
      <c r="O46" s="105"/>
      <c r="P46" s="106"/>
      <c r="Q46" s="105"/>
      <c r="R46" s="106"/>
      <c r="S46" s="105"/>
      <c r="T46" s="106"/>
      <c r="U46" s="105"/>
    </row>
    <row r="47" customFormat="false" ht="12" hidden="false" customHeight="false" outlineLevel="0" collapsed="false">
      <c r="A47" s="86" t="n">
        <v>37537</v>
      </c>
      <c r="B47" s="105" t="s">
        <v>83</v>
      </c>
      <c r="C47" s="106" t="n">
        <v>6</v>
      </c>
      <c r="D47" s="106" t="n">
        <v>6</v>
      </c>
      <c r="E47" s="105"/>
      <c r="F47" s="106"/>
      <c r="G47" s="105"/>
      <c r="H47" s="106"/>
      <c r="I47" s="105"/>
      <c r="J47" s="106"/>
      <c r="K47" s="105"/>
      <c r="L47" s="106"/>
      <c r="M47" s="105"/>
      <c r="N47" s="106"/>
      <c r="O47" s="105"/>
      <c r="P47" s="106"/>
      <c r="Q47" s="105"/>
      <c r="R47" s="106"/>
      <c r="S47" s="105"/>
      <c r="T47" s="106"/>
      <c r="U47" s="105"/>
    </row>
    <row r="48" customFormat="false" ht="12" hidden="false" customHeight="false" outlineLevel="0" collapsed="false">
      <c r="A48" s="86" t="n">
        <v>37593</v>
      </c>
      <c r="B48" s="105" t="s">
        <v>112</v>
      </c>
      <c r="C48" s="106" t="n">
        <v>11.44</v>
      </c>
      <c r="D48" s="106"/>
      <c r="E48" s="105"/>
      <c r="F48" s="106"/>
      <c r="G48" s="105"/>
      <c r="H48" s="106"/>
      <c r="I48" s="105"/>
      <c r="J48" s="106"/>
      <c r="K48" s="105"/>
      <c r="L48" s="106"/>
      <c r="M48" s="105"/>
      <c r="N48" s="106" t="n">
        <v>11.44</v>
      </c>
      <c r="O48" s="105" t="s">
        <v>88</v>
      </c>
      <c r="P48" s="106"/>
      <c r="Q48" s="105"/>
      <c r="R48" s="106"/>
      <c r="S48" s="105"/>
      <c r="T48" s="106"/>
      <c r="U48" s="105"/>
    </row>
    <row r="49" customFormat="false" ht="12" hidden="false" customHeight="false" outlineLevel="0" collapsed="false">
      <c r="A49" s="86" t="n">
        <v>37608</v>
      </c>
      <c r="B49" s="105" t="s">
        <v>122</v>
      </c>
      <c r="C49" s="106" t="n">
        <v>3000</v>
      </c>
      <c r="D49" s="106"/>
      <c r="E49" s="105"/>
      <c r="F49" s="106" t="n">
        <v>3000</v>
      </c>
      <c r="G49" s="105" t="s">
        <v>123</v>
      </c>
      <c r="H49" s="106"/>
      <c r="I49" s="105"/>
      <c r="J49" s="106"/>
      <c r="K49" s="105"/>
      <c r="L49" s="106"/>
      <c r="M49" s="105"/>
      <c r="N49" s="106"/>
      <c r="O49" s="105"/>
      <c r="P49" s="106"/>
      <c r="Q49" s="105"/>
      <c r="R49" s="106"/>
      <c r="S49" s="105"/>
      <c r="T49" s="106"/>
      <c r="U49" s="105"/>
    </row>
    <row r="50" customFormat="false" ht="12" hidden="false" customHeight="false" outlineLevel="0" collapsed="false">
      <c r="A50" s="86" t="n">
        <v>37609</v>
      </c>
      <c r="B50" s="105" t="s">
        <v>124</v>
      </c>
      <c r="C50" s="106" t="n">
        <v>3000</v>
      </c>
      <c r="D50" s="106"/>
      <c r="E50" s="105"/>
      <c r="F50" s="106" t="n">
        <v>3000</v>
      </c>
      <c r="G50" s="105" t="s">
        <v>125</v>
      </c>
      <c r="H50" s="106"/>
      <c r="I50" s="105"/>
      <c r="J50" s="106"/>
      <c r="K50" s="105"/>
      <c r="L50" s="106"/>
      <c r="M50" s="105"/>
      <c r="N50" s="106"/>
      <c r="O50" s="105"/>
      <c r="P50" s="106"/>
      <c r="Q50" s="105"/>
      <c r="R50" s="106"/>
      <c r="S50" s="105"/>
      <c r="T50" s="106"/>
      <c r="U50" s="105"/>
    </row>
    <row r="51" customFormat="false" ht="12" hidden="false" customHeight="false" outlineLevel="0" collapsed="false">
      <c r="A51" s="86" t="n">
        <v>37621</v>
      </c>
      <c r="B51" s="105" t="s">
        <v>83</v>
      </c>
      <c r="C51" s="106" t="n">
        <v>10</v>
      </c>
      <c r="D51" s="106" t="n">
        <v>10</v>
      </c>
      <c r="E51" s="105"/>
      <c r="F51" s="106"/>
      <c r="G51" s="105"/>
      <c r="H51" s="106"/>
      <c r="I51" s="105"/>
      <c r="J51" s="106"/>
      <c r="K51" s="105"/>
      <c r="L51" s="106"/>
      <c r="M51" s="105"/>
      <c r="N51" s="106"/>
      <c r="O51" s="105"/>
      <c r="P51" s="106"/>
      <c r="Q51" s="105"/>
      <c r="R51" s="106"/>
      <c r="S51" s="105"/>
      <c r="T51" s="106"/>
      <c r="U51" s="105"/>
    </row>
    <row r="52" customFormat="false" ht="12" hidden="false" customHeight="false" outlineLevel="0" collapsed="false">
      <c r="B52" s="105"/>
      <c r="C52" s="106"/>
      <c r="D52" s="106"/>
      <c r="E52" s="105"/>
      <c r="F52" s="106"/>
      <c r="G52" s="105"/>
      <c r="H52" s="106"/>
      <c r="I52" s="105"/>
      <c r="J52" s="106"/>
      <c r="K52" s="105"/>
      <c r="L52" s="106"/>
      <c r="M52" s="105"/>
      <c r="N52" s="106"/>
      <c r="O52" s="105"/>
      <c r="P52" s="106"/>
      <c r="Q52" s="105"/>
      <c r="R52" s="106"/>
      <c r="S52" s="105"/>
      <c r="T52" s="106"/>
      <c r="U52" s="105"/>
    </row>
    <row r="53" customFormat="false" ht="12" hidden="false" customHeight="false" outlineLevel="0" collapsed="false">
      <c r="B53" s="105"/>
      <c r="C53" s="106"/>
      <c r="D53" s="106"/>
      <c r="E53" s="105"/>
      <c r="F53" s="106"/>
      <c r="G53" s="105"/>
      <c r="H53" s="106"/>
      <c r="I53" s="105"/>
      <c r="J53" s="106"/>
      <c r="K53" s="105"/>
      <c r="L53" s="106"/>
      <c r="M53" s="105"/>
      <c r="N53" s="106"/>
      <c r="O53" s="105"/>
      <c r="P53" s="106"/>
      <c r="Q53" s="105"/>
      <c r="R53" s="106"/>
      <c r="S53" s="105"/>
      <c r="T53" s="106"/>
      <c r="U53" s="105"/>
    </row>
    <row r="55" customFormat="false" ht="15.75" hidden="false" customHeight="false" outlineLevel="0" collapsed="false">
      <c r="A55" s="107" t="s">
        <v>126</v>
      </c>
      <c r="B55" s="108"/>
      <c r="C55" s="109" t="n">
        <f aca="false">SUM(C6:C54)</f>
        <v>30731.38</v>
      </c>
      <c r="D55" s="109" t="n">
        <f aca="false">SUM(D8:D54)</f>
        <v>347.65</v>
      </c>
      <c r="E55" s="92"/>
      <c r="F55" s="109" t="n">
        <f aca="false">SUM(F8:F54)</f>
        <v>14000</v>
      </c>
      <c r="G55" s="92"/>
      <c r="H55" s="109" t="n">
        <f aca="false">SUM(H6:H54)</f>
        <v>8702.72</v>
      </c>
      <c r="I55" s="92"/>
      <c r="J55" s="109" t="n">
        <f aca="false">SUM(J8:J54)</f>
        <v>0</v>
      </c>
      <c r="K55" s="92"/>
      <c r="L55" s="109" t="n">
        <f aca="false">SUM(L8:L54)</f>
        <v>2313.2</v>
      </c>
      <c r="M55" s="92"/>
      <c r="N55" s="109" t="n">
        <f aca="false">SUM(N8:N54)</f>
        <v>2875.88</v>
      </c>
      <c r="O55" s="92"/>
      <c r="P55" s="109" t="n">
        <f aca="false">SUM(P8:P54)</f>
        <v>0</v>
      </c>
      <c r="Q55" s="92"/>
      <c r="R55" s="109" t="n">
        <f aca="false">SUM(R8:R54)</f>
        <v>2000</v>
      </c>
      <c r="S55" s="92"/>
      <c r="T55" s="109" t="n">
        <f aca="false">SUM(T6:T54)</f>
        <v>491.93</v>
      </c>
      <c r="U55" s="92"/>
    </row>
    <row r="57" customFormat="false" ht="12" hidden="false" customHeight="false" outlineLevel="0" collapsed="false">
      <c r="B57" s="102"/>
    </row>
    <row r="58" customFormat="false" ht="12" hidden="false" customHeight="false" outlineLevel="0" collapsed="false">
      <c r="C58" s="101" t="s">
        <v>127</v>
      </c>
      <c r="H58" s="106" t="n">
        <f aca="false">H45+H44+H33</f>
        <v>2592.9</v>
      </c>
      <c r="I58" s="110" t="s">
        <v>128</v>
      </c>
    </row>
    <row r="59" customFormat="false" ht="12" hidden="false" customHeight="false" outlineLevel="0" collapsed="false">
      <c r="C59" s="104" t="s">
        <v>129</v>
      </c>
      <c r="D59" s="106" t="n">
        <f aca="false">C55</f>
        <v>30731.38</v>
      </c>
    </row>
    <row r="60" customFormat="false" ht="12" hidden="false" customHeight="false" outlineLevel="0" collapsed="false">
      <c r="C60" s="104" t="s">
        <v>63</v>
      </c>
      <c r="D60" s="111" t="n">
        <f aca="false">'Stork - 2002 Receipts'!C43</f>
        <v>32574.25</v>
      </c>
    </row>
    <row r="61" customFormat="false" ht="12" hidden="false" customHeight="false" outlineLevel="0" collapsed="false">
      <c r="C61" s="104" t="s">
        <v>130</v>
      </c>
      <c r="D61" s="106" t="n">
        <f aca="false">D59-D60</f>
        <v>-1842.87</v>
      </c>
      <c r="E61" s="105"/>
    </row>
  </sheetData>
  <printOptions headings="false" gridLines="false" gridLinesSet="true" horizontalCentered="false" verticalCentered="false"/>
  <pageMargins left="0.170138888888889" right="0.190277777777778"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P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BM23" activePane="bottomLeft" state="frozen"/>
      <selection pane="topLeft" activeCell="A1" activeCellId="0" sqref="A1"/>
      <selection pane="bottomLeft" activeCell="G1" activeCellId="0" sqref="G1"/>
    </sheetView>
  </sheetViews>
  <sheetFormatPr defaultColWidth="11.41796875" defaultRowHeight="12" zeroHeight="false" outlineLevelRow="0" outlineLevelCol="0"/>
  <cols>
    <col collapsed="false" customWidth="true" hidden="false" outlineLevel="0" max="1" min="1" style="112" width="10.84"/>
    <col collapsed="false" customWidth="true" hidden="false" outlineLevel="0" max="2" min="2" style="113" width="10.84"/>
    <col collapsed="false" customWidth="true" hidden="false" outlineLevel="0" max="3" min="3" style="114" width="16.4"/>
    <col collapsed="false" customWidth="true" hidden="false" outlineLevel="0" max="4" min="4" style="115" width="12.98"/>
    <col collapsed="false" customWidth="true" hidden="false" outlineLevel="0" max="5" min="5" style="113" width="19.39"/>
    <col collapsed="false" customWidth="false" hidden="false" outlineLevel="0" max="6" min="6" style="115" width="11.4"/>
    <col collapsed="false" customWidth="true" hidden="false" outlineLevel="0" max="7" min="7" style="113" width="10.84"/>
    <col collapsed="false" customWidth="false" hidden="false" outlineLevel="0" max="8" min="8" style="115" width="11.4"/>
    <col collapsed="false" customWidth="true" hidden="false" outlineLevel="0" max="9" min="9" style="113" width="10.84"/>
    <col collapsed="false" customWidth="false" hidden="false" outlineLevel="0" max="10" min="10" style="115" width="11.4"/>
    <col collapsed="false" customWidth="true" hidden="false" outlineLevel="0" max="11" min="11" style="113" width="10.84"/>
    <col collapsed="false" customWidth="false" hidden="false" outlineLevel="0" max="12" min="12" style="115" width="11.4"/>
    <col collapsed="false" customWidth="true" hidden="false" outlineLevel="0" max="13" min="13" style="113" width="10.84"/>
    <col collapsed="false" customWidth="false" hidden="false" outlineLevel="0" max="14" min="14" style="115" width="11.4"/>
    <col collapsed="false" customWidth="true" hidden="false" outlineLevel="0" max="15" min="15" style="113" width="14.12"/>
    <col collapsed="false" customWidth="false" hidden="false" outlineLevel="0" max="257" min="16" style="115" width="11.4"/>
  </cols>
  <sheetData>
    <row r="1" customFormat="false" ht="15.75" hidden="false" customHeight="false" outlineLevel="0" collapsed="false">
      <c r="A1" s="116" t="s">
        <v>60</v>
      </c>
      <c r="B1" s="117"/>
      <c r="C1" s="118"/>
      <c r="D1" s="119"/>
      <c r="E1" s="120"/>
      <c r="F1" s="120" t="s">
        <v>131</v>
      </c>
      <c r="G1" s="121" t="s">
        <v>62</v>
      </c>
      <c r="H1" s="122"/>
      <c r="I1" s="120"/>
      <c r="J1" s="122"/>
      <c r="K1" s="120"/>
      <c r="L1" s="122"/>
      <c r="M1" s="120"/>
      <c r="N1" s="122"/>
      <c r="O1" s="120"/>
    </row>
    <row r="2" customFormat="false" ht="12" hidden="false" customHeight="false" outlineLevel="0" collapsed="false">
      <c r="A2" s="123"/>
      <c r="B2" s="120"/>
      <c r="C2" s="124"/>
      <c r="D2" s="122"/>
      <c r="E2" s="120"/>
      <c r="F2" s="122"/>
      <c r="G2" s="120"/>
      <c r="H2" s="122"/>
      <c r="I2" s="120"/>
      <c r="J2" s="122"/>
      <c r="K2" s="120"/>
      <c r="L2" s="122"/>
      <c r="M2" s="120"/>
      <c r="N2" s="122"/>
      <c r="O2" s="120"/>
    </row>
    <row r="3" customFormat="false" ht="15.75" hidden="false" customHeight="false" outlineLevel="0" collapsed="false">
      <c r="A3" s="125" t="s">
        <v>129</v>
      </c>
      <c r="B3" s="120"/>
      <c r="C3" s="124"/>
      <c r="D3" s="122"/>
      <c r="E3" s="120"/>
      <c r="F3" s="122"/>
      <c r="G3" s="120"/>
      <c r="H3" s="122"/>
      <c r="I3" s="120"/>
      <c r="J3" s="122"/>
      <c r="K3" s="120"/>
      <c r="L3" s="122"/>
      <c r="M3" s="120"/>
      <c r="N3" s="122"/>
      <c r="O3" s="120"/>
    </row>
    <row r="4" customFormat="false" ht="12" hidden="false" customHeight="false" outlineLevel="0" collapsed="false">
      <c r="A4" s="123" t="s">
        <v>64</v>
      </c>
      <c r="B4" s="126" t="s">
        <v>65</v>
      </c>
      <c r="C4" s="127" t="s">
        <v>132</v>
      </c>
      <c r="D4" s="128" t="s">
        <v>8</v>
      </c>
      <c r="E4" s="121" t="s">
        <v>68</v>
      </c>
      <c r="F4" s="128" t="s">
        <v>133</v>
      </c>
      <c r="G4" s="121" t="s">
        <v>68</v>
      </c>
      <c r="H4" s="128" t="s">
        <v>134</v>
      </c>
      <c r="I4" s="121" t="s">
        <v>68</v>
      </c>
      <c r="J4" s="128" t="s">
        <v>13</v>
      </c>
      <c r="K4" s="121" t="s">
        <v>68</v>
      </c>
      <c r="L4" s="128" t="s">
        <v>12</v>
      </c>
      <c r="M4" s="121" t="s">
        <v>68</v>
      </c>
      <c r="N4" s="128" t="s">
        <v>74</v>
      </c>
      <c r="O4" s="121" t="s">
        <v>68</v>
      </c>
      <c r="P4" s="129"/>
    </row>
    <row r="5" customFormat="false" ht="12" hidden="false" customHeight="false" outlineLevel="0" collapsed="false">
      <c r="A5" s="130"/>
      <c r="B5" s="131"/>
      <c r="C5" s="132"/>
      <c r="D5" s="129"/>
      <c r="E5" s="133"/>
      <c r="F5" s="129"/>
      <c r="G5" s="133"/>
      <c r="H5" s="129"/>
      <c r="I5" s="133"/>
      <c r="J5" s="129"/>
      <c r="K5" s="133"/>
      <c r="L5" s="129"/>
      <c r="M5" s="133"/>
      <c r="N5" s="129"/>
      <c r="O5" s="133"/>
      <c r="P5" s="129"/>
    </row>
    <row r="6" customFormat="false" ht="12" hidden="false" customHeight="false" outlineLevel="0" collapsed="false">
      <c r="A6" s="112" t="n">
        <v>37307</v>
      </c>
      <c r="B6" s="113" t="s">
        <v>135</v>
      </c>
      <c r="C6" s="114" t="n">
        <v>573.23</v>
      </c>
      <c r="D6" s="114" t="n">
        <v>573.23</v>
      </c>
      <c r="E6" s="134" t="s">
        <v>136</v>
      </c>
      <c r="F6" s="114"/>
      <c r="G6" s="134"/>
      <c r="H6" s="114"/>
      <c r="I6" s="134"/>
      <c r="J6" s="114"/>
      <c r="K6" s="134"/>
      <c r="L6" s="114"/>
      <c r="M6" s="134"/>
      <c r="N6" s="114"/>
      <c r="O6" s="134"/>
    </row>
    <row r="7" customFormat="false" ht="12" hidden="false" customHeight="false" outlineLevel="0" collapsed="false">
      <c r="A7" s="112" t="n">
        <v>37308</v>
      </c>
      <c r="B7" s="113" t="s">
        <v>135</v>
      </c>
      <c r="C7" s="114" t="n">
        <v>290.86</v>
      </c>
      <c r="D7" s="114" t="n">
        <v>290.86</v>
      </c>
      <c r="E7" s="134" t="s">
        <v>137</v>
      </c>
      <c r="F7" s="114"/>
      <c r="G7" s="134"/>
      <c r="H7" s="114"/>
      <c r="I7" s="134"/>
      <c r="J7" s="114"/>
      <c r="K7" s="134"/>
      <c r="L7" s="114"/>
      <c r="M7" s="134"/>
      <c r="N7" s="114"/>
      <c r="O7" s="134"/>
    </row>
    <row r="8" customFormat="false" ht="12" hidden="false" customHeight="false" outlineLevel="0" collapsed="false">
      <c r="A8" s="112" t="n">
        <v>37341</v>
      </c>
      <c r="B8" s="113" t="s">
        <v>138</v>
      </c>
      <c r="C8" s="114" t="n">
        <v>150</v>
      </c>
      <c r="D8" s="114" t="n">
        <v>150</v>
      </c>
      <c r="E8" s="134" t="s">
        <v>139</v>
      </c>
      <c r="F8" s="114"/>
      <c r="G8" s="134"/>
      <c r="H8" s="114"/>
      <c r="I8" s="134"/>
      <c r="J8" s="114"/>
      <c r="K8" s="134"/>
      <c r="L8" s="114"/>
      <c r="M8" s="134"/>
      <c r="N8" s="114"/>
      <c r="O8" s="134"/>
    </row>
    <row r="9" customFormat="false" ht="12" hidden="false" customHeight="false" outlineLevel="0" collapsed="false">
      <c r="A9" s="112" t="n">
        <v>37351</v>
      </c>
      <c r="B9" s="113" t="s">
        <v>135</v>
      </c>
      <c r="C9" s="114" t="n">
        <v>130</v>
      </c>
      <c r="D9" s="114" t="n">
        <v>130</v>
      </c>
      <c r="E9" s="134" t="s">
        <v>140</v>
      </c>
      <c r="F9" s="114"/>
      <c r="G9" s="134"/>
      <c r="H9" s="114"/>
      <c r="I9" s="134"/>
      <c r="J9" s="114"/>
      <c r="K9" s="134"/>
      <c r="L9" s="114"/>
      <c r="M9" s="134"/>
      <c r="N9" s="114"/>
      <c r="O9" s="134"/>
    </row>
    <row r="10" customFormat="false" ht="12" hidden="false" customHeight="false" outlineLevel="0" collapsed="false">
      <c r="A10" s="112" t="n">
        <v>37355</v>
      </c>
      <c r="B10" s="113" t="s">
        <v>138</v>
      </c>
      <c r="C10" s="114" t="n">
        <v>2000</v>
      </c>
      <c r="D10" s="114"/>
      <c r="E10" s="134"/>
      <c r="F10" s="114"/>
      <c r="G10" s="134"/>
      <c r="H10" s="114"/>
      <c r="I10" s="134"/>
      <c r="J10" s="114"/>
      <c r="K10" s="134"/>
      <c r="L10" s="114" t="n">
        <v>2000</v>
      </c>
      <c r="M10" s="134" t="s">
        <v>141</v>
      </c>
      <c r="N10" s="114"/>
      <c r="O10" s="134"/>
    </row>
    <row r="11" customFormat="false" ht="12" hidden="false" customHeight="false" outlineLevel="0" collapsed="false">
      <c r="A11" s="112" t="n">
        <v>37355</v>
      </c>
      <c r="B11" s="113" t="s">
        <v>138</v>
      </c>
      <c r="C11" s="114" t="n">
        <v>300</v>
      </c>
      <c r="D11" s="114" t="n">
        <v>300</v>
      </c>
      <c r="E11" s="134" t="s">
        <v>142</v>
      </c>
      <c r="F11" s="114"/>
      <c r="G11" s="134"/>
      <c r="H11" s="114"/>
      <c r="I11" s="134"/>
      <c r="J11" s="114"/>
      <c r="K11" s="134"/>
      <c r="L11" s="114"/>
      <c r="M11" s="134"/>
      <c r="N11" s="114" t="n">
        <v>14</v>
      </c>
      <c r="O11" s="134" t="s">
        <v>143</v>
      </c>
    </row>
    <row r="12" customFormat="false" ht="12" hidden="false" customHeight="false" outlineLevel="0" collapsed="false">
      <c r="A12" s="112" t="n">
        <v>37355</v>
      </c>
      <c r="B12" s="113" t="s">
        <v>138</v>
      </c>
      <c r="C12" s="114" t="n">
        <v>14</v>
      </c>
      <c r="D12" s="114"/>
      <c r="E12" s="134"/>
      <c r="F12" s="114"/>
      <c r="G12" s="134"/>
      <c r="H12" s="114"/>
      <c r="I12" s="134"/>
      <c r="J12" s="114"/>
      <c r="K12" s="134"/>
      <c r="L12" s="114"/>
      <c r="M12" s="134"/>
      <c r="N12" s="114"/>
      <c r="O12" s="134"/>
    </row>
    <row r="13" customFormat="false" ht="12" hidden="false" customHeight="false" outlineLevel="0" collapsed="false">
      <c r="A13" s="112" t="n">
        <v>37355</v>
      </c>
      <c r="B13" s="113" t="s">
        <v>135</v>
      </c>
      <c r="C13" s="114" t="n">
        <v>150</v>
      </c>
      <c r="D13" s="114" t="n">
        <v>150</v>
      </c>
      <c r="E13" s="134" t="s">
        <v>144</v>
      </c>
      <c r="F13" s="114"/>
      <c r="G13" s="134"/>
      <c r="H13" s="114"/>
      <c r="I13" s="134"/>
      <c r="J13" s="114"/>
      <c r="K13" s="134"/>
      <c r="L13" s="114"/>
      <c r="M13" s="134"/>
      <c r="N13" s="114"/>
      <c r="O13" s="134"/>
    </row>
    <row r="14" customFormat="false" ht="12" hidden="false" customHeight="false" outlineLevel="0" collapsed="false">
      <c r="A14" s="112" t="n">
        <v>37356</v>
      </c>
      <c r="B14" s="113" t="s">
        <v>135</v>
      </c>
      <c r="C14" s="114" t="n">
        <v>300</v>
      </c>
      <c r="D14" s="114" t="n">
        <v>300</v>
      </c>
      <c r="E14" s="134" t="s">
        <v>145</v>
      </c>
      <c r="F14" s="114"/>
      <c r="G14" s="134"/>
      <c r="H14" s="114"/>
      <c r="I14" s="134"/>
      <c r="J14" s="114"/>
      <c r="K14" s="134"/>
      <c r="L14" s="114"/>
      <c r="M14" s="134"/>
      <c r="N14" s="114"/>
      <c r="O14" s="134"/>
    </row>
    <row r="15" customFormat="false" ht="12" hidden="false" customHeight="false" outlineLevel="0" collapsed="false">
      <c r="A15" s="112" t="n">
        <v>37356</v>
      </c>
      <c r="B15" s="113" t="s">
        <v>135</v>
      </c>
      <c r="C15" s="114" t="n">
        <v>75</v>
      </c>
      <c r="D15" s="114" t="n">
        <v>75</v>
      </c>
      <c r="E15" s="134" t="s">
        <v>146</v>
      </c>
      <c r="F15" s="114"/>
      <c r="G15" s="134"/>
      <c r="H15" s="114"/>
      <c r="I15" s="134"/>
      <c r="J15" s="114"/>
      <c r="K15" s="134"/>
      <c r="L15" s="114"/>
      <c r="M15" s="134"/>
      <c r="N15" s="114"/>
      <c r="O15" s="134"/>
    </row>
    <row r="16" customFormat="false" ht="12" hidden="false" customHeight="false" outlineLevel="0" collapsed="false">
      <c r="A16" s="112" t="n">
        <v>37364</v>
      </c>
      <c r="B16" s="113" t="s">
        <v>138</v>
      </c>
      <c r="C16" s="114" t="n">
        <v>150</v>
      </c>
      <c r="D16" s="114" t="n">
        <v>150</v>
      </c>
      <c r="E16" s="134" t="s">
        <v>147</v>
      </c>
      <c r="F16" s="114"/>
      <c r="G16" s="134"/>
      <c r="H16" s="114"/>
      <c r="I16" s="134"/>
      <c r="J16" s="114"/>
      <c r="K16" s="134"/>
      <c r="L16" s="114"/>
      <c r="M16" s="134"/>
      <c r="N16" s="114"/>
      <c r="O16" s="134"/>
    </row>
    <row r="17" customFormat="false" ht="12" hidden="false" customHeight="false" outlineLevel="0" collapsed="false">
      <c r="A17" s="112" t="n">
        <v>37364</v>
      </c>
      <c r="B17" s="113" t="s">
        <v>138</v>
      </c>
      <c r="C17" s="114" t="n">
        <v>250</v>
      </c>
      <c r="D17" s="114" t="n">
        <v>250</v>
      </c>
      <c r="E17" s="134" t="s">
        <v>148</v>
      </c>
      <c r="F17" s="114"/>
      <c r="G17" s="134"/>
      <c r="H17" s="114"/>
      <c r="I17" s="134"/>
      <c r="J17" s="114"/>
      <c r="K17" s="134"/>
      <c r="L17" s="114"/>
      <c r="M17" s="134"/>
      <c r="N17" s="114"/>
      <c r="O17" s="134"/>
    </row>
    <row r="18" customFormat="false" ht="12" hidden="false" customHeight="false" outlineLevel="0" collapsed="false">
      <c r="A18" s="112" t="n">
        <v>37369</v>
      </c>
      <c r="B18" s="113" t="s">
        <v>138</v>
      </c>
      <c r="C18" s="114" t="n">
        <v>150</v>
      </c>
      <c r="D18" s="114" t="n">
        <v>150</v>
      </c>
      <c r="E18" s="134" t="s">
        <v>149</v>
      </c>
      <c r="F18" s="114"/>
      <c r="G18" s="134"/>
      <c r="H18" s="114"/>
      <c r="I18" s="134"/>
      <c r="J18" s="114"/>
      <c r="K18" s="134"/>
      <c r="L18" s="114"/>
      <c r="M18" s="134"/>
      <c r="N18" s="114"/>
      <c r="O18" s="134"/>
    </row>
    <row r="19" customFormat="false" ht="12" hidden="false" customHeight="false" outlineLevel="0" collapsed="false">
      <c r="A19" s="112" t="n">
        <v>37369</v>
      </c>
      <c r="B19" s="113" t="s">
        <v>138</v>
      </c>
      <c r="C19" s="114" t="n">
        <v>150</v>
      </c>
      <c r="D19" s="114" t="n">
        <v>150</v>
      </c>
      <c r="E19" s="134" t="s">
        <v>150</v>
      </c>
      <c r="F19" s="114"/>
      <c r="G19" s="134"/>
      <c r="H19" s="114"/>
      <c r="I19" s="134"/>
      <c r="J19" s="114"/>
      <c r="K19" s="134"/>
      <c r="L19" s="114"/>
      <c r="M19" s="134"/>
      <c r="N19" s="114"/>
      <c r="O19" s="134"/>
    </row>
    <row r="20" customFormat="false" ht="12" hidden="false" customHeight="false" outlineLevel="0" collapsed="false">
      <c r="A20" s="112" t="n">
        <v>37369</v>
      </c>
      <c r="B20" s="113" t="s">
        <v>138</v>
      </c>
      <c r="C20" s="114" t="n">
        <v>150</v>
      </c>
      <c r="D20" s="114" t="n">
        <v>150</v>
      </c>
      <c r="E20" s="134" t="s">
        <v>151</v>
      </c>
      <c r="F20" s="114"/>
      <c r="G20" s="134"/>
      <c r="H20" s="114"/>
      <c r="I20" s="134"/>
      <c r="J20" s="114"/>
      <c r="K20" s="134"/>
      <c r="L20" s="114"/>
      <c r="M20" s="134"/>
      <c r="N20" s="114"/>
      <c r="O20" s="134"/>
    </row>
    <row r="21" customFormat="false" ht="12" hidden="false" customHeight="false" outlineLevel="0" collapsed="false">
      <c r="A21" s="112" t="n">
        <v>37370</v>
      </c>
      <c r="B21" s="113" t="s">
        <v>135</v>
      </c>
      <c r="C21" s="114" t="n">
        <v>150</v>
      </c>
      <c r="D21" s="114" t="n">
        <v>150</v>
      </c>
      <c r="E21" s="134" t="s">
        <v>152</v>
      </c>
      <c r="F21" s="114"/>
      <c r="G21" s="134"/>
      <c r="H21" s="114"/>
      <c r="I21" s="134"/>
      <c r="J21" s="114"/>
      <c r="K21" s="134"/>
      <c r="L21" s="114"/>
      <c r="M21" s="134"/>
      <c r="N21" s="114"/>
      <c r="O21" s="134"/>
    </row>
    <row r="22" customFormat="false" ht="12" hidden="false" customHeight="false" outlineLevel="0" collapsed="false">
      <c r="A22" s="112" t="n">
        <v>37377</v>
      </c>
      <c r="B22" s="113" t="s">
        <v>135</v>
      </c>
      <c r="C22" s="114" t="n">
        <v>300</v>
      </c>
      <c r="D22" s="114" t="n">
        <v>300</v>
      </c>
      <c r="E22" s="134" t="s">
        <v>153</v>
      </c>
      <c r="F22" s="114"/>
      <c r="G22" s="134"/>
      <c r="H22" s="114"/>
      <c r="I22" s="134"/>
      <c r="J22" s="114"/>
      <c r="K22" s="134"/>
      <c r="L22" s="114"/>
      <c r="M22" s="134"/>
      <c r="N22" s="114"/>
      <c r="O22" s="134"/>
    </row>
    <row r="23" customFormat="false" ht="12" hidden="false" customHeight="false" outlineLevel="0" collapsed="false">
      <c r="A23" s="112" t="n">
        <v>37378</v>
      </c>
      <c r="B23" s="113" t="s">
        <v>135</v>
      </c>
      <c r="C23" s="114" t="n">
        <v>150</v>
      </c>
      <c r="D23" s="114" t="n">
        <v>150</v>
      </c>
      <c r="E23" s="134" t="s">
        <v>154</v>
      </c>
      <c r="F23" s="114"/>
      <c r="G23" s="134"/>
      <c r="H23" s="114"/>
      <c r="I23" s="134"/>
      <c r="J23" s="114"/>
      <c r="K23" s="134"/>
      <c r="L23" s="114"/>
      <c r="M23" s="134"/>
      <c r="N23" s="114"/>
      <c r="O23" s="134"/>
    </row>
    <row r="24" customFormat="false" ht="12" hidden="false" customHeight="false" outlineLevel="0" collapsed="false">
      <c r="A24" s="112" t="n">
        <v>37378</v>
      </c>
      <c r="B24" s="113" t="s">
        <v>135</v>
      </c>
      <c r="C24" s="114" t="n">
        <v>125</v>
      </c>
      <c r="D24" s="114" t="n">
        <v>125</v>
      </c>
      <c r="E24" s="134" t="s">
        <v>155</v>
      </c>
      <c r="F24" s="114"/>
      <c r="G24" s="134"/>
      <c r="H24" s="114"/>
      <c r="I24" s="134"/>
      <c r="J24" s="114"/>
      <c r="K24" s="134"/>
      <c r="L24" s="114"/>
      <c r="M24" s="134"/>
      <c r="N24" s="114"/>
      <c r="O24" s="134"/>
    </row>
    <row r="25" customFormat="false" ht="12" hidden="false" customHeight="false" outlineLevel="0" collapsed="false">
      <c r="A25" s="112" t="n">
        <v>37385</v>
      </c>
      <c r="B25" s="113" t="s">
        <v>138</v>
      </c>
      <c r="C25" s="114" t="n">
        <v>150</v>
      </c>
      <c r="D25" s="114" t="n">
        <v>150</v>
      </c>
      <c r="E25" s="134" t="s">
        <v>156</v>
      </c>
      <c r="F25" s="114"/>
      <c r="G25" s="134"/>
      <c r="H25" s="114"/>
      <c r="I25" s="134"/>
      <c r="J25" s="114"/>
      <c r="K25" s="134"/>
      <c r="L25" s="114"/>
      <c r="M25" s="134"/>
      <c r="N25" s="114"/>
      <c r="O25" s="134"/>
    </row>
    <row r="26" customFormat="false" ht="12" hidden="false" customHeight="false" outlineLevel="0" collapsed="false">
      <c r="A26" s="112" t="n">
        <v>37389</v>
      </c>
      <c r="B26" s="113" t="s">
        <v>138</v>
      </c>
      <c r="C26" s="114" t="n">
        <v>150</v>
      </c>
      <c r="D26" s="114" t="n">
        <v>150</v>
      </c>
      <c r="E26" s="134" t="s">
        <v>157</v>
      </c>
      <c r="F26" s="114"/>
      <c r="G26" s="134"/>
      <c r="H26" s="114"/>
      <c r="I26" s="134"/>
      <c r="J26" s="114"/>
      <c r="K26" s="134"/>
      <c r="L26" s="114"/>
      <c r="M26" s="134"/>
      <c r="N26" s="114"/>
      <c r="O26" s="134"/>
    </row>
    <row r="27" customFormat="false" ht="12" hidden="false" customHeight="false" outlineLevel="0" collapsed="false">
      <c r="A27" s="112" t="n">
        <v>37392</v>
      </c>
      <c r="B27" s="113" t="s">
        <v>135</v>
      </c>
      <c r="C27" s="114" t="n">
        <v>150</v>
      </c>
      <c r="D27" s="114" t="n">
        <v>150</v>
      </c>
      <c r="E27" s="134" t="s">
        <v>158</v>
      </c>
      <c r="F27" s="114"/>
      <c r="G27" s="134"/>
      <c r="H27" s="114"/>
      <c r="I27" s="134"/>
      <c r="J27" s="114"/>
      <c r="K27" s="134"/>
      <c r="L27" s="114"/>
      <c r="M27" s="134"/>
      <c r="N27" s="114"/>
      <c r="O27" s="134"/>
    </row>
    <row r="28" customFormat="false" ht="12" hidden="false" customHeight="false" outlineLevel="0" collapsed="false">
      <c r="A28" s="112" t="n">
        <v>37396</v>
      </c>
      <c r="B28" s="113" t="s">
        <v>138</v>
      </c>
      <c r="C28" s="114" t="n">
        <v>5000</v>
      </c>
      <c r="D28" s="114"/>
      <c r="E28" s="134"/>
      <c r="F28" s="114"/>
      <c r="G28" s="134"/>
      <c r="H28" s="114"/>
      <c r="I28" s="134"/>
      <c r="J28" s="114"/>
      <c r="K28" s="134"/>
      <c r="L28" s="114"/>
      <c r="M28" s="134"/>
      <c r="N28" s="114" t="n">
        <v>5000</v>
      </c>
      <c r="O28" s="134" t="s">
        <v>159</v>
      </c>
    </row>
    <row r="29" customFormat="false" ht="12" hidden="false" customHeight="false" outlineLevel="0" collapsed="false">
      <c r="A29" s="112" t="n">
        <v>37407</v>
      </c>
      <c r="B29" s="113" t="s">
        <v>138</v>
      </c>
      <c r="C29" s="114" t="n">
        <v>250</v>
      </c>
      <c r="D29" s="114" t="n">
        <v>250</v>
      </c>
      <c r="E29" s="134" t="s">
        <v>160</v>
      </c>
      <c r="F29" s="114"/>
      <c r="G29" s="134"/>
      <c r="H29" s="114"/>
      <c r="I29" s="134"/>
      <c r="J29" s="114"/>
      <c r="K29" s="134"/>
      <c r="L29" s="114"/>
      <c r="M29" s="134"/>
      <c r="N29" s="114"/>
      <c r="O29" s="134"/>
    </row>
    <row r="30" customFormat="false" ht="12" hidden="false" customHeight="false" outlineLevel="0" collapsed="false">
      <c r="A30" s="112" t="n">
        <v>37407</v>
      </c>
      <c r="B30" s="113" t="s">
        <v>135</v>
      </c>
      <c r="C30" s="114" t="n">
        <v>150</v>
      </c>
      <c r="D30" s="114" t="n">
        <v>150</v>
      </c>
      <c r="E30" s="134" t="s">
        <v>161</v>
      </c>
      <c r="F30" s="114"/>
      <c r="G30" s="134"/>
      <c r="H30" s="114"/>
      <c r="I30" s="134"/>
      <c r="J30" s="114"/>
      <c r="K30" s="134"/>
      <c r="L30" s="114"/>
      <c r="M30" s="134"/>
      <c r="N30" s="114"/>
      <c r="O30" s="134"/>
    </row>
    <row r="31" customFormat="false" ht="12" hidden="false" customHeight="false" outlineLevel="0" collapsed="false">
      <c r="A31" s="112" t="n">
        <v>37414</v>
      </c>
      <c r="B31" s="113" t="s">
        <v>138</v>
      </c>
      <c r="C31" s="114" t="n">
        <v>300</v>
      </c>
      <c r="D31" s="114" t="n">
        <v>300</v>
      </c>
      <c r="E31" s="134" t="s">
        <v>162</v>
      </c>
      <c r="F31" s="114"/>
      <c r="G31" s="134"/>
      <c r="H31" s="114"/>
      <c r="I31" s="134"/>
      <c r="J31" s="114"/>
      <c r="K31" s="134"/>
      <c r="L31" s="114"/>
      <c r="M31" s="134"/>
      <c r="N31" s="114"/>
      <c r="O31" s="134"/>
    </row>
    <row r="32" customFormat="false" ht="12" hidden="false" customHeight="false" outlineLevel="0" collapsed="false">
      <c r="A32" s="112" t="n">
        <v>37414</v>
      </c>
      <c r="B32" s="113" t="s">
        <v>138</v>
      </c>
      <c r="C32" s="114" t="n">
        <v>150</v>
      </c>
      <c r="D32" s="114" t="n">
        <v>150</v>
      </c>
      <c r="E32" s="134" t="s">
        <v>163</v>
      </c>
      <c r="F32" s="114"/>
      <c r="G32" s="134"/>
      <c r="H32" s="114"/>
      <c r="I32" s="134"/>
      <c r="J32" s="114"/>
      <c r="K32" s="134"/>
      <c r="L32" s="114"/>
      <c r="M32" s="134"/>
      <c r="N32" s="114"/>
      <c r="O32" s="134"/>
    </row>
    <row r="33" customFormat="false" ht="12" hidden="false" customHeight="false" outlineLevel="0" collapsed="false">
      <c r="A33" s="112" t="n">
        <v>37418</v>
      </c>
      <c r="B33" s="113" t="s">
        <v>135</v>
      </c>
      <c r="C33" s="114" t="n">
        <v>150</v>
      </c>
      <c r="D33" s="114" t="n">
        <v>150</v>
      </c>
      <c r="E33" s="134" t="s">
        <v>164</v>
      </c>
      <c r="F33" s="114"/>
      <c r="G33" s="134"/>
      <c r="H33" s="114"/>
      <c r="I33" s="134"/>
      <c r="J33" s="114"/>
      <c r="K33" s="134"/>
      <c r="L33" s="114"/>
      <c r="M33" s="134"/>
      <c r="N33" s="114"/>
      <c r="O33" s="134"/>
    </row>
    <row r="34" customFormat="false" ht="12" hidden="false" customHeight="false" outlineLevel="0" collapsed="false">
      <c r="A34" s="112" t="n">
        <v>37427</v>
      </c>
      <c r="B34" s="113" t="s">
        <v>135</v>
      </c>
      <c r="C34" s="114" t="n">
        <v>135</v>
      </c>
      <c r="D34" s="114" t="n">
        <v>135</v>
      </c>
      <c r="E34" s="134" t="s">
        <v>165</v>
      </c>
      <c r="F34" s="114"/>
      <c r="G34" s="134"/>
      <c r="H34" s="114"/>
      <c r="I34" s="134"/>
      <c r="J34" s="114"/>
      <c r="K34" s="134"/>
      <c r="L34" s="114"/>
      <c r="M34" s="134"/>
      <c r="N34" s="114"/>
      <c r="O34" s="134"/>
    </row>
    <row r="35" customFormat="false" ht="12" hidden="false" customHeight="false" outlineLevel="0" collapsed="false">
      <c r="A35" s="112" t="n">
        <v>37442</v>
      </c>
      <c r="B35" s="113" t="s">
        <v>135</v>
      </c>
      <c r="C35" s="114" t="n">
        <v>75</v>
      </c>
      <c r="D35" s="114" t="n">
        <v>75</v>
      </c>
      <c r="E35" s="134" t="s">
        <v>166</v>
      </c>
      <c r="F35" s="114"/>
      <c r="G35" s="134"/>
      <c r="H35" s="114"/>
      <c r="I35" s="134"/>
      <c r="J35" s="114"/>
      <c r="K35" s="134"/>
      <c r="L35" s="114"/>
      <c r="M35" s="134"/>
      <c r="N35" s="114"/>
      <c r="O35" s="134"/>
    </row>
    <row r="36" customFormat="false" ht="12" hidden="false" customHeight="false" outlineLevel="0" collapsed="false">
      <c r="A36" s="112" t="n">
        <v>37468</v>
      </c>
      <c r="B36" s="133" t="s">
        <v>135</v>
      </c>
      <c r="C36" s="114" t="n">
        <v>1360</v>
      </c>
      <c r="D36" s="114"/>
      <c r="E36" s="134"/>
      <c r="F36" s="114"/>
      <c r="G36" s="134"/>
      <c r="H36" s="114" t="n">
        <v>1360</v>
      </c>
      <c r="I36" s="134" t="s">
        <v>167</v>
      </c>
      <c r="J36" s="114"/>
      <c r="K36" s="134"/>
      <c r="L36" s="114"/>
      <c r="M36" s="134"/>
      <c r="N36" s="114"/>
      <c r="O36" s="134"/>
    </row>
    <row r="37" customFormat="false" ht="12" hidden="false" customHeight="false" outlineLevel="0" collapsed="false">
      <c r="A37" s="112" t="n">
        <v>37519</v>
      </c>
      <c r="B37" s="133" t="s">
        <v>138</v>
      </c>
      <c r="C37" s="114" t="n">
        <v>3000</v>
      </c>
      <c r="D37" s="114"/>
      <c r="E37" s="134"/>
      <c r="F37" s="114"/>
      <c r="G37" s="134"/>
      <c r="H37" s="114"/>
      <c r="I37" s="134"/>
      <c r="J37" s="114"/>
      <c r="K37" s="134"/>
      <c r="L37" s="114" t="n">
        <v>3000</v>
      </c>
      <c r="M37" s="134" t="s">
        <v>168</v>
      </c>
      <c r="N37" s="114"/>
      <c r="O37" s="134"/>
    </row>
    <row r="38" customFormat="false" ht="12" hidden="false" customHeight="false" outlineLevel="0" collapsed="false">
      <c r="A38" s="112" t="n">
        <v>37586</v>
      </c>
      <c r="B38" s="133" t="s">
        <v>138</v>
      </c>
      <c r="C38" s="114" t="n">
        <v>150</v>
      </c>
      <c r="D38" s="114" t="n">
        <v>150</v>
      </c>
      <c r="E38" s="134" t="s">
        <v>169</v>
      </c>
      <c r="F38" s="114"/>
      <c r="G38" s="134"/>
      <c r="H38" s="114"/>
      <c r="I38" s="134"/>
      <c r="J38" s="114"/>
      <c r="K38" s="134"/>
      <c r="L38" s="114"/>
      <c r="M38" s="134"/>
      <c r="N38" s="114"/>
      <c r="O38" s="134"/>
    </row>
    <row r="39" customFormat="false" ht="12" hidden="false" customHeight="false" outlineLevel="0" collapsed="false">
      <c r="A39" s="112" t="n">
        <v>37599</v>
      </c>
      <c r="B39" s="133" t="s">
        <v>138</v>
      </c>
      <c r="C39" s="114" t="n">
        <v>15000</v>
      </c>
      <c r="D39" s="114"/>
      <c r="E39" s="134"/>
      <c r="F39" s="114"/>
      <c r="G39" s="134"/>
      <c r="H39" s="114" t="n">
        <v>15000</v>
      </c>
      <c r="I39" s="134" t="s">
        <v>170</v>
      </c>
      <c r="J39" s="114"/>
      <c r="K39" s="134"/>
      <c r="L39" s="114"/>
      <c r="M39" s="134"/>
      <c r="N39" s="114"/>
      <c r="O39" s="134"/>
    </row>
    <row r="40" customFormat="false" ht="12" hidden="false" customHeight="false" outlineLevel="0" collapsed="false">
      <c r="A40" s="112" t="n">
        <v>37621</v>
      </c>
      <c r="B40" s="133" t="s">
        <v>138</v>
      </c>
      <c r="C40" s="114" t="n">
        <v>506</v>
      </c>
      <c r="D40" s="114"/>
      <c r="E40" s="134"/>
      <c r="F40" s="114"/>
      <c r="G40" s="134"/>
      <c r="H40" s="114"/>
      <c r="I40" s="134"/>
      <c r="J40" s="114"/>
      <c r="K40" s="134"/>
      <c r="L40" s="114" t="n">
        <v>506</v>
      </c>
      <c r="M40" s="134" t="s">
        <v>171</v>
      </c>
      <c r="N40" s="114"/>
      <c r="O40" s="134"/>
    </row>
    <row r="41" customFormat="false" ht="12" hidden="false" customHeight="false" outlineLevel="0" collapsed="false">
      <c r="A41" s="112" t="n">
        <v>37621</v>
      </c>
      <c r="B41" s="133" t="s">
        <v>135</v>
      </c>
      <c r="C41" s="114" t="n">
        <v>340.16</v>
      </c>
      <c r="D41" s="114"/>
      <c r="E41" s="134"/>
      <c r="F41" s="114"/>
      <c r="G41" s="134"/>
      <c r="H41" s="114"/>
      <c r="I41" s="134"/>
      <c r="J41" s="114" t="n">
        <v>340.16</v>
      </c>
      <c r="K41" s="134" t="s">
        <v>172</v>
      </c>
      <c r="L41" s="114"/>
      <c r="M41" s="134"/>
      <c r="N41" s="114"/>
      <c r="O41" s="134"/>
    </row>
    <row r="42" customFormat="false" ht="12" hidden="false" customHeight="false" outlineLevel="0" collapsed="false">
      <c r="D42" s="114"/>
      <c r="E42" s="134"/>
      <c r="F42" s="114"/>
      <c r="G42" s="134"/>
      <c r="H42" s="114"/>
      <c r="I42" s="134"/>
      <c r="J42" s="114"/>
      <c r="K42" s="134"/>
      <c r="L42" s="114"/>
      <c r="M42" s="134"/>
      <c r="N42" s="114"/>
      <c r="O42" s="134"/>
    </row>
    <row r="43" customFormat="false" ht="15.75" hidden="false" customHeight="false" outlineLevel="0" collapsed="false">
      <c r="A43" s="125" t="s">
        <v>126</v>
      </c>
      <c r="B43" s="120"/>
      <c r="C43" s="124" t="n">
        <f aca="false">SUM(C6:C42)</f>
        <v>32574.25</v>
      </c>
      <c r="D43" s="124" t="n">
        <f aca="false">SUM(D6:D42)</f>
        <v>5354.09</v>
      </c>
      <c r="E43" s="135"/>
      <c r="F43" s="124" t="n">
        <f aca="false">SUM(F6:F42)</f>
        <v>0</v>
      </c>
      <c r="G43" s="135"/>
      <c r="H43" s="124" t="n">
        <f aca="false">SUM(H6:H42)</f>
        <v>16360</v>
      </c>
      <c r="I43" s="135"/>
      <c r="J43" s="124" t="n">
        <f aca="false">SUM(J6:J42)</f>
        <v>340.16</v>
      </c>
      <c r="K43" s="135"/>
      <c r="L43" s="124" t="n">
        <f aca="false">SUM(L6:L42)</f>
        <v>5506</v>
      </c>
      <c r="M43" s="135"/>
      <c r="N43" s="124" t="n">
        <f aca="false">SUM(N6:N42)</f>
        <v>5014</v>
      </c>
      <c r="O43" s="135"/>
      <c r="P43" s="114"/>
    </row>
    <row r="44" customFormat="false" ht="12" hidden="false" customHeight="false" outlineLevel="0" collapsed="false">
      <c r="D44" s="114"/>
      <c r="E44" s="134"/>
      <c r="F44" s="114"/>
      <c r="G44" s="134"/>
      <c r="H44" s="114"/>
      <c r="I44" s="134"/>
      <c r="J44" s="114"/>
      <c r="K44" s="134"/>
      <c r="L44" s="114"/>
      <c r="M44" s="134"/>
      <c r="N44" s="114"/>
      <c r="O44" s="134"/>
    </row>
    <row r="45" customFormat="false" ht="12" hidden="false" customHeight="false" outlineLevel="0" collapsed="false">
      <c r="B45" s="133"/>
      <c r="C45" s="136"/>
      <c r="L45" s="114"/>
      <c r="N45" s="11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2003-06-30T08:14:27Z</dcterms:created>
  <dc:creator>Juha Jalovaara</dc:creator>
  <dc:description/>
  <dc:language>en-US</dc:language>
  <cp:lastModifiedBy>Juha Jalovaara</cp:lastModifiedBy>
  <cp:lastPrinted>2003-07-04T02:10:20Z</cp:lastPrinted>
  <dcterms:modified xsi:type="dcterms:W3CDTF">2003-07-04T16:48:19Z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r8>427186504</vt:r8>
  </property>
  <property fmtid="{D5CDD505-2E9C-101B-9397-08002B2CF9AE}" pid="3" name="_AuthorEmail">
    <vt:lpwstr>juha.jalovaara@qdc.fi</vt:lpwstr>
  </property>
  <property fmtid="{D5CDD505-2E9C-101B-9397-08002B2CF9AE}" pid="4" name="_AuthorEmailDisplayName">
    <vt:lpwstr>Juha Jalovaara</vt:lpwstr>
  </property>
  <property fmtid="{D5CDD505-2E9C-101B-9397-08002B2CF9AE}" pid="5" name="_EmailSubject">
    <vt:lpwstr>[WFDFMemberLink] Congress at World Disc Games</vt:lpwstr>
  </property>
  <property fmtid="{D5CDD505-2E9C-101B-9397-08002B2CF9AE}" pid="6" name="_PreviousAdHocReviewCycleID">
    <vt:r8>-106177824</vt:r8>
  </property>
</Properties>
</file>