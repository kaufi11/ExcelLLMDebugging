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878" firstSheet="0" activeTab="1"/>
  </bookViews>
  <sheets>
    <sheet name="Rules of thumb" sheetId="1" state="visible" r:id="rId2"/>
    <sheet name="Mezzanine financial model" sheetId="2" state="visible" r:id="rId3"/>
  </sheets>
  <definedNames>
    <definedName function="false" hidden="false" localSheetId="1" name="_xlnm.Print_Area" vbProcedure="false">'Mezzanine financial model'!$A$1:$N$97</definedName>
  </definedName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<sst xmlns="http://schemas.openxmlformats.org/spreadsheetml/2006/main" count="148" uniqueCount="118">
  <si>
    <t xml:space="preserve">Rules of thumb pricing</t>
  </si>
  <si>
    <t xml:space="preserve">Change the shaded values to see what the effects on price and profit would be</t>
  </si>
  <si>
    <t xml:space="preserve">Space allowed per desk (including common areas)</t>
  </si>
  <si>
    <t xml:space="preserve">sq ft/desk</t>
  </si>
  <si>
    <t xml:space="preserve">Costs</t>
  </si>
  <si>
    <t xml:space="preserve">Rent &amp; service charge you pay your landlord</t>
  </si>
  <si>
    <t xml:space="preserve">per sq ft</t>
  </si>
  <si>
    <t xml:space="preserve">Operating costs + cost of an office manager*</t>
  </si>
  <si>
    <t xml:space="preserve">Total operating cost (A)</t>
  </si>
  <si>
    <t xml:space="preserve">Amount of lettable space not occupied at any one time</t>
  </si>
  <si>
    <t xml:space="preserve">Cost of this unoccupied space (B)</t>
  </si>
  <si>
    <t xml:space="preserve">Total cost (A+B)</t>
  </si>
  <si>
    <t xml:space="preserve">per desk</t>
  </si>
  <si>
    <t xml:space="preserve">Revenues</t>
  </si>
  <si>
    <t xml:space="preserve">Average mark up on all costs</t>
  </si>
  <si>
    <t xml:space="preserve">Annual charge to tenant (cost + mark up)</t>
  </si>
  <si>
    <t xml:space="preserve">Annual charge to tenant</t>
  </si>
  <si>
    <t xml:space="preserve">Monthly charge to tenant</t>
  </si>
  <si>
    <t xml:space="preserve">Set Up Costs</t>
  </si>
  <si>
    <t xml:space="preserve">set up cost</t>
  </si>
  <si>
    <t xml:space="preserve">length of lease</t>
  </si>
  <si>
    <t xml:space="preserve">yrs</t>
  </si>
  <si>
    <t xml:space="preserve">interest rate</t>
  </si>
  <si>
    <t xml:space="preserve">Annual payment to repay set up cost under these conditions</t>
  </si>
  <si>
    <t xml:space="preserve">Annual operating profit for CAN</t>
  </si>
  <si>
    <t xml:space="preserve">Gross profit (loss)</t>
  </si>
  <si>
    <t xml:space="preserve">* assumes 1 staff member servicing 19,000 sq ft</t>
  </si>
  <si>
    <t xml:space="preserve">independent variables</t>
  </si>
  <si>
    <t xml:space="preserve">dependent variables</t>
  </si>
  <si>
    <t xml:space="preserve">These materials are intended to provide general information only. Whilst we have made every effort to ensure that the information provided is accurate, it does not constitute, nor is it a substitute for legal, financial or other professional advice.  If in doubt, we strongly recommend that you seek appropriate professional guidance.</t>
  </si>
  <si>
    <t xml:space="preserve">A Mezzanine Costing Model</t>
  </si>
  <si>
    <t xml:space="preserve"> </t>
  </si>
  <si>
    <t xml:space="preserve">GENERAL INFORMATION</t>
  </si>
  <si>
    <t xml:space="preserve">COLOUR KEY</t>
  </si>
  <si>
    <t xml:space="preserve">Total Area</t>
  </si>
  <si>
    <t xml:space="preserve">sq ft</t>
  </si>
  <si>
    <t xml:space="preserve">= independent variables</t>
  </si>
  <si>
    <t xml:space="preserve">% Common Area</t>
  </si>
  <si>
    <t xml:space="preserve">= dependent variables</t>
  </si>
  <si>
    <t xml:space="preserve">Average Area per Desk</t>
  </si>
  <si>
    <t xml:space="preserve">sq ft per desk</t>
  </si>
  <si>
    <t xml:space="preserve">= costs to the mezzanine</t>
  </si>
  <si>
    <t xml:space="preserve">Number of Desks</t>
  </si>
  <si>
    <t xml:space="preserve">desks</t>
  </si>
  <si>
    <t xml:space="preserve">= revenues to the mezzanine</t>
  </si>
  <si>
    <t xml:space="preserve">OPERATING COSTS/Revenues</t>
  </si>
  <si>
    <t xml:space="preserve">ANNUAL</t>
  </si>
  <si>
    <t xml:space="preserve">%MARK UP</t>
  </si>
  <si>
    <t xml:space="preserve"> SQ FT/YEAR</t>
  </si>
  <si>
    <t xml:space="preserve">DESK/YEAR</t>
  </si>
  <si>
    <t xml:space="preserve">DESK/MONTH</t>
  </si>
  <si>
    <t xml:space="preserve">(Complete any that apply)</t>
  </si>
  <si>
    <t xml:space="preserve">COST</t>
  </si>
  <si>
    <t xml:space="preserve">REVENUE</t>
  </si>
  <si>
    <t xml:space="preserve">Basic Rent</t>
  </si>
  <si>
    <t xml:space="preserve">Rates</t>
  </si>
  <si>
    <t xml:space="preserve">Services</t>
  </si>
  <si>
    <t xml:space="preserve">Security</t>
  </si>
  <si>
    <t xml:space="preserve">Office Manager</t>
  </si>
  <si>
    <t xml:space="preserve">Meeting Rooms</t>
  </si>
  <si>
    <t xml:space="preserve">Catering (tea, coffee, milk, water etc)</t>
  </si>
  <si>
    <t xml:space="preserve">Furniture Leasing</t>
  </si>
  <si>
    <t xml:space="preserve">Cleaning &amp; recycling/waste disposal</t>
  </si>
  <si>
    <t xml:space="preserve">Office Equipment Leasing</t>
  </si>
  <si>
    <t xml:space="preserve">Telephone (excl call charges)</t>
  </si>
  <si>
    <t xml:space="preserve">Utilities (excl usage)</t>
  </si>
  <si>
    <t xml:space="preserve">Professional fees</t>
  </si>
  <si>
    <t xml:space="preserve">Repairs &amp; Maintenance (inc. office equipmt.)</t>
  </si>
  <si>
    <t xml:space="preserve">Insurance</t>
  </si>
  <si>
    <t xml:space="preserve">Stationery</t>
  </si>
  <si>
    <t xml:space="preserve">BASIC CHARGE</t>
  </si>
  <si>
    <t xml:space="preserve">Telephone charges</t>
  </si>
  <si>
    <t xml:space="preserve">Franking costs</t>
  </si>
  <si>
    <t xml:space="preserve">Photocopying costs</t>
  </si>
  <si>
    <t xml:space="preserve">IT Support</t>
  </si>
  <si>
    <t xml:space="preserve">Other</t>
  </si>
  <si>
    <t xml:space="preserve">TOTAL CHARGE</t>
  </si>
  <si>
    <t xml:space="preserve">Additional Revenue or Charges</t>
  </si>
  <si>
    <t xml:space="preserve">Conference Room hire</t>
  </si>
  <si>
    <t xml:space="preserve">INITIAL INVESTMENT</t>
  </si>
  <si>
    <t xml:space="preserve">PER SQ FT</t>
  </si>
  <si>
    <t xml:space="preserve">PER DESK</t>
  </si>
  <si>
    <t xml:space="preserve">COST  </t>
  </si>
  <si>
    <t xml:space="preserve">Acquisition</t>
  </si>
  <si>
    <t xml:space="preserve">Agents/Surveyors/Legal</t>
  </si>
  <si>
    <t xml:space="preserve">Project Management</t>
  </si>
  <si>
    <t xml:space="preserve">Building Works</t>
  </si>
  <si>
    <t xml:space="preserve">Telephones system</t>
  </si>
  <si>
    <t xml:space="preserve">IT Infrastructure</t>
  </si>
  <si>
    <t xml:space="preserve">Utilities Connection Fees</t>
  </si>
  <si>
    <t xml:space="preserve">Furniture/Signage</t>
  </si>
  <si>
    <t xml:space="preserve">Relocation Costs</t>
  </si>
  <si>
    <t xml:space="preserve">Advertising (initial occupancy)</t>
  </si>
  <si>
    <t xml:space="preserve">TOTAL COSTS</t>
  </si>
  <si>
    <t xml:space="preserve">Startup Funding or Grants</t>
  </si>
  <si>
    <t xml:space="preserve">CALCULATION OF BREAKEVEN AND VALUE OF THE PROJECT</t>
  </si>
  <si>
    <t xml:space="preserve">Assumptions</t>
  </si>
  <si>
    <t xml:space="preserve">Length of Lease (years)</t>
  </si>
  <si>
    <t xml:space="preserve">years  (max = 10)</t>
  </si>
  <si>
    <t xml:space="preserve">Average Occupancy Rate</t>
  </si>
  <si>
    <t xml:space="preserve">WACC/MARR = </t>
  </si>
  <si>
    <t xml:space="preserve">(Weighted Average Cost of Capital or Minimum Acceptable Rate of Return)  This is the opportunity cost, or the rate you'd get if you invested your money in another project of similar risk.</t>
  </si>
  <si>
    <t xml:space="preserve">Results</t>
  </si>
  <si>
    <t xml:space="preserve">Initial Investment</t>
  </si>
  <si>
    <t xml:space="preserve">Start Up Funding or Grants</t>
  </si>
  <si>
    <t xml:space="preserve">Net Initial Investment</t>
  </si>
  <si>
    <t xml:space="preserve">Operating Costs</t>
  </si>
  <si>
    <t xml:space="preserve">Operating Revenues ( x %Occupancy)</t>
  </si>
  <si>
    <t xml:space="preserve">Operating Profit</t>
  </si>
  <si>
    <t xml:space="preserve">BREAK EVEN PROFIT</t>
  </si>
  <si>
    <t xml:space="preserve">The payments you'd have to make on a loan of the same size as the net initial investment and at an interest rate eequal to your WACC (see above) to pay it off over the period of the lease.</t>
  </si>
  <si>
    <t xml:space="preserve">NET PRESENT VALUE OF THE PROJECT TODAY (NPV)</t>
  </si>
  <si>
    <t xml:space="preserve">(Net Present Value should be &gt; 0 to accept project)</t>
  </si>
  <si>
    <t xml:space="preserve">Given the above assumptions and costs, to return a Zero NPV (ie make it a worthwhile investment), you would need to generate the following revenue:</t>
  </si>
  <si>
    <t xml:space="preserve">Break Even Profit</t>
  </si>
  <si>
    <t xml:space="preserve">Operating Revenues ( / %Occupancy) needed for breakeven</t>
  </si>
  <si>
    <t xml:space="preserve">What you'd have to charge per desk to break even at this occupancy rate and WACC.</t>
  </si>
  <si>
    <t xml:space="preserve">Average Mark Up on Operating Costs that is needed to breakeven</t>
  </si>
</sst>
</file>

<file path=xl/styles.xml><?xml version="1.0" encoding="utf-8"?>
<styleSheet xmlns="http://schemas.openxmlformats.org/spreadsheetml/2006/main">
  <numFmts count="12">
    <numFmt numFmtId="164" formatCode="General"/>
    <numFmt numFmtId="165" formatCode="_-\£* #,##0.00_-;&quot;-£&quot;* #,##0.00_-;_-\£* \-??_-;_-@_-"/>
    <numFmt numFmtId="166" formatCode="_-\£* #,##0_-;&quot;-£&quot;* #,##0_-;_-\£* \-??_-;_-@_-"/>
    <numFmt numFmtId="167" formatCode="0%"/>
    <numFmt numFmtId="168" formatCode="\£#,##0.00;[RED]&quot;-£&quot;#,##0.00"/>
    <numFmt numFmtId="169" formatCode="0.000"/>
    <numFmt numFmtId="170" formatCode="_-* #,##0.00_-;\-* #,##0.00_-;_-* \-??_-;_-@_-"/>
    <numFmt numFmtId="171" formatCode="_-* #,##0_-;\-* #,##0_-;_-* \-??_-;_-@_-"/>
    <numFmt numFmtId="172" formatCode="# ??/??"/>
    <numFmt numFmtId="173" formatCode="0.0%"/>
    <numFmt numFmtId="174" formatCode="\£#,##0;[RED]&quot;-£&quot;#,##0"/>
    <numFmt numFmtId="175" formatCode="0.00%"/>
  </numFmts>
  <fonts count="15">
    <font>
      <sz val="10"/>
      <name val="Arial"/>
      <family val="0"/>
    </font>
    <font>
      <sz val="10"/>
      <name val="Arial"/>
      <family val="0"/>
    </font>
    <font>
      <sz val="10"/>
      <name val="Arial"/>
      <family val="0"/>
    </font>
    <font>
      <sz val="10"/>
      <name val="Arial"/>
      <family val="0"/>
    </font>
    <font>
      <sz val="20"/>
      <name val="Arial"/>
      <family val="2"/>
    </font>
    <font>
      <b val="true"/>
      <sz val="11"/>
      <name val="Arial"/>
      <family val="2"/>
    </font>
    <font>
      <b val="true"/>
      <sz val="18"/>
      <name val="Arial"/>
      <family val="2"/>
    </font>
    <font>
      <b val="true"/>
      <sz val="10"/>
      <name val="Arial"/>
      <family val="2"/>
    </font>
    <font>
      <b val="true"/>
      <sz val="14"/>
      <color rgb="FFFFFFFF"/>
      <name val="Arial"/>
      <family val="2"/>
    </font>
    <font>
      <b val="true"/>
      <sz val="10"/>
      <color rgb="FFFFFFFF"/>
      <name val="Arial"/>
      <family val="2"/>
    </font>
    <font>
      <sz val="10"/>
      <color rgb="FFFFFFFF"/>
      <name val="Arial"/>
      <family val="2"/>
    </font>
    <font>
      <sz val="10"/>
      <name val="Arial"/>
      <family val="2"/>
    </font>
    <font>
      <b val="true"/>
      <sz val="14"/>
      <name val="Arial"/>
      <family val="2"/>
    </font>
    <font>
      <sz val="8"/>
      <name val="Arial"/>
      <family val="2"/>
    </font>
    <font>
      <b val="true"/>
      <sz val="10"/>
      <color rgb="FF000000"/>
      <name val="Arial"/>
      <family val="2"/>
    </font>
  </fonts>
  <fills count="6">
    <fill>
      <patternFill patternType="none"/>
    </fill>
    <fill>
      <patternFill patternType="gray125"/>
    </fill>
    <fill>
      <patternFill patternType="solid">
        <fgColor rgb="FFC0C0C0"/>
        <bgColor rgb="FFCCCCFF"/>
      </patternFill>
    </fill>
    <fill>
      <patternFill patternType="solid">
        <fgColor rgb="FF333333"/>
        <bgColor rgb="FF333300"/>
      </patternFill>
    </fill>
    <fill>
      <patternFill patternType="solid">
        <fgColor rgb="FF969696"/>
        <bgColor rgb="FF808080"/>
      </patternFill>
    </fill>
    <fill>
      <patternFill patternType="solid">
        <fgColor rgb="FFCCFFFF"/>
        <bgColor rgb="FFCCFFFF"/>
      </patternFill>
    </fill>
  </fills>
  <borders count="15">
    <border diagonalUp="false" diagonalDown="false">
      <left/>
      <right/>
      <top/>
      <bottom/>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medium"/>
      <right/>
      <top/>
      <bottom/>
      <diagonal/>
    </border>
    <border diagonalUp="false" diagonalDown="false">
      <left/>
      <right style="medium"/>
      <top/>
      <bottom/>
      <diagonal/>
    </border>
    <border diagonalUp="false" diagonalDown="false">
      <left style="medium"/>
      <right/>
      <top style="medium"/>
      <bottom style="medium"/>
      <diagonal/>
    </border>
    <border diagonalUp="false" diagonalDown="false">
      <left/>
      <right/>
      <top style="medium"/>
      <bottom style="medium"/>
      <diagonal/>
    </border>
    <border diagonalUp="false" diagonalDown="false">
      <left/>
      <right style="medium"/>
      <top style="medium"/>
      <bottom style="medium"/>
      <diagonal/>
    </border>
    <border diagonalUp="false" diagonalDown="false">
      <left style="medium"/>
      <right/>
      <top/>
      <bottom style="medium"/>
      <diagonal/>
    </border>
    <border diagonalUp="false" diagonalDown="false">
      <left/>
      <right/>
      <top/>
      <bottom style="medium"/>
      <diagonal/>
    </border>
    <border diagonalUp="false" diagonalDown="false">
      <left/>
      <right style="medium"/>
      <top/>
      <bottom style="medium"/>
      <diagonal/>
    </border>
    <border diagonalUp="false" diagonalDown="false">
      <left style="medium"/>
      <right style="medium"/>
      <top style="medium"/>
      <bottom/>
      <diagonal/>
    </border>
    <border diagonalUp="false" diagonalDown="false">
      <left style="medium"/>
      <right style="medium"/>
      <top style="medium"/>
      <bottom style="mediu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70" fontId="0" fillId="0" borderId="0" applyFont="true" applyBorder="false" applyAlignment="false" applyProtection="false"/>
    <xf numFmtId="41" fontId="1" fillId="0" borderId="0" applyFont="true" applyBorder="false" applyAlignment="false" applyProtection="false"/>
    <xf numFmtId="165" fontId="0" fillId="0" borderId="0" applyFont="true" applyBorder="false" applyAlignment="false" applyProtection="false"/>
    <xf numFmtId="42" fontId="1" fillId="0" borderId="0" applyFont="true" applyBorder="false" applyAlignment="false" applyProtection="false"/>
    <xf numFmtId="167" fontId="0" fillId="0" borderId="0" applyFont="true" applyBorder="false" applyAlignment="false" applyProtection="false"/>
  </cellStyleXfs>
  <cellXfs count="16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false" applyProtection="false">
      <alignment horizontal="general" vertical="bottom" textRotation="0" wrapText="false" indent="0" shrinkToFit="false"/>
      <protection locked="true" hidden="false"/>
    </xf>
    <xf numFmtId="164" fontId="4" fillId="0" borderId="2" xfId="0" applyFont="true" applyBorder="true" applyAlignment="false" applyProtection="false">
      <alignment horizontal="general" vertical="bottom" textRotation="0" wrapText="false" indent="0" shrinkToFit="false"/>
      <protection locked="true" hidden="false"/>
    </xf>
    <xf numFmtId="164" fontId="4" fillId="0" borderId="3" xfId="0" applyFont="true" applyBorder="tru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4" xfId="0" applyFont="true" applyBorder="tru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4" fillId="0" borderId="5" xfId="0" applyFont="true" applyBorder="true" applyAlignment="false" applyProtection="false">
      <alignment horizontal="general" vertical="bottom" textRotation="0" wrapText="false" indent="0" shrinkToFit="false"/>
      <protection locked="true" hidden="false"/>
    </xf>
    <xf numFmtId="164" fontId="4" fillId="0" borderId="4" xfId="0" applyFont="true" applyBorder="true" applyAlignment="false" applyProtection="false">
      <alignment horizontal="general" vertical="bottom" textRotation="0" wrapText="false" indent="0" shrinkToFit="false"/>
      <protection locked="true" hidden="false"/>
    </xf>
    <xf numFmtId="164" fontId="0" fillId="2" borderId="4" xfId="0" applyFont="true" applyBorder="true" applyAlignment="false" applyProtection="false">
      <alignment horizontal="general" vertical="bottom" textRotation="0" wrapText="false" indent="0" shrinkToFit="false"/>
      <protection locked="true" hidden="false"/>
    </xf>
    <xf numFmtId="164" fontId="0" fillId="2" borderId="0" xfId="0" applyFont="false" applyBorder="true" applyAlignment="false" applyProtection="false">
      <alignment horizontal="general" vertical="bottom" textRotation="0" wrapText="false" indent="0" shrinkToFit="false"/>
      <protection locked="true" hidden="false"/>
    </xf>
    <xf numFmtId="164" fontId="0" fillId="2" borderId="5" xfId="0" applyFont="true" applyBorder="true" applyAlignment="false" applyProtection="false">
      <alignment horizontal="general"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6" fontId="0" fillId="0" borderId="0" xfId="17" applyFont="true" applyBorder="true" applyAlignment="true" applyProtection="true">
      <alignment horizontal="general" vertical="bottom" textRotation="0" wrapText="false" indent="0" shrinkToFit="false"/>
      <protection locked="true" hidden="false"/>
    </xf>
    <xf numFmtId="164" fontId="0" fillId="0" borderId="4" xfId="0" applyFont="false" applyBorder="true" applyAlignment="false" applyProtection="false">
      <alignment horizontal="general" vertical="bottom" textRotation="0" wrapText="false" indent="0" shrinkToFit="false"/>
      <protection locked="true" hidden="false"/>
    </xf>
    <xf numFmtId="164" fontId="0" fillId="0" borderId="5" xfId="0" applyFont="false" applyBorder="true" applyAlignment="false" applyProtection="false">
      <alignment horizontal="general" vertical="bottom" textRotation="0" wrapText="false" indent="0" shrinkToFit="false"/>
      <protection locked="true" hidden="false"/>
    </xf>
    <xf numFmtId="164" fontId="6" fillId="0" borderId="4" xfId="0" applyFont="true" applyBorder="true" applyAlignment="false" applyProtection="false">
      <alignment horizontal="general"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0" fillId="0" borderId="5" xfId="0" applyFont="false" applyBorder="true" applyAlignment="false" applyProtection="false">
      <alignment horizontal="general" vertical="bottom" textRotation="0" wrapText="false" indent="0" shrinkToFit="false"/>
      <protection locked="true" hidden="false"/>
    </xf>
    <xf numFmtId="164" fontId="0" fillId="2" borderId="4" xfId="0" applyFont="true" applyBorder="true" applyAlignment="true" applyProtection="false">
      <alignment horizontal="right" vertical="bottom" textRotation="0" wrapText="false" indent="0" shrinkToFit="false"/>
      <protection locked="true" hidden="false"/>
    </xf>
    <xf numFmtId="165" fontId="0" fillId="2" borderId="0" xfId="17" applyFont="true" applyBorder="true" applyAlignment="true" applyProtection="true">
      <alignment horizontal="general" vertical="bottom" textRotation="0" wrapText="false" indent="0" shrinkToFit="false"/>
      <protection locked="true" hidden="false"/>
    </xf>
    <xf numFmtId="167" fontId="0" fillId="0" borderId="0" xfId="0" applyFont="false" applyBorder="true" applyAlignment="false" applyProtection="false">
      <alignment horizontal="general" vertical="bottom" textRotation="0" wrapText="false" indent="0" shrinkToFit="false"/>
      <protection locked="true" hidden="false"/>
    </xf>
    <xf numFmtId="164" fontId="0" fillId="0" borderId="4" xfId="0" applyFont="true" applyBorder="true" applyAlignment="true" applyProtection="false">
      <alignment horizontal="right" vertical="bottom" textRotation="0" wrapText="false" indent="0" shrinkToFit="false"/>
      <protection locked="true" hidden="false"/>
    </xf>
    <xf numFmtId="165" fontId="0" fillId="0" borderId="0" xfId="17" applyFont="true" applyBorder="true" applyAlignment="true" applyProtection="true">
      <alignment horizontal="general" vertical="bottom" textRotation="0" wrapText="false" indent="0" shrinkToFit="false"/>
      <protection locked="true" hidden="false"/>
    </xf>
    <xf numFmtId="164" fontId="7" fillId="0" borderId="6" xfId="0" applyFont="true" applyBorder="true" applyAlignment="false" applyProtection="false">
      <alignment horizontal="general" vertical="bottom" textRotation="0" wrapText="false" indent="0" shrinkToFit="false"/>
      <protection locked="true" hidden="false"/>
    </xf>
    <xf numFmtId="165" fontId="0" fillId="0" borderId="7" xfId="17" applyFont="true" applyBorder="true" applyAlignment="true" applyProtection="true">
      <alignment horizontal="general" vertical="bottom" textRotation="0" wrapText="false" indent="0" shrinkToFit="false"/>
      <protection locked="true" hidden="false"/>
    </xf>
    <xf numFmtId="164" fontId="0" fillId="0" borderId="8" xfId="0" applyFont="true" applyBorder="true" applyAlignment="false" applyProtection="false">
      <alignment horizontal="general" vertical="bottom" textRotation="0" wrapText="false" indent="0" shrinkToFit="false"/>
      <protection locked="true" hidden="false"/>
    </xf>
    <xf numFmtId="164" fontId="7" fillId="0" borderId="4" xfId="0" applyFont="true" applyBorder="true" applyAlignment="false" applyProtection="false">
      <alignment horizontal="general" vertical="bottom" textRotation="0" wrapText="false" indent="0" shrinkToFit="false"/>
      <protection locked="true" hidden="false"/>
    </xf>
    <xf numFmtId="165" fontId="0" fillId="0" borderId="0" xfId="17" applyFont="true" applyBorder="true" applyAlignment="true" applyProtection="true">
      <alignment horizontal="general" vertical="bottom" textRotation="0" wrapText="false" indent="0" shrinkToFit="false"/>
      <protection locked="true" hidden="false"/>
    </xf>
    <xf numFmtId="167" fontId="0" fillId="2" borderId="0" xfId="0" applyFont="fals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7" fillId="0" borderId="2" xfId="0" applyFont="true" applyBorder="true" applyAlignment="false" applyProtection="false">
      <alignment horizontal="general" vertical="bottom" textRotation="0" wrapText="false" indent="0" shrinkToFit="false"/>
      <protection locked="true" hidden="false"/>
    </xf>
    <xf numFmtId="164" fontId="7" fillId="0" borderId="3" xfId="0" applyFont="true" applyBorder="true" applyAlignment="false" applyProtection="false">
      <alignment horizontal="general" vertical="bottom" textRotation="0" wrapText="false" indent="0" shrinkToFit="false"/>
      <protection locked="true" hidden="false"/>
    </xf>
    <xf numFmtId="164" fontId="7" fillId="0" borderId="9" xfId="0" applyFont="true" applyBorder="true" applyAlignment="false" applyProtection="false">
      <alignment horizontal="general" vertical="bottom" textRotation="0" wrapText="false" indent="0" shrinkToFit="false"/>
      <protection locked="true" hidden="false"/>
    </xf>
    <xf numFmtId="166" fontId="7" fillId="0" borderId="10" xfId="17" applyFont="true" applyBorder="true" applyAlignment="true" applyProtection="true">
      <alignment horizontal="general" vertical="bottom" textRotation="0" wrapText="false" indent="0" shrinkToFit="false"/>
      <protection locked="true" hidden="false"/>
    </xf>
    <xf numFmtId="164" fontId="7" fillId="0" borderId="11" xfId="0" applyFont="true" applyBorder="true" applyAlignment="false" applyProtection="false">
      <alignment horizontal="general" vertical="bottom" textRotation="0" wrapText="false" indent="0" shrinkToFit="false"/>
      <protection locked="true" hidden="false"/>
    </xf>
    <xf numFmtId="166" fontId="7" fillId="0" borderId="0" xfId="17" applyFont="true" applyBorder="true" applyAlignment="true" applyProtection="true">
      <alignment horizontal="general" vertical="bottom" textRotation="0" wrapText="false" indent="0" shrinkToFit="false"/>
      <protection locked="true" hidden="false"/>
    </xf>
    <xf numFmtId="164" fontId="7" fillId="0" borderId="5"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4" fontId="0" fillId="0" borderId="4" xfId="0" applyFont="true" applyBorder="true" applyAlignment="true" applyProtection="false">
      <alignment horizontal="left" vertical="bottom" textRotation="0" wrapText="false" indent="0" shrinkToFit="false"/>
      <protection locked="true" hidden="false"/>
    </xf>
    <xf numFmtId="164" fontId="0" fillId="0" borderId="4" xfId="0" applyFont="true" applyBorder="true" applyAlignment="true" applyProtection="false">
      <alignment horizontal="left" vertical="bottom" textRotation="0" wrapText="false" indent="0" shrinkToFit="false"/>
      <protection locked="true" hidden="false"/>
    </xf>
    <xf numFmtId="164" fontId="0" fillId="0" borderId="4" xfId="0" applyFont="false" applyBorder="true" applyAlignment="false" applyProtection="false">
      <alignment horizontal="general" vertical="bottom" textRotation="0" wrapText="false" indent="0" shrinkToFit="false"/>
      <protection locked="true" hidden="false"/>
    </xf>
    <xf numFmtId="164" fontId="6" fillId="0" borderId="9" xfId="0" applyFont="true" applyBorder="true" applyAlignment="false" applyProtection="false">
      <alignment horizontal="general" vertical="bottom" textRotation="0" wrapText="false" indent="0" shrinkToFit="false"/>
      <protection locked="true" hidden="false"/>
    </xf>
    <xf numFmtId="164" fontId="0" fillId="0" borderId="10" xfId="0" applyFont="false" applyBorder="true" applyAlignment="false" applyProtection="false">
      <alignment horizontal="general" vertical="bottom" textRotation="0" wrapText="false" indent="0" shrinkToFit="false"/>
      <protection locked="true" hidden="false"/>
    </xf>
    <xf numFmtId="164" fontId="0" fillId="0" borderId="11" xfId="0" applyFont="false" applyBorder="true" applyAlignment="false" applyProtection="false">
      <alignment horizontal="general" vertical="bottom" textRotation="0" wrapText="false" indent="0" shrinkToFit="false"/>
      <protection locked="true" hidden="false"/>
    </xf>
    <xf numFmtId="164" fontId="0" fillId="2" borderId="1" xfId="0" applyFont="true" applyBorder="true" applyAlignment="true" applyProtection="false">
      <alignment horizontal="right" vertical="bottom" textRotation="0" wrapText="false" indent="0" shrinkToFit="false"/>
      <protection locked="true" hidden="false"/>
    </xf>
    <xf numFmtId="168" fontId="0" fillId="2" borderId="2" xfId="0" applyFont="false" applyBorder="true" applyAlignment="false" applyProtection="false">
      <alignment horizontal="general" vertical="bottom" textRotation="0" wrapText="false" indent="0" shrinkToFit="false"/>
      <protection locked="true" hidden="false"/>
    </xf>
    <xf numFmtId="164" fontId="0" fillId="2" borderId="3" xfId="0" applyFont="true" applyBorder="true" applyAlignment="false" applyProtection="false">
      <alignment horizontal="general" vertical="bottom" textRotation="0" wrapText="false" indent="0" shrinkToFit="false"/>
      <protection locked="true" hidden="false"/>
    </xf>
    <xf numFmtId="168" fontId="0" fillId="0" borderId="0" xfId="0" applyFont="false" applyBorder="true" applyAlignment="false" applyProtection="false">
      <alignment horizontal="general" vertical="bottom" textRotation="0" wrapText="false" indent="0" shrinkToFit="false"/>
      <protection locked="true" hidden="false"/>
    </xf>
    <xf numFmtId="164" fontId="0" fillId="0" borderId="9" xfId="0" applyFont="true" applyBorder="true" applyAlignment="true" applyProtection="false">
      <alignment horizontal="left" vertical="bottom" textRotation="0" wrapText="true" indent="0" shrinkToFit="false"/>
      <protection locked="true" hidden="false"/>
    </xf>
    <xf numFmtId="168" fontId="0" fillId="0" borderId="10" xfId="0" applyFont="false" applyBorder="true" applyAlignment="false" applyProtection="false">
      <alignment horizontal="general" vertical="bottom" textRotation="0" wrapText="false" indent="0" shrinkToFit="false"/>
      <protection locked="true" hidden="false"/>
    </xf>
    <xf numFmtId="168" fontId="0" fillId="0" borderId="0" xfId="17" applyFont="true" applyBorder="true" applyAlignment="true" applyProtection="true">
      <alignment horizontal="general" vertical="bottom" textRotation="0" wrapText="false" indent="0" shrinkToFit="false"/>
      <protection locked="true" hidden="false"/>
    </xf>
    <xf numFmtId="164" fontId="0" fillId="0" borderId="9" xfId="0" applyFont="true" applyBorder="tru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64" fontId="0" fillId="2" borderId="12" xfId="0" applyFont="false" applyBorder="true" applyAlignment="false" applyProtection="false">
      <alignment horizontal="general" vertical="bottom" textRotation="0" wrapText="false" indent="0" shrinkToFit="false"/>
      <protection locked="true" hidden="false"/>
    </xf>
    <xf numFmtId="164" fontId="0" fillId="0" borderId="13" xfId="0" applyFont="false" applyBorder="tru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bottom" textRotation="0" wrapText="tru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8" fillId="3" borderId="0" xfId="0" applyFont="true" applyBorder="false" applyAlignment="false" applyProtection="false">
      <alignment horizontal="general" vertical="bottom" textRotation="0" wrapText="false" indent="0" shrinkToFit="false"/>
      <protection locked="true" hidden="false"/>
    </xf>
    <xf numFmtId="164" fontId="9" fillId="3" borderId="0" xfId="0" applyFont="true" applyBorder="false" applyAlignment="false" applyProtection="false">
      <alignment horizontal="general" vertical="bottom" textRotation="0" wrapText="false" indent="0" shrinkToFit="false"/>
      <protection locked="true" hidden="false"/>
    </xf>
    <xf numFmtId="164" fontId="10" fillId="3"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11"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71" fontId="11" fillId="0" borderId="0" xfId="15" applyFont="true" applyBorder="true" applyAlignment="true" applyProtection="true">
      <alignment horizontal="general" vertical="bottom" textRotation="0" wrapText="false" indent="0" shrinkToFit="false"/>
      <protection locked="true" hidden="false"/>
    </xf>
    <xf numFmtId="164" fontId="0" fillId="0" borderId="14" xfId="0" applyFont="false" applyBorder="tru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4" fontId="0" fillId="2" borderId="14" xfId="0" applyFont="false" applyBorder="true" applyAlignment="false" applyProtection="false">
      <alignment horizontal="general" vertical="bottom" textRotation="0" wrapText="false" indent="0" shrinkToFit="false"/>
      <protection locked="true" hidden="false"/>
    </xf>
    <xf numFmtId="164" fontId="0" fillId="4" borderId="14" xfId="0" applyFont="false" applyBorder="true" applyAlignment="false" applyProtection="false">
      <alignment horizontal="general" vertical="bottom" textRotation="0" wrapText="false" indent="0" shrinkToFit="false"/>
      <protection locked="true" hidden="false"/>
    </xf>
    <xf numFmtId="164" fontId="0" fillId="5" borderId="14" xfId="0" applyFont="false" applyBorder="true" applyAlignment="false" applyProtection="fals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center" vertical="bottom" textRotation="0" wrapText="true" indent="0" shrinkToFit="false"/>
      <protection locked="true" hidden="false"/>
    </xf>
    <xf numFmtId="164" fontId="7" fillId="4" borderId="0" xfId="0" applyFont="true" applyBorder="true" applyAlignment="true" applyProtection="false">
      <alignment horizontal="center" vertical="bottom" textRotation="0" wrapText="false" indent="0" shrinkToFit="false"/>
      <protection locked="true" hidden="false"/>
    </xf>
    <xf numFmtId="164" fontId="7" fillId="4" borderId="0" xfId="0" applyFont="true" applyBorder="false" applyAlignment="false" applyProtection="false">
      <alignment horizontal="general" vertical="bottom" textRotation="0" wrapText="false" indent="0" shrinkToFit="false"/>
      <protection locked="true" hidden="false"/>
    </xf>
    <xf numFmtId="171" fontId="11" fillId="2" borderId="0" xfId="0" applyFont="true" applyBorder="false" applyAlignment="false" applyProtection="false">
      <alignment horizontal="general" vertical="bottom" textRotation="0" wrapText="false" indent="0" shrinkToFit="false"/>
      <protection locked="true" hidden="false"/>
    </xf>
    <xf numFmtId="164" fontId="7" fillId="4" borderId="0" xfId="0" applyFont="true" applyBorder="false" applyAlignment="true" applyProtection="false">
      <alignment horizontal="center" vertical="bottom" textRotation="0" wrapText="false" indent="0" shrinkToFit="false"/>
      <protection locked="true" hidden="false"/>
    </xf>
    <xf numFmtId="164" fontId="7" fillId="5" borderId="0" xfId="0" applyFont="true" applyBorder="false" applyAlignment="true" applyProtection="false">
      <alignment horizontal="center"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70" fontId="0" fillId="4" borderId="0" xfId="0" applyFont="false" applyBorder="false" applyAlignment="false" applyProtection="false">
      <alignment horizontal="general" vertical="bottom" textRotation="0" wrapText="false" indent="0" shrinkToFit="false"/>
      <protection locked="true" hidden="false"/>
    </xf>
    <xf numFmtId="170" fontId="0" fillId="5" borderId="0" xfId="0" applyFont="false" applyBorder="false" applyAlignment="false" applyProtection="false">
      <alignment horizontal="general" vertical="bottom" textRotation="0" wrapText="false" indent="0" shrinkToFit="false"/>
      <protection locked="true" hidden="false"/>
    </xf>
    <xf numFmtId="167" fontId="0" fillId="0" borderId="0" xfId="19" applyFont="true" applyBorder="true" applyAlignment="true" applyProtection="true">
      <alignment horizontal="general" vertical="bottom" textRotation="0" wrapText="fals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xf numFmtId="171" fontId="7" fillId="0" borderId="0" xfId="0" applyFont="true" applyBorder="false" applyAlignment="false" applyProtection="false">
      <alignment horizontal="general" vertical="bottom" textRotation="0" wrapText="false" indent="0" shrinkToFit="false"/>
      <protection locked="true" hidden="false"/>
    </xf>
    <xf numFmtId="165" fontId="7" fillId="0" borderId="0" xfId="17" applyFont="true" applyBorder="true" applyAlignment="true" applyProtection="true">
      <alignment horizontal="general" vertical="bottom" textRotation="0" wrapText="false" indent="0" shrinkToFit="false"/>
      <protection locked="true" hidden="false"/>
    </xf>
    <xf numFmtId="167" fontId="7" fillId="0" borderId="0" xfId="19" applyFont="true" applyBorder="true" applyAlignment="true" applyProtection="tru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70" fontId="7" fillId="4" borderId="0" xfId="0" applyFont="true" applyBorder="false" applyAlignment="false" applyProtection="false">
      <alignment horizontal="general" vertical="bottom" textRotation="0" wrapText="false" indent="0" shrinkToFit="false"/>
      <protection locked="true" hidden="false"/>
    </xf>
    <xf numFmtId="170" fontId="7" fillId="5" borderId="0" xfId="0" applyFont="true" applyBorder="false" applyAlignment="false" applyProtection="false">
      <alignment horizontal="general" vertical="bottom" textRotation="0" wrapText="false" indent="0" shrinkToFit="false"/>
      <protection locked="true" hidden="false"/>
    </xf>
    <xf numFmtId="171" fontId="0" fillId="0" borderId="0" xfId="15" applyFont="true" applyBorder="true" applyAlignment="true" applyProtection="true">
      <alignment horizontal="general" vertical="bottom" textRotation="0" wrapText="false" indent="0" shrinkToFit="false"/>
      <protection locked="true" hidden="false"/>
    </xf>
    <xf numFmtId="171" fontId="0" fillId="2" borderId="0" xfId="0" applyFont="false" applyBorder="false" applyAlignment="false" applyProtection="false">
      <alignment horizontal="general" vertical="bottom" textRotation="0" wrapText="false" indent="0" shrinkToFit="false"/>
      <protection locked="true" hidden="false"/>
    </xf>
    <xf numFmtId="171" fontId="7" fillId="4" borderId="0" xfId="0" applyFont="true" applyBorder="false" applyAlignment="false" applyProtection="false">
      <alignment horizontal="general" vertical="bottom" textRotation="0" wrapText="false" indent="0" shrinkToFit="false"/>
      <protection locked="true" hidden="false"/>
    </xf>
    <xf numFmtId="167" fontId="7" fillId="4" borderId="0" xfId="19" applyFont="true" applyBorder="true" applyAlignment="true" applyProtection="true">
      <alignment horizontal="general" vertical="bottom" textRotation="0" wrapText="false" indent="0" shrinkToFit="false"/>
      <protection locked="true" hidden="false"/>
    </xf>
    <xf numFmtId="171" fontId="7" fillId="5" borderId="0" xfId="0" applyFont="true" applyBorder="false" applyAlignment="false" applyProtection="false">
      <alignment horizontal="general" vertical="bottom" textRotation="0" wrapText="false" indent="0" shrinkToFit="false"/>
      <protection locked="true" hidden="false"/>
    </xf>
    <xf numFmtId="173" fontId="0" fillId="2" borderId="0" xfId="19" applyFont="true" applyBorder="true" applyAlignment="true" applyProtection="true">
      <alignment horizontal="general" vertical="bottom" textRotation="0" wrapText="false" indent="0" shrinkToFit="false"/>
      <protection locked="true" hidden="false"/>
    </xf>
    <xf numFmtId="164" fontId="7" fillId="5" borderId="0" xfId="0" applyFont="true" applyBorder="false" applyAlignment="false" applyProtection="false">
      <alignment horizontal="general" vertical="bottom" textRotation="0" wrapText="false" indent="0" shrinkToFit="false"/>
      <protection locked="true" hidden="false"/>
    </xf>
    <xf numFmtId="171" fontId="0" fillId="5" borderId="0" xfId="0" applyFont="false" applyBorder="false" applyAlignment="false" applyProtection="false">
      <alignment horizontal="general" vertical="bottom"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4" fontId="12" fillId="2"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0" shrinkToFit="false"/>
      <protection locked="true" hidden="false"/>
    </xf>
    <xf numFmtId="167" fontId="7" fillId="2" borderId="0" xfId="0" applyFont="true" applyBorder="false" applyAlignment="false" applyProtection="false">
      <alignment horizontal="general" vertical="bottom" textRotation="0" wrapText="false" indent="0" shrinkToFit="false"/>
      <protection locked="true" hidden="false"/>
    </xf>
    <xf numFmtId="171" fontId="0" fillId="4" borderId="0" xfId="15" applyFont="true" applyBorder="true" applyAlignment="true" applyProtection="tru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64" fontId="13" fillId="2" borderId="0" xfId="0" applyFont="true" applyBorder="true" applyAlignment="true" applyProtection="false">
      <alignment horizontal="general" vertical="bottom" textRotation="0" wrapText="tru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center"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11" fillId="0" borderId="2" xfId="0" applyFont="true" applyBorder="true" applyAlignment="false" applyProtection="false">
      <alignment horizontal="general" vertical="bottom" textRotation="0" wrapText="false" indent="0" shrinkToFit="false"/>
      <protection locked="true" hidden="false"/>
    </xf>
    <xf numFmtId="166" fontId="11" fillId="0" borderId="2" xfId="17" applyFont="true" applyBorder="true" applyAlignment="true" applyProtection="true">
      <alignment horizontal="general" vertical="bottom" textRotation="0" wrapText="false" indent="0" shrinkToFit="false"/>
      <protection locked="true" hidden="false"/>
    </xf>
    <xf numFmtId="170" fontId="11" fillId="0" borderId="2" xfId="0" applyFont="true" applyBorder="true" applyAlignment="false" applyProtection="false">
      <alignment horizontal="general" vertical="bottom" textRotation="0" wrapText="false" indent="0" shrinkToFit="false"/>
      <protection locked="true" hidden="false"/>
    </xf>
    <xf numFmtId="165" fontId="11" fillId="0" borderId="2" xfId="17" applyFont="true" applyBorder="true" applyAlignment="true" applyProtection="true">
      <alignment horizontal="general" vertical="bottom" textRotation="0" wrapText="false" indent="0" shrinkToFit="false"/>
      <protection locked="true" hidden="false"/>
    </xf>
    <xf numFmtId="165" fontId="11" fillId="0" borderId="3" xfId="17" applyFont="true" applyBorder="true" applyAlignment="true" applyProtection="true">
      <alignment horizontal="general" vertical="bottom"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6" fontId="11" fillId="0" borderId="0" xfId="17" applyFont="true" applyBorder="true" applyAlignment="true" applyProtection="true">
      <alignment horizontal="general" vertical="bottom" textRotation="0" wrapText="false" indent="0" shrinkToFit="false"/>
      <protection locked="true" hidden="false"/>
    </xf>
    <xf numFmtId="170" fontId="11" fillId="0" borderId="0" xfId="0" applyFont="true" applyBorder="true" applyAlignment="false" applyProtection="false">
      <alignment horizontal="general" vertical="bottom" textRotation="0" wrapText="false" indent="0" shrinkToFit="false"/>
      <protection locked="true" hidden="false"/>
    </xf>
    <xf numFmtId="165" fontId="11" fillId="0" borderId="0" xfId="17" applyFont="true" applyBorder="true" applyAlignment="true" applyProtection="true">
      <alignment horizontal="general" vertical="bottom" textRotation="0" wrapText="false" indent="0" shrinkToFit="false"/>
      <protection locked="true" hidden="false"/>
    </xf>
    <xf numFmtId="165" fontId="11" fillId="0" borderId="5" xfId="17" applyFont="true" applyBorder="true" applyAlignment="true" applyProtection="true">
      <alignment horizontal="general" vertical="bottom"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70" fontId="7" fillId="0" borderId="0" xfId="0" applyFont="true" applyBorder="true" applyAlignment="false" applyProtection="false">
      <alignment horizontal="general" vertical="bottom" textRotation="0" wrapText="false" indent="0" shrinkToFit="false"/>
      <protection locked="true" hidden="false"/>
    </xf>
    <xf numFmtId="165" fontId="7" fillId="0" borderId="0" xfId="17" applyFont="true" applyBorder="true" applyAlignment="true" applyProtection="true">
      <alignment horizontal="general" vertical="bottom" textRotation="0" wrapText="false" indent="0" shrinkToFit="false"/>
      <protection locked="true" hidden="false"/>
    </xf>
    <xf numFmtId="165" fontId="7" fillId="0" borderId="5" xfId="17" applyFont="true" applyBorder="true" applyAlignment="true" applyProtection="true">
      <alignment horizontal="general" vertical="bottom" textRotation="0" wrapText="false" indent="0" shrinkToFit="false"/>
      <protection locked="true" hidden="false"/>
    </xf>
    <xf numFmtId="170" fontId="0" fillId="0" borderId="0" xfId="0" applyFont="false" applyBorder="true" applyAlignment="false" applyProtection="false">
      <alignment horizontal="general" vertical="bottom" textRotation="0" wrapText="false" indent="0" shrinkToFit="false"/>
      <protection locked="true" hidden="false"/>
    </xf>
    <xf numFmtId="165" fontId="0" fillId="0" borderId="5" xfId="17" applyFont="true" applyBorder="true" applyAlignment="true" applyProtection="true">
      <alignment horizontal="general" vertical="bottom" textRotation="0" wrapText="false" indent="0" shrinkToFit="false"/>
      <protection locked="true" hidden="false"/>
    </xf>
    <xf numFmtId="164" fontId="7" fillId="0" borderId="10" xfId="0" applyFont="true" applyBorder="true" applyAlignment="false" applyProtection="false">
      <alignment horizontal="general" vertical="bottom" textRotation="0" wrapText="false" indent="0" shrinkToFit="false"/>
      <protection locked="true" hidden="false"/>
    </xf>
    <xf numFmtId="164" fontId="0" fillId="0" borderId="10" xfId="0" applyFont="false" applyBorder="true" applyAlignment="false" applyProtection="false">
      <alignment horizontal="general" vertical="bottom" textRotation="0" wrapText="false" indent="0" shrinkToFit="false"/>
      <protection locked="true" hidden="false"/>
    </xf>
    <xf numFmtId="170" fontId="7" fillId="0" borderId="10" xfId="0" applyFont="true" applyBorder="true" applyAlignment="false" applyProtection="false">
      <alignment horizontal="general" vertical="bottom" textRotation="0" wrapText="false" indent="0" shrinkToFit="false"/>
      <protection locked="true" hidden="false"/>
    </xf>
    <xf numFmtId="165" fontId="7" fillId="0" borderId="10" xfId="17" applyFont="true" applyBorder="true" applyAlignment="true" applyProtection="true">
      <alignment horizontal="general" vertical="bottom" textRotation="0" wrapText="false" indent="0" shrinkToFit="false"/>
      <protection locked="true" hidden="false"/>
    </xf>
    <xf numFmtId="165" fontId="7" fillId="0" borderId="11" xfId="17" applyFont="true" applyBorder="true" applyAlignment="true" applyProtection="true">
      <alignment horizontal="general" vertical="bottom" textRotation="0" wrapText="false" indent="0" shrinkToFit="false"/>
      <protection locked="true" hidden="false"/>
    </xf>
    <xf numFmtId="174" fontId="7"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true" applyAlignment="true" applyProtection="false">
      <alignment horizontal="general" vertical="bottom" textRotation="0" wrapText="true" indent="0" shrinkToFit="false"/>
      <protection locked="true" hidden="false"/>
    </xf>
    <xf numFmtId="168" fontId="7"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6" fontId="0" fillId="0" borderId="2" xfId="17" applyFont="true" applyBorder="true" applyAlignment="true" applyProtection="true">
      <alignment horizontal="general" vertical="bottom" textRotation="0" wrapText="false" indent="0" shrinkToFit="false"/>
      <protection locked="true" hidden="false"/>
    </xf>
    <xf numFmtId="170" fontId="0" fillId="0" borderId="2" xfId="0" applyFont="false" applyBorder="true" applyAlignment="false" applyProtection="false">
      <alignment horizontal="general" vertical="bottom" textRotation="0" wrapText="false" indent="0" shrinkToFit="false"/>
      <protection locked="true" hidden="false"/>
    </xf>
    <xf numFmtId="170" fontId="0" fillId="0" borderId="3" xfId="0" applyFont="false" applyBorder="true" applyAlignment="false" applyProtection="false">
      <alignment horizontal="general" vertical="bottom" textRotation="0" wrapText="false" indent="0" shrinkToFit="false"/>
      <protection locked="true" hidden="false"/>
    </xf>
    <xf numFmtId="164" fontId="7" fillId="0" borderId="4" xfId="0" applyFont="true" applyBorder="true" applyAlignment="false" applyProtection="false">
      <alignment horizontal="general" vertical="bottom" textRotation="0" wrapText="false" indent="0" shrinkToFit="false"/>
      <protection locked="true" hidden="false"/>
    </xf>
    <xf numFmtId="170" fontId="0" fillId="0" borderId="5" xfId="0" applyFont="false" applyBorder="true" applyAlignment="false" applyProtection="false">
      <alignment horizontal="general" vertical="bottom" textRotation="0" wrapText="false" indent="0" shrinkToFit="false"/>
      <protection locked="true" hidden="false"/>
    </xf>
    <xf numFmtId="164" fontId="11" fillId="0" borderId="4" xfId="0" applyFont="true" applyBorder="true" applyAlignment="false" applyProtection="false">
      <alignment horizontal="general" vertical="bottom" textRotation="0" wrapText="false" indent="0" shrinkToFit="false"/>
      <protection locked="true" hidden="false"/>
    </xf>
    <xf numFmtId="168" fontId="11" fillId="0" borderId="0" xfId="17" applyFont="true" applyBorder="true" applyAlignment="true" applyProtection="true">
      <alignment horizontal="general" vertical="bottom" textRotation="0" wrapText="false" indent="0" shrinkToFit="false"/>
      <protection locked="true" hidden="false"/>
    </xf>
    <xf numFmtId="170" fontId="11"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6" fontId="9" fillId="0" borderId="0" xfId="17" applyFont="true" applyBorder="true" applyAlignment="true" applyProtection="true">
      <alignment horizontal="general" vertical="bottom" textRotation="0" wrapText="false" indent="0" shrinkToFit="false"/>
      <protection locked="true" hidden="false"/>
    </xf>
    <xf numFmtId="175" fontId="7" fillId="0" borderId="0" xfId="19" applyFont="true" applyBorder="true" applyAlignment="true" applyProtection="true">
      <alignment horizontal="general" vertical="bottom" textRotation="0" wrapText="false" indent="0" shrinkToFit="false"/>
      <protection locked="true" hidden="false"/>
    </xf>
    <xf numFmtId="164" fontId="13" fillId="0" borderId="0" xfId="0" applyFont="true" applyBorder="true" applyAlignment="false" applyProtection="false">
      <alignment horizontal="general" vertical="bottom" textRotation="0" wrapText="false" indent="0" shrinkToFit="false"/>
      <protection locked="true" hidden="false"/>
    </xf>
    <xf numFmtId="170" fontId="11" fillId="0" borderId="5"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1" fillId="0" borderId="9" xfId="0" applyFont="true" applyBorder="true" applyAlignment="false" applyProtection="false">
      <alignment horizontal="general" vertical="bottom" textRotation="0" wrapText="false" indent="0" shrinkToFit="false"/>
      <protection locked="true" hidden="false"/>
    </xf>
    <xf numFmtId="164" fontId="11" fillId="0" borderId="10" xfId="0" applyFont="true" applyBorder="true" applyAlignment="false" applyProtection="false">
      <alignment horizontal="general" vertical="bottom" textRotation="0" wrapText="false" indent="0" shrinkToFit="false"/>
      <protection locked="true" hidden="false"/>
    </xf>
    <xf numFmtId="175" fontId="7" fillId="0" borderId="10" xfId="19" applyFont="true" applyBorder="true" applyAlignment="true" applyProtection="true">
      <alignment horizontal="general" vertical="bottom" textRotation="0" wrapText="false" indent="0" shrinkToFit="false"/>
      <protection locked="true" hidden="false"/>
    </xf>
    <xf numFmtId="170" fontId="11" fillId="0" borderId="10" xfId="0" applyFont="true" applyBorder="true" applyAlignment="false" applyProtection="false">
      <alignment horizontal="general" vertical="bottom" textRotation="0" wrapText="false" indent="0" shrinkToFit="false"/>
      <protection locked="true" hidden="false"/>
    </xf>
    <xf numFmtId="173" fontId="11" fillId="0" borderId="10" xfId="19" applyFont="true" applyBorder="true" applyAlignment="true" applyProtection="true">
      <alignment horizontal="general" vertical="bottom" textRotation="0" wrapText="false" indent="0" shrinkToFit="false"/>
      <protection locked="true" hidden="false"/>
    </xf>
    <xf numFmtId="170" fontId="11" fillId="0" borderId="11"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tru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true"/>
  </sheetPr>
  <dimension ref="A1:G55"/>
  <sheetViews>
    <sheetView showFormulas="false" showGridLines="true" showRowColHeaders="true" showZeros="true" rightToLeft="false" tabSelected="false" showOutlineSymbols="true" defaultGridColor="true" view="normal" topLeftCell="A16" colorId="64" zoomScale="100" zoomScaleNormal="100" zoomScalePageLayoutView="100" workbookViewId="0">
      <selection pane="topLeft" activeCell="A41" activeCellId="0" sqref="A41"/>
    </sheetView>
  </sheetViews>
  <sheetFormatPr defaultColWidth="9.0546875" defaultRowHeight="12.75" zeroHeight="false" outlineLevelRow="0" outlineLevelCol="0"/>
  <cols>
    <col collapsed="false" customWidth="true" hidden="false" outlineLevel="0" max="1" min="1" style="0" width="51.51"/>
    <col collapsed="false" customWidth="true" hidden="false" outlineLevel="0" max="3" min="2" style="0" width="17.12"/>
    <col collapsed="false" customWidth="true" hidden="false" outlineLevel="0" max="5" min="5" style="1" width="52.22"/>
    <col collapsed="false" customWidth="true" hidden="false" outlineLevel="0" max="6" min="6" style="1" width="11.27"/>
    <col collapsed="false" customWidth="true" hidden="false" outlineLevel="0" max="7" min="7" style="1" width="20.97"/>
  </cols>
  <sheetData>
    <row r="1" s="5" customFormat="true" ht="25.5" hidden="false" customHeight="false" outlineLevel="0" collapsed="false">
      <c r="A1" s="2" t="s">
        <v>0</v>
      </c>
      <c r="B1" s="3"/>
      <c r="C1" s="4"/>
      <c r="E1" s="6"/>
      <c r="F1" s="6"/>
      <c r="G1" s="6"/>
    </row>
    <row r="2" s="5" customFormat="true" ht="25.5" hidden="false" customHeight="false" outlineLevel="0" collapsed="false">
      <c r="A2" s="7" t="s">
        <v>1</v>
      </c>
      <c r="B2" s="8"/>
      <c r="C2" s="9"/>
      <c r="E2" s="6"/>
      <c r="F2" s="6"/>
      <c r="G2" s="6"/>
    </row>
    <row r="3" s="5" customFormat="true" ht="25.5" hidden="false" customHeight="false" outlineLevel="0" collapsed="false">
      <c r="A3" s="10"/>
      <c r="B3" s="8"/>
      <c r="C3" s="9"/>
      <c r="E3" s="6"/>
      <c r="F3" s="6"/>
      <c r="G3" s="6"/>
    </row>
    <row r="4" customFormat="false" ht="12.75" hidden="false" customHeight="false" outlineLevel="0" collapsed="false">
      <c r="A4" s="11" t="s">
        <v>2</v>
      </c>
      <c r="B4" s="12" t="n">
        <v>90</v>
      </c>
      <c r="C4" s="13" t="s">
        <v>3</v>
      </c>
      <c r="E4" s="14"/>
      <c r="F4" s="15"/>
      <c r="G4" s="14"/>
    </row>
    <row r="5" customFormat="false" ht="12.75" hidden="false" customHeight="false" outlineLevel="0" collapsed="false">
      <c r="A5" s="16"/>
      <c r="B5" s="14"/>
      <c r="C5" s="17"/>
      <c r="E5" s="14"/>
      <c r="F5" s="15"/>
      <c r="G5" s="14"/>
    </row>
    <row r="6" customFormat="false" ht="23.25" hidden="false" customHeight="false" outlineLevel="0" collapsed="false">
      <c r="A6" s="18" t="s">
        <v>4</v>
      </c>
      <c r="B6" s="19"/>
      <c r="C6" s="20"/>
      <c r="E6" s="14"/>
      <c r="F6" s="15"/>
      <c r="G6" s="14"/>
    </row>
    <row r="7" customFormat="false" ht="12.75" hidden="false" customHeight="false" outlineLevel="0" collapsed="false">
      <c r="A7" s="21" t="s">
        <v>5</v>
      </c>
      <c r="B7" s="22" t="n">
        <v>15</v>
      </c>
      <c r="C7" s="13" t="s">
        <v>6</v>
      </c>
      <c r="E7" s="14"/>
      <c r="F7" s="23"/>
      <c r="G7" s="14"/>
    </row>
    <row r="8" customFormat="false" ht="13.5" hidden="false" customHeight="false" outlineLevel="0" collapsed="false">
      <c r="A8" s="24" t="s">
        <v>7</v>
      </c>
      <c r="B8" s="25" t="n">
        <v>5</v>
      </c>
      <c r="C8" s="17" t="s">
        <v>6</v>
      </c>
      <c r="E8" s="14"/>
      <c r="F8" s="15"/>
      <c r="G8" s="14"/>
    </row>
    <row r="9" customFormat="false" ht="13.5" hidden="false" customHeight="false" outlineLevel="0" collapsed="false">
      <c r="A9" s="26" t="s">
        <v>8</v>
      </c>
      <c r="B9" s="27" t="n">
        <f aca="false">+B7+B8</f>
        <v>20</v>
      </c>
      <c r="C9" s="28" t="s">
        <v>6</v>
      </c>
      <c r="E9" s="14"/>
      <c r="F9" s="14"/>
      <c r="G9" s="14"/>
    </row>
    <row r="10" customFormat="false" ht="12.75" hidden="false" customHeight="false" outlineLevel="0" collapsed="false">
      <c r="A10" s="29"/>
      <c r="B10" s="30"/>
      <c r="C10" s="20"/>
      <c r="E10" s="14"/>
      <c r="F10" s="14"/>
      <c r="G10" s="14"/>
    </row>
    <row r="11" customFormat="false" ht="12.75" hidden="false" customHeight="false" outlineLevel="0" collapsed="false">
      <c r="A11" s="21" t="s">
        <v>9</v>
      </c>
      <c r="B11" s="31" t="n">
        <v>0.15</v>
      </c>
      <c r="C11" s="13"/>
      <c r="E11" s="14"/>
      <c r="F11" s="14"/>
      <c r="G11" s="14"/>
    </row>
    <row r="12" customFormat="false" ht="12.75" hidden="false" customHeight="false" outlineLevel="0" collapsed="false">
      <c r="A12" s="24" t="s">
        <v>10</v>
      </c>
      <c r="B12" s="25" t="n">
        <f aca="false">+B11*B9</f>
        <v>3</v>
      </c>
      <c r="C12" s="20"/>
      <c r="E12" s="14"/>
      <c r="F12" s="30"/>
      <c r="G12" s="14"/>
    </row>
    <row r="13" customFormat="false" ht="13.5" hidden="false" customHeight="false" outlineLevel="0" collapsed="false">
      <c r="A13" s="16"/>
      <c r="B13" s="25"/>
      <c r="C13" s="20"/>
      <c r="E13" s="14"/>
      <c r="F13" s="30"/>
      <c r="G13" s="14"/>
    </row>
    <row r="14" customFormat="false" ht="12.75" hidden="false" customHeight="false" outlineLevel="0" collapsed="false">
      <c r="A14" s="32" t="s">
        <v>11</v>
      </c>
      <c r="B14" s="33" t="n">
        <f aca="false">+B9+B12</f>
        <v>23</v>
      </c>
      <c r="C14" s="34" t="s">
        <v>6</v>
      </c>
      <c r="E14" s="14"/>
      <c r="F14" s="14"/>
      <c r="G14" s="14"/>
    </row>
    <row r="15" customFormat="false" ht="13.5" hidden="false" customHeight="false" outlineLevel="0" collapsed="false">
      <c r="A15" s="35"/>
      <c r="B15" s="36" t="n">
        <f aca="false">B4*B14</f>
        <v>2070</v>
      </c>
      <c r="C15" s="37" t="s">
        <v>12</v>
      </c>
      <c r="E15" s="14"/>
      <c r="F15" s="25"/>
      <c r="G15" s="14"/>
    </row>
    <row r="16" customFormat="false" ht="12.75" hidden="false" customHeight="false" outlineLevel="0" collapsed="false">
      <c r="A16" s="29"/>
      <c r="B16" s="38"/>
      <c r="C16" s="39"/>
      <c r="E16" s="14"/>
      <c r="F16" s="25"/>
      <c r="G16" s="14"/>
    </row>
    <row r="17" customFormat="false" ht="24" hidden="false" customHeight="false" outlineLevel="0" collapsed="false">
      <c r="A17" s="18" t="s">
        <v>13</v>
      </c>
      <c r="B17" s="38"/>
      <c r="C17" s="39"/>
      <c r="E17" s="14"/>
      <c r="F17" s="25"/>
      <c r="G17" s="14"/>
    </row>
    <row r="18" customFormat="false" ht="12.75" hidden="false" customHeight="false" outlineLevel="0" collapsed="false">
      <c r="A18" s="40"/>
      <c r="B18" s="41"/>
      <c r="C18" s="42"/>
      <c r="E18" s="14"/>
      <c r="F18" s="23"/>
      <c r="G18" s="14"/>
    </row>
    <row r="19" customFormat="false" ht="12.75" hidden="false" customHeight="false" outlineLevel="0" collapsed="false">
      <c r="A19" s="21" t="s">
        <v>14</v>
      </c>
      <c r="B19" s="31" t="n">
        <v>0.15</v>
      </c>
      <c r="C19" s="13"/>
      <c r="E19" s="14"/>
      <c r="F19" s="14"/>
      <c r="G19" s="14"/>
    </row>
    <row r="20" customFormat="false" ht="12.75" hidden="false" customHeight="false" outlineLevel="0" collapsed="false">
      <c r="A20" s="24"/>
      <c r="B20" s="23"/>
      <c r="C20" s="17"/>
      <c r="E20" s="14"/>
      <c r="F20" s="25"/>
      <c r="G20" s="14"/>
    </row>
    <row r="21" customFormat="false" ht="12.75" hidden="false" customHeight="false" outlineLevel="0" collapsed="false">
      <c r="A21" s="43" t="s">
        <v>15</v>
      </c>
      <c r="B21" s="15" t="n">
        <f aca="false">+B15*(1+B19)</f>
        <v>2380.5</v>
      </c>
      <c r="C21" s="20" t="s">
        <v>12</v>
      </c>
      <c r="E21" s="14"/>
      <c r="F21" s="25"/>
      <c r="G21" s="14"/>
    </row>
    <row r="22" customFormat="false" ht="12.75" hidden="false" customHeight="false" outlineLevel="0" collapsed="false">
      <c r="A22" s="44" t="s">
        <v>16</v>
      </c>
      <c r="B22" s="25" t="n">
        <f aca="false">+B21/B4</f>
        <v>26.45</v>
      </c>
      <c r="C22" s="20" t="s">
        <v>6</v>
      </c>
      <c r="E22" s="14"/>
      <c r="F22" s="30"/>
      <c r="G22" s="14"/>
    </row>
    <row r="23" customFormat="false" ht="12.75" hidden="false" customHeight="false" outlineLevel="0" collapsed="false">
      <c r="A23" s="43" t="s">
        <v>17</v>
      </c>
      <c r="B23" s="30" t="n">
        <f aca="false">+B21/12</f>
        <v>198.375</v>
      </c>
      <c r="C23" s="20" t="s">
        <v>12</v>
      </c>
      <c r="E23" s="14"/>
      <c r="F23" s="30"/>
      <c r="G23" s="14"/>
    </row>
    <row r="24" customFormat="false" ht="12.75" hidden="false" customHeight="false" outlineLevel="0" collapsed="false">
      <c r="A24" s="45"/>
      <c r="B24" s="30"/>
      <c r="C24" s="20"/>
      <c r="E24" s="14"/>
      <c r="F24" s="30"/>
      <c r="G24" s="14"/>
    </row>
    <row r="25" customFormat="false" ht="24" hidden="false" customHeight="false" outlineLevel="0" collapsed="false">
      <c r="A25" s="46" t="s">
        <v>18</v>
      </c>
      <c r="B25" s="47"/>
      <c r="C25" s="48"/>
      <c r="E25" s="14"/>
      <c r="F25" s="14"/>
      <c r="G25" s="14"/>
    </row>
    <row r="26" customFormat="false" ht="12.75" hidden="false" customHeight="false" outlineLevel="0" collapsed="false">
      <c r="A26" s="49" t="s">
        <v>19</v>
      </c>
      <c r="B26" s="50" t="n">
        <v>20</v>
      </c>
      <c r="C26" s="51" t="s">
        <v>6</v>
      </c>
      <c r="E26" s="14"/>
      <c r="F26" s="52"/>
      <c r="G26" s="14"/>
    </row>
    <row r="27" customFormat="false" ht="12.75" hidden="false" customHeight="false" outlineLevel="0" collapsed="false">
      <c r="A27" s="21" t="s">
        <v>20</v>
      </c>
      <c r="B27" s="12" t="n">
        <v>10</v>
      </c>
      <c r="C27" s="13" t="s">
        <v>21</v>
      </c>
      <c r="E27" s="14"/>
      <c r="F27" s="14"/>
      <c r="G27" s="14"/>
    </row>
    <row r="28" customFormat="false" ht="12.75" hidden="false" customHeight="false" outlineLevel="0" collapsed="false">
      <c r="A28" s="21" t="s">
        <v>22</v>
      </c>
      <c r="B28" s="31" t="n">
        <v>0.08</v>
      </c>
      <c r="C28" s="13"/>
      <c r="E28" s="14"/>
      <c r="F28" s="23"/>
      <c r="G28" s="14"/>
    </row>
    <row r="29" customFormat="false" ht="26.25" hidden="false" customHeight="false" outlineLevel="0" collapsed="false">
      <c r="A29" s="53" t="s">
        <v>23</v>
      </c>
      <c r="B29" s="54" t="n">
        <f aca="false">PMT(B28,B27,-1*B26,0,0)</f>
        <v>2.98058977394151</v>
      </c>
      <c r="C29" s="48" t="s">
        <v>6</v>
      </c>
      <c r="E29" s="14"/>
      <c r="F29" s="52"/>
      <c r="G29" s="14"/>
    </row>
    <row r="30" customFormat="false" ht="12.75" hidden="false" customHeight="false" outlineLevel="0" collapsed="false">
      <c r="A30" s="45" t="s">
        <v>24</v>
      </c>
      <c r="B30" s="25" t="n">
        <f aca="false">+B19*B15/B4</f>
        <v>3.45</v>
      </c>
      <c r="C30" s="20" t="s">
        <v>6</v>
      </c>
      <c r="E30" s="14"/>
      <c r="F30" s="55"/>
      <c r="G30" s="14"/>
    </row>
    <row r="31" customFormat="false" ht="12.75" hidden="false" customHeight="false" outlineLevel="0" collapsed="false">
      <c r="A31" s="45"/>
      <c r="B31" s="25"/>
      <c r="C31" s="20"/>
      <c r="E31" s="14"/>
      <c r="F31" s="14"/>
      <c r="G31" s="14"/>
    </row>
    <row r="32" customFormat="false" ht="13.5" hidden="false" customHeight="false" outlineLevel="0" collapsed="false">
      <c r="A32" s="56" t="s">
        <v>25</v>
      </c>
      <c r="B32" s="54" t="n">
        <f aca="false">+B30-B29</f>
        <v>0.469410226058492</v>
      </c>
      <c r="C32" s="48" t="s">
        <v>6</v>
      </c>
      <c r="E32" s="14"/>
      <c r="F32" s="14"/>
      <c r="G32" s="14"/>
    </row>
    <row r="33" customFormat="false" ht="12.75" hidden="false" customHeight="false" outlineLevel="0" collapsed="false">
      <c r="A33" s="19"/>
      <c r="B33" s="25"/>
      <c r="C33" s="19"/>
      <c r="E33" s="14"/>
      <c r="F33" s="14"/>
      <c r="G33" s="14"/>
    </row>
    <row r="34" customFormat="false" ht="12.75" hidden="false" customHeight="false" outlineLevel="0" collapsed="false">
      <c r="A34" s="0" t="s">
        <v>26</v>
      </c>
    </row>
    <row r="35" customFormat="false" ht="13.5" hidden="false" customHeight="false" outlineLevel="0" collapsed="false">
      <c r="E35" s="57"/>
      <c r="G35" s="58"/>
    </row>
    <row r="36" customFormat="false" ht="13.5" hidden="false" customHeight="false" outlineLevel="0" collapsed="false">
      <c r="A36" s="59"/>
      <c r="B36" s="0" t="s">
        <v>27</v>
      </c>
    </row>
    <row r="37" customFormat="false" ht="13.5" hidden="false" customHeight="false" outlineLevel="0" collapsed="false">
      <c r="A37" s="60"/>
      <c r="B37" s="0" t="s">
        <v>28</v>
      </c>
    </row>
    <row r="39" customFormat="false" ht="51.75" hidden="false" customHeight="true" outlineLevel="0" collapsed="false">
      <c r="A39" s="61" t="s">
        <v>29</v>
      </c>
      <c r="B39" s="61"/>
      <c r="C39" s="61"/>
      <c r="D39" s="62"/>
    </row>
    <row r="40" customFormat="false" ht="12.75" hidden="false" customHeight="false" outlineLevel="0" collapsed="false">
      <c r="B40" s="30"/>
      <c r="C40" s="30"/>
    </row>
    <row r="41" customFormat="false" ht="12.75" hidden="false" customHeight="false" outlineLevel="0" collapsed="false">
      <c r="A41" s="62"/>
      <c r="B41" s="15"/>
      <c r="C41" s="30"/>
    </row>
    <row r="42" customFormat="false" ht="12.75" hidden="false" customHeight="false" outlineLevel="0" collapsed="false">
      <c r="A42" s="62"/>
      <c r="B42" s="15"/>
      <c r="C42" s="30"/>
    </row>
    <row r="43" customFormat="false" ht="12.75" hidden="false" customHeight="false" outlineLevel="0" collapsed="false">
      <c r="A43" s="62"/>
      <c r="B43" s="15"/>
      <c r="C43" s="30"/>
    </row>
    <row r="44" customFormat="false" ht="12.75" hidden="false" customHeight="false" outlineLevel="0" collapsed="false">
      <c r="A44" s="62"/>
      <c r="B44" s="15"/>
      <c r="C44" s="30"/>
    </row>
    <row r="45" customFormat="false" ht="12.75" hidden="false" customHeight="false" outlineLevel="0" collapsed="false">
      <c r="A45" s="62"/>
      <c r="B45" s="15"/>
      <c r="C45" s="30"/>
    </row>
    <row r="46" customFormat="false" ht="12.75" hidden="false" customHeight="false" outlineLevel="0" collapsed="false">
      <c r="B46" s="15"/>
    </row>
    <row r="47" customFormat="false" ht="12.75" hidden="false" customHeight="false" outlineLevel="0" collapsed="false">
      <c r="B47" s="15"/>
    </row>
    <row r="48" customFormat="false" ht="12.75" hidden="false" customHeight="false" outlineLevel="0" collapsed="false">
      <c r="B48" s="15"/>
    </row>
    <row r="49" customFormat="false" ht="12.75" hidden="false" customHeight="false" outlineLevel="0" collapsed="false">
      <c r="B49" s="15"/>
    </row>
    <row r="50" customFormat="false" ht="12.75" hidden="false" customHeight="false" outlineLevel="0" collapsed="false">
      <c r="B50" s="15"/>
    </row>
    <row r="51" customFormat="false" ht="12.75" hidden="false" customHeight="false" outlineLevel="0" collapsed="false">
      <c r="B51" s="15"/>
    </row>
    <row r="52" customFormat="false" ht="12.75" hidden="false" customHeight="false" outlineLevel="0" collapsed="false">
      <c r="B52" s="15"/>
    </row>
    <row r="53" customFormat="false" ht="12.75" hidden="false" customHeight="false" outlineLevel="0" collapsed="false">
      <c r="B53" s="15"/>
    </row>
    <row r="54" customFormat="false" ht="12.75" hidden="false" customHeight="false" outlineLevel="0" collapsed="false">
      <c r="B54" s="15"/>
    </row>
    <row r="55" customFormat="false" ht="12.75" hidden="false" customHeight="false" outlineLevel="0" collapsed="false">
      <c r="B55" s="63"/>
    </row>
  </sheetData>
  <mergeCells count="1">
    <mergeCell ref="A39:C39"/>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true"/>
  </sheetPr>
  <dimension ref="A1:AA97"/>
  <sheetViews>
    <sheetView showFormulas="false" showGridLines="true" showRowColHeaders="true" showZeros="true" rightToLeft="false" tabSelected="true" showOutlineSymbols="true" defaultGridColor="true" view="normal" topLeftCell="A75" colorId="64" zoomScale="100" zoomScaleNormal="100" zoomScalePageLayoutView="100" workbookViewId="0">
      <selection pane="topLeft" activeCell="E100" activeCellId="0" sqref="E100"/>
    </sheetView>
  </sheetViews>
  <sheetFormatPr defaultColWidth="9.0546875" defaultRowHeight="12.75" zeroHeight="false" outlineLevelRow="0" outlineLevelCol="0"/>
  <cols>
    <col collapsed="false" customWidth="true" hidden="false" outlineLevel="0" max="1" min="1" style="0" width="5.41"/>
    <col collapsed="false" customWidth="true" hidden="false" outlineLevel="0" max="2" min="2" style="0" width="38.66"/>
    <col collapsed="false" customWidth="true" hidden="false" outlineLevel="0" max="3" min="3" style="0" width="12.27"/>
    <col collapsed="false" customWidth="true" hidden="false" outlineLevel="0" max="4" min="4" style="0" width="2.56"/>
    <col collapsed="false" customWidth="true" hidden="false" outlineLevel="0" max="5" min="5" style="0" width="7.84"/>
    <col collapsed="false" customWidth="true" hidden="false" outlineLevel="0" max="6" min="6" style="0" width="11.69"/>
    <col collapsed="false" customWidth="true" hidden="false" outlineLevel="0" max="7" min="7" style="0" width="7.27"/>
    <col collapsed="false" customWidth="true" hidden="false" outlineLevel="0" max="9" min="8" style="0" width="9.4"/>
    <col collapsed="false" customWidth="true" hidden="false" outlineLevel="0" max="11" min="10" style="0" width="10.55"/>
    <col collapsed="false" customWidth="true" hidden="false" outlineLevel="0" max="13" min="12" style="0" width="9.4"/>
    <col collapsed="false" customWidth="true" hidden="false" outlineLevel="0" max="14" min="14" style="0" width="4.84"/>
  </cols>
  <sheetData>
    <row r="1" s="67" customFormat="true" ht="18" hidden="false" customHeight="false" outlineLevel="0" collapsed="false">
      <c r="A1" s="64" t="s">
        <v>30</v>
      </c>
      <c r="B1" s="65"/>
      <c r="C1" s="65"/>
      <c r="D1" s="65"/>
      <c r="E1" s="66" t="s">
        <v>31</v>
      </c>
      <c r="F1" s="66"/>
      <c r="G1" s="66"/>
      <c r="H1" s="66"/>
      <c r="I1" s="66"/>
      <c r="J1" s="66"/>
      <c r="K1" s="66"/>
      <c r="L1" s="66"/>
      <c r="M1" s="66"/>
      <c r="N1" s="66"/>
    </row>
    <row r="2" s="1" customFormat="true" ht="12.75" hidden="false" customHeight="false" outlineLevel="0" collapsed="false">
      <c r="A2" s="68"/>
      <c r="B2" s="68"/>
      <c r="C2" s="68"/>
      <c r="D2" s="68"/>
      <c r="E2" s="68"/>
      <c r="F2" s="68"/>
      <c r="G2" s="68"/>
      <c r="H2" s="68"/>
      <c r="I2" s="68"/>
      <c r="J2" s="68"/>
      <c r="K2" s="68"/>
      <c r="L2" s="68"/>
      <c r="M2" s="68"/>
      <c r="N2" s="68"/>
    </row>
    <row r="3" customFormat="false" ht="12.75" hidden="false" customHeight="false" outlineLevel="0" collapsed="false">
      <c r="A3" s="69"/>
      <c r="B3" s="69"/>
      <c r="C3" s="69"/>
      <c r="D3" s="69"/>
      <c r="E3" s="69"/>
      <c r="F3" s="69"/>
      <c r="G3" s="69"/>
      <c r="H3" s="70"/>
      <c r="I3" s="70"/>
      <c r="J3" s="70"/>
      <c r="K3" s="70"/>
      <c r="L3" s="70"/>
      <c r="M3" s="70"/>
      <c r="N3" s="70"/>
    </row>
    <row r="4" customFormat="false" ht="12.75" hidden="false" customHeight="false" outlineLevel="0" collapsed="false">
      <c r="A4" s="71" t="s">
        <v>32</v>
      </c>
      <c r="B4" s="69"/>
      <c r="C4" s="69"/>
      <c r="D4" s="69"/>
      <c r="E4" s="69"/>
      <c r="F4" s="69"/>
      <c r="G4" s="69"/>
      <c r="H4" s="71" t="s">
        <v>33</v>
      </c>
      <c r="I4" s="70"/>
      <c r="J4" s="70"/>
      <c r="K4" s="70"/>
      <c r="L4" s="70"/>
      <c r="M4" s="70"/>
      <c r="N4" s="70"/>
    </row>
    <row r="5" customFormat="false" ht="12.75" hidden="false" customHeight="false" outlineLevel="0" collapsed="false">
      <c r="A5" s="69"/>
      <c r="B5" s="69" t="s">
        <v>34</v>
      </c>
      <c r="C5" s="72" t="n">
        <v>14000</v>
      </c>
      <c r="D5" s="72"/>
      <c r="E5" s="72"/>
      <c r="F5" s="69" t="s">
        <v>35</v>
      </c>
      <c r="G5" s="69"/>
      <c r="H5" s="70"/>
      <c r="I5" s="73"/>
      <c r="J5" s="70" t="s">
        <v>36</v>
      </c>
      <c r="K5" s="70"/>
      <c r="L5" s="70"/>
      <c r="M5" s="70"/>
      <c r="N5" s="70"/>
      <c r="O5" s="0" t="n">
        <f aca="false">+C5*35</f>
        <v>490000</v>
      </c>
    </row>
    <row r="6" customFormat="false" ht="12.75" hidden="false" customHeight="false" outlineLevel="0" collapsed="false">
      <c r="A6" s="69"/>
      <c r="B6" s="69" t="s">
        <v>37</v>
      </c>
      <c r="C6" s="74" t="n">
        <v>0.33</v>
      </c>
      <c r="D6" s="74"/>
      <c r="E6" s="74"/>
      <c r="F6" s="69"/>
      <c r="G6" s="69"/>
      <c r="H6" s="70"/>
      <c r="I6" s="75"/>
      <c r="J6" s="70" t="s">
        <v>38</v>
      </c>
      <c r="K6" s="70"/>
      <c r="L6" s="70"/>
      <c r="M6" s="70"/>
      <c r="N6" s="70"/>
    </row>
    <row r="7" customFormat="false" ht="12.75" hidden="false" customHeight="false" outlineLevel="0" collapsed="false">
      <c r="A7" s="69"/>
      <c r="B7" s="69" t="s">
        <v>39</v>
      </c>
      <c r="C7" s="72" t="n">
        <f aca="false">+C5/C8</f>
        <v>87.5</v>
      </c>
      <c r="D7" s="72"/>
      <c r="E7" s="72"/>
      <c r="F7" s="69" t="s">
        <v>40</v>
      </c>
      <c r="G7" s="69"/>
      <c r="H7" s="70"/>
      <c r="I7" s="76"/>
      <c r="J7" s="70" t="s">
        <v>41</v>
      </c>
      <c r="K7" s="70"/>
      <c r="L7" s="70"/>
      <c r="M7" s="70"/>
      <c r="N7" s="70"/>
    </row>
    <row r="8" customFormat="false" ht="12.75" hidden="false" customHeight="false" outlineLevel="0" collapsed="false">
      <c r="A8" s="69"/>
      <c r="B8" s="69" t="s">
        <v>42</v>
      </c>
      <c r="C8" s="72" t="n">
        <v>160</v>
      </c>
      <c r="D8" s="72"/>
      <c r="E8" s="72"/>
      <c r="F8" s="69" t="s">
        <v>43</v>
      </c>
      <c r="G8" s="69"/>
      <c r="H8" s="70"/>
      <c r="I8" s="77"/>
      <c r="J8" s="70" t="s">
        <v>44</v>
      </c>
      <c r="K8" s="70"/>
      <c r="L8" s="70"/>
      <c r="M8" s="70"/>
      <c r="N8" s="70"/>
    </row>
    <row r="9" customFormat="false" ht="12.75" hidden="false" customHeight="false" outlineLevel="0" collapsed="false">
      <c r="A9" s="69"/>
      <c r="B9" s="69"/>
      <c r="C9" s="69"/>
      <c r="D9" s="69"/>
      <c r="E9" s="69"/>
      <c r="F9" s="69"/>
      <c r="G9" s="69"/>
      <c r="H9" s="78"/>
      <c r="I9" s="78"/>
      <c r="J9" s="78"/>
      <c r="K9" s="78"/>
      <c r="L9" s="78"/>
      <c r="M9" s="78"/>
      <c r="N9" s="78"/>
    </row>
    <row r="10" customFormat="false" ht="12.75" hidden="false" customHeight="false" outlineLevel="0" collapsed="false">
      <c r="A10" s="71" t="s">
        <v>45</v>
      </c>
      <c r="B10" s="71"/>
      <c r="C10" s="71" t="s">
        <v>46</v>
      </c>
      <c r="D10" s="71"/>
      <c r="E10" s="79"/>
      <c r="F10" s="71" t="s">
        <v>47</v>
      </c>
      <c r="G10" s="71"/>
      <c r="H10" s="80" t="s">
        <v>48</v>
      </c>
      <c r="I10" s="80"/>
      <c r="J10" s="80" t="s">
        <v>49</v>
      </c>
      <c r="K10" s="80"/>
      <c r="L10" s="80" t="s">
        <v>50</v>
      </c>
      <c r="M10" s="80"/>
      <c r="N10" s="81"/>
    </row>
    <row r="11" customFormat="false" ht="12.75" hidden="false" customHeight="false" outlineLevel="0" collapsed="false">
      <c r="A11" s="69"/>
      <c r="B11" s="69" t="s">
        <v>51</v>
      </c>
      <c r="C11" s="82"/>
      <c r="D11" s="82"/>
      <c r="E11" s="82"/>
      <c r="F11" s="69"/>
      <c r="G11" s="69"/>
      <c r="H11" s="83" t="s">
        <v>52</v>
      </c>
      <c r="I11" s="84" t="s">
        <v>53</v>
      </c>
      <c r="J11" s="83" t="s">
        <v>52</v>
      </c>
      <c r="K11" s="84" t="s">
        <v>53</v>
      </c>
      <c r="L11" s="83" t="s">
        <v>52</v>
      </c>
      <c r="M11" s="84" t="s">
        <v>53</v>
      </c>
      <c r="N11" s="78"/>
    </row>
    <row r="12" customFormat="false" ht="12.75" hidden="false" customHeight="false" outlineLevel="0" collapsed="false">
      <c r="A12" s="70"/>
      <c r="B12" s="70" t="s">
        <v>54</v>
      </c>
      <c r="C12" s="85" t="n">
        <v>250000</v>
      </c>
      <c r="D12" s="25"/>
      <c r="E12" s="25" t="s">
        <v>31</v>
      </c>
      <c r="F12" s="86" t="n">
        <v>0</v>
      </c>
      <c r="G12" s="70"/>
      <c r="H12" s="87" t="n">
        <f aca="false">$C12/$C$5</f>
        <v>17.8571428571429</v>
      </c>
      <c r="I12" s="88" t="n">
        <f aca="false">$C12*(1+$F12)/$C$5</f>
        <v>17.8571428571429</v>
      </c>
      <c r="J12" s="87" t="n">
        <f aca="false">$C12/$C$8</f>
        <v>1562.5</v>
      </c>
      <c r="K12" s="88" t="n">
        <f aca="false">$C12*(1+$F12)/$C$8</f>
        <v>1562.5</v>
      </c>
      <c r="L12" s="87" t="n">
        <f aca="false">$J12/12</f>
        <v>130.208333333333</v>
      </c>
      <c r="M12" s="88" t="n">
        <f aca="false">$K12/12</f>
        <v>130.208333333333</v>
      </c>
      <c r="N12" s="87"/>
      <c r="P12" s="86"/>
    </row>
    <row r="13" customFormat="false" ht="12.75" hidden="false" customHeight="false" outlineLevel="0" collapsed="false">
      <c r="A13" s="70"/>
      <c r="B13" s="70" t="s">
        <v>55</v>
      </c>
      <c r="C13" s="85" t="n">
        <v>0</v>
      </c>
      <c r="D13" s="25"/>
      <c r="E13" s="89"/>
      <c r="F13" s="86" t="n">
        <v>0</v>
      </c>
      <c r="G13" s="70"/>
      <c r="H13" s="87" t="n">
        <f aca="false">$C13/$C$5</f>
        <v>0</v>
      </c>
      <c r="I13" s="88" t="n">
        <f aca="false">$C13*(1+$F13)/$C$5</f>
        <v>0</v>
      </c>
      <c r="J13" s="87" t="n">
        <f aca="false">$C13/$C$8</f>
        <v>0</v>
      </c>
      <c r="K13" s="88" t="n">
        <f aca="false">$C13*(1+$F13)/$C$8</f>
        <v>0</v>
      </c>
      <c r="L13" s="87" t="n">
        <f aca="false">$J13/12</f>
        <v>0</v>
      </c>
      <c r="M13" s="88" t="n">
        <f aca="false">$K13/12</f>
        <v>0</v>
      </c>
      <c r="N13" s="87"/>
      <c r="P13" s="86"/>
    </row>
    <row r="14" customFormat="false" ht="12.75" hidden="false" customHeight="false" outlineLevel="0" collapsed="false">
      <c r="A14" s="70"/>
      <c r="B14" s="70" t="s">
        <v>56</v>
      </c>
      <c r="C14" s="85" t="n">
        <v>65000</v>
      </c>
      <c r="D14" s="25"/>
      <c r="E14" s="25" t="s">
        <v>31</v>
      </c>
      <c r="F14" s="86" t="n">
        <v>0</v>
      </c>
      <c r="G14" s="70"/>
      <c r="H14" s="87" t="n">
        <f aca="false">$C14*$C$5</f>
        <v>910000000</v>
      </c>
      <c r="I14" s="88" t="n">
        <f aca="false">$C14*(1+$F14)/$C$5</f>
        <v>4.64285714285714</v>
      </c>
      <c r="J14" s="87" t="n">
        <f aca="false">$C14/$C$8</f>
        <v>406.25</v>
      </c>
      <c r="K14" s="88" t="n">
        <f aca="false">$C14*(1+$F14)/$C$8</f>
        <v>406.25</v>
      </c>
      <c r="L14" s="87" t="n">
        <f aca="false">$J14/12</f>
        <v>33.8541666666667</v>
      </c>
      <c r="M14" s="88" t="n">
        <f aca="false">$K14/12</f>
        <v>33.8541666666667</v>
      </c>
      <c r="N14" s="87"/>
      <c r="P14" s="86"/>
    </row>
    <row r="15" customFormat="false" ht="12.75" hidden="false" customHeight="false" outlineLevel="0" collapsed="false">
      <c r="A15" s="70"/>
      <c r="B15" s="70" t="s">
        <v>57</v>
      </c>
      <c r="C15" s="85"/>
      <c r="D15" s="25"/>
      <c r="E15" s="89"/>
      <c r="F15" s="86" t="n">
        <v>0</v>
      </c>
      <c r="G15" s="70"/>
      <c r="H15" s="87" t="n">
        <f aca="false">$C15/$C$5</f>
        <v>0</v>
      </c>
      <c r="I15" s="88" t="n">
        <f aca="false">$C15*(1+$F15)/$C$5</f>
        <v>0</v>
      </c>
      <c r="J15" s="87" t="n">
        <f aca="false">$C15/$C$8</f>
        <v>0</v>
      </c>
      <c r="K15" s="88" t="n">
        <f aca="false">$C15*(1+$F15)/$C$8</f>
        <v>0</v>
      </c>
      <c r="L15" s="87" t="n">
        <f aca="false">$J15/12</f>
        <v>0</v>
      </c>
      <c r="M15" s="88" t="n">
        <f aca="false">$K15/12</f>
        <v>0</v>
      </c>
      <c r="N15" s="87"/>
      <c r="P15" s="86"/>
    </row>
    <row r="16" customFormat="false" ht="12.75" hidden="false" customHeight="false" outlineLevel="0" collapsed="false">
      <c r="A16" s="70"/>
      <c r="B16" s="70" t="s">
        <v>58</v>
      </c>
      <c r="C16" s="85" t="n">
        <v>30000</v>
      </c>
      <c r="D16" s="25"/>
      <c r="E16" s="89"/>
      <c r="F16" s="86" t="n">
        <v>0</v>
      </c>
      <c r="G16" s="70"/>
      <c r="H16" s="87" t="n">
        <f aca="false">$C16/$C$5</f>
        <v>2.14285714285714</v>
      </c>
      <c r="I16" s="88" t="n">
        <f aca="false">$C16*(1+$F16)/$C$5</f>
        <v>2.14285714285714</v>
      </c>
      <c r="J16" s="87" t="n">
        <f aca="false">$C16/$C$8</f>
        <v>187.5</v>
      </c>
      <c r="K16" s="88" t="n">
        <f aca="false">$C16*(1+$F16)/$C$8</f>
        <v>187.5</v>
      </c>
      <c r="L16" s="87" t="n">
        <f aca="false">$J16/12</f>
        <v>15.625</v>
      </c>
      <c r="M16" s="88" t="n">
        <f aca="false">$K16/12</f>
        <v>15.625</v>
      </c>
      <c r="N16" s="87"/>
      <c r="P16" s="90"/>
    </row>
    <row r="17" customFormat="false" ht="12.75" hidden="false" customHeight="false" outlineLevel="0" collapsed="false">
      <c r="A17" s="70"/>
      <c r="B17" s="70" t="s">
        <v>59</v>
      </c>
      <c r="C17" s="85"/>
      <c r="D17" s="25"/>
      <c r="E17" s="89"/>
      <c r="F17" s="86" t="n">
        <v>0</v>
      </c>
      <c r="G17" s="70"/>
      <c r="H17" s="87" t="n">
        <f aca="false">$C17/$C$5</f>
        <v>0</v>
      </c>
      <c r="I17" s="88" t="n">
        <f aca="false">$C17*(1+$F17)/$C$5</f>
        <v>0</v>
      </c>
      <c r="J17" s="87" t="n">
        <f aca="false">$C17/$C$8</f>
        <v>0</v>
      </c>
      <c r="K17" s="88" t="n">
        <f aca="false">$C17*(1+$F17)/$C$8</f>
        <v>0</v>
      </c>
      <c r="L17" s="87" t="n">
        <f aca="false">$J17/12</f>
        <v>0</v>
      </c>
      <c r="M17" s="88" t="n">
        <f aca="false">$K17/12</f>
        <v>0</v>
      </c>
      <c r="N17" s="87"/>
      <c r="P17" s="86"/>
    </row>
    <row r="18" customFormat="false" ht="12.75" hidden="false" customHeight="false" outlineLevel="0" collapsed="false">
      <c r="A18" s="70"/>
      <c r="B18" s="70" t="s">
        <v>60</v>
      </c>
      <c r="C18" s="85" t="n">
        <v>7000</v>
      </c>
      <c r="D18" s="25"/>
      <c r="E18" s="89"/>
      <c r="F18" s="86" t="n">
        <v>0</v>
      </c>
      <c r="G18" s="70"/>
      <c r="H18" s="87" t="n">
        <f aca="false">$C18/$C$5</f>
        <v>0.5</v>
      </c>
      <c r="I18" s="88" t="n">
        <f aca="false">$C18*(1+$F18)/$C$5</f>
        <v>0.5</v>
      </c>
      <c r="J18" s="87" t="n">
        <f aca="false">$C18/$C$8</f>
        <v>43.75</v>
      </c>
      <c r="K18" s="88" t="n">
        <f aca="false">$C18*(1+$F18)/$C$8</f>
        <v>43.75</v>
      </c>
      <c r="L18" s="87" t="n">
        <f aca="false">$J18/12</f>
        <v>3.64583333333333</v>
      </c>
      <c r="M18" s="88" t="n">
        <f aca="false">$K18/12</f>
        <v>3.64583333333333</v>
      </c>
      <c r="N18" s="87"/>
      <c r="P18" s="86"/>
    </row>
    <row r="19" customFormat="false" ht="12.75" hidden="false" customHeight="false" outlineLevel="0" collapsed="false">
      <c r="A19" s="70"/>
      <c r="B19" s="70" t="s">
        <v>61</v>
      </c>
      <c r="C19" s="85" t="n">
        <v>0</v>
      </c>
      <c r="D19" s="25"/>
      <c r="E19" s="89"/>
      <c r="F19" s="86" t="n">
        <v>0</v>
      </c>
      <c r="G19" s="70"/>
      <c r="H19" s="87" t="n">
        <f aca="false">$C19/$C$5</f>
        <v>0</v>
      </c>
      <c r="I19" s="88" t="n">
        <f aca="false">$C19*(1+$F19)/$C$5</f>
        <v>0</v>
      </c>
      <c r="J19" s="87" t="n">
        <f aca="false">$C19/$C$8</f>
        <v>0</v>
      </c>
      <c r="K19" s="88" t="n">
        <f aca="false">$C19*(1+$F19)/$C$8</f>
        <v>0</v>
      </c>
      <c r="L19" s="87" t="n">
        <f aca="false">$J19/12</f>
        <v>0</v>
      </c>
      <c r="M19" s="88" t="n">
        <f aca="false">$K19/12</f>
        <v>0</v>
      </c>
      <c r="N19" s="87"/>
      <c r="P19" s="86"/>
    </row>
    <row r="20" customFormat="false" ht="12.75" hidden="false" customHeight="false" outlineLevel="0" collapsed="false">
      <c r="A20" s="70"/>
      <c r="B20" s="70" t="s">
        <v>62</v>
      </c>
      <c r="C20" s="85" t="n">
        <v>17000</v>
      </c>
      <c r="D20" s="25"/>
      <c r="E20" s="89"/>
      <c r="F20" s="86" t="n">
        <v>0.02</v>
      </c>
      <c r="G20" s="70"/>
      <c r="H20" s="87" t="n">
        <f aca="false">$C20/$C$5</f>
        <v>1.21428571428571</v>
      </c>
      <c r="I20" s="88" t="n">
        <f aca="false">$C20*(1+$F20)/$C$5</f>
        <v>1.23857142857143</v>
      </c>
      <c r="J20" s="87" t="n">
        <f aca="false">$C20/$C$8</f>
        <v>106.25</v>
      </c>
      <c r="K20" s="88" t="n">
        <f aca="false">$C20*(1+$F20)/$C$8</f>
        <v>108.375</v>
      </c>
      <c r="L20" s="87" t="n">
        <f aca="false">$J20/12</f>
        <v>8.85416666666667</v>
      </c>
      <c r="M20" s="88" t="n">
        <f aca="false">$K20/12</f>
        <v>9.03125</v>
      </c>
      <c r="N20" s="87"/>
      <c r="P20" s="86"/>
    </row>
    <row r="21" customFormat="false" ht="12.75" hidden="false" customHeight="false" outlineLevel="0" collapsed="false">
      <c r="A21" s="70"/>
      <c r="B21" s="70" t="s">
        <v>63</v>
      </c>
      <c r="C21" s="85" t="n">
        <v>11000</v>
      </c>
      <c r="D21" s="25"/>
      <c r="E21" s="89"/>
      <c r="F21" s="86" t="n">
        <v>0</v>
      </c>
      <c r="G21" s="70"/>
      <c r="H21" s="87" t="n">
        <f aca="false">$C21/$C$5</f>
        <v>0.785714285714286</v>
      </c>
      <c r="I21" s="88" t="n">
        <f aca="false">$C21*(1+$F21)/$C$5</f>
        <v>0.785714285714286</v>
      </c>
      <c r="J21" s="87" t="n">
        <f aca="false">$C21/$C$8</f>
        <v>68.75</v>
      </c>
      <c r="K21" s="88" t="n">
        <f aca="false">$C21*(1+$F21)/$C$8</f>
        <v>68.75</v>
      </c>
      <c r="L21" s="87" t="n">
        <f aca="false">$J21/12</f>
        <v>5.72916666666667</v>
      </c>
      <c r="M21" s="88" t="n">
        <f aca="false">$K21/12</f>
        <v>5.72916666666667</v>
      </c>
      <c r="N21" s="87"/>
      <c r="P21" s="86"/>
    </row>
    <row r="22" customFormat="false" ht="12.75" hidden="false" customHeight="false" outlineLevel="0" collapsed="false">
      <c r="A22" s="70"/>
      <c r="B22" s="70" t="s">
        <v>64</v>
      </c>
      <c r="C22" s="85" t="n">
        <v>16000</v>
      </c>
      <c r="D22" s="25"/>
      <c r="E22" s="89"/>
      <c r="F22" s="86" t="n">
        <v>0.02</v>
      </c>
      <c r="G22" s="70"/>
      <c r="H22" s="87" t="n">
        <f aca="false">$C22/$C$5</f>
        <v>1.14285714285714</v>
      </c>
      <c r="I22" s="88" t="n">
        <f aca="false">$C22*(1+$F22)/$C$5</f>
        <v>1.16571428571429</v>
      </c>
      <c r="J22" s="87" t="n">
        <f aca="false">$C22/$C$8</f>
        <v>100</v>
      </c>
      <c r="K22" s="88" t="n">
        <f aca="false">$C22*(1+$F22)/$C$8</f>
        <v>102</v>
      </c>
      <c r="L22" s="87" t="n">
        <f aca="false">$J22/12</f>
        <v>8.33333333333333</v>
      </c>
      <c r="M22" s="88" t="n">
        <f aca="false">$K22/12</f>
        <v>8.5</v>
      </c>
      <c r="N22" s="87"/>
      <c r="P22" s="86"/>
    </row>
    <row r="23" customFormat="false" ht="12.75" hidden="false" customHeight="false" outlineLevel="0" collapsed="false">
      <c r="A23" s="70"/>
      <c r="B23" s="70" t="s">
        <v>65</v>
      </c>
      <c r="C23" s="85" t="n">
        <v>0</v>
      </c>
      <c r="D23" s="25"/>
      <c r="E23" s="89"/>
      <c r="F23" s="86" t="n">
        <v>0</v>
      </c>
      <c r="G23" s="70"/>
      <c r="H23" s="87" t="n">
        <f aca="false">$C23/$C$5</f>
        <v>0</v>
      </c>
      <c r="I23" s="88" t="n">
        <f aca="false">$C23*(1+$F23)/$C$5</f>
        <v>0</v>
      </c>
      <c r="J23" s="87" t="n">
        <f aca="false">$C23/$C$8</f>
        <v>0</v>
      </c>
      <c r="K23" s="88" t="n">
        <f aca="false">$C23*(1+$F23)/$C$8</f>
        <v>0</v>
      </c>
      <c r="L23" s="87" t="n">
        <f aca="false">$J23/12</f>
        <v>0</v>
      </c>
      <c r="M23" s="88" t="n">
        <f aca="false">$K23/12</f>
        <v>0</v>
      </c>
      <c r="N23" s="87"/>
      <c r="P23" s="86"/>
    </row>
    <row r="24" customFormat="false" ht="12.75" hidden="false" customHeight="false" outlineLevel="0" collapsed="false">
      <c r="A24" s="70"/>
      <c r="B24" s="70" t="s">
        <v>66</v>
      </c>
      <c r="C24" s="85" t="n">
        <v>8000</v>
      </c>
      <c r="D24" s="25"/>
      <c r="E24" s="89"/>
      <c r="F24" s="86" t="n">
        <v>0</v>
      </c>
      <c r="G24" s="70"/>
      <c r="H24" s="87" t="n">
        <f aca="false">$C24/$C$5</f>
        <v>0.571428571428571</v>
      </c>
      <c r="I24" s="88" t="n">
        <f aca="false">$C24*(1+$F24)/$C$5</f>
        <v>0.571428571428571</v>
      </c>
      <c r="J24" s="87" t="n">
        <f aca="false">$C24/$C$8</f>
        <v>50</v>
      </c>
      <c r="K24" s="88" t="n">
        <f aca="false">$C24*(1+$F24)/$C$8</f>
        <v>50</v>
      </c>
      <c r="L24" s="87" t="n">
        <f aca="false">$J24/12</f>
        <v>4.16666666666667</v>
      </c>
      <c r="M24" s="88" t="n">
        <f aca="false">$K24/12</f>
        <v>4.16666666666667</v>
      </c>
      <c r="N24" s="87"/>
      <c r="P24" s="86"/>
    </row>
    <row r="25" customFormat="false" ht="12.75" hidden="false" customHeight="false" outlineLevel="0" collapsed="false">
      <c r="A25" s="70"/>
      <c r="B25" s="70" t="s">
        <v>67</v>
      </c>
      <c r="C25" s="85" t="n">
        <v>17500</v>
      </c>
      <c r="D25" s="25"/>
      <c r="E25" s="89"/>
      <c r="F25" s="86" t="n">
        <v>0</v>
      </c>
      <c r="G25" s="70"/>
      <c r="H25" s="87" t="n">
        <f aca="false">$C25/$C$5</f>
        <v>1.25</v>
      </c>
      <c r="I25" s="88" t="n">
        <f aca="false">$C25*(1+$F25)/$C$5</f>
        <v>1.25</v>
      </c>
      <c r="J25" s="87" t="n">
        <f aca="false">$C25/$C$8</f>
        <v>109.375</v>
      </c>
      <c r="K25" s="88" t="n">
        <f aca="false">$C25*(1+$F25)/$C$8</f>
        <v>109.375</v>
      </c>
      <c r="L25" s="87" t="n">
        <f aca="false">$J25/12</f>
        <v>9.11458333333333</v>
      </c>
      <c r="M25" s="88" t="n">
        <f aca="false">$K25/12</f>
        <v>9.11458333333333</v>
      </c>
      <c r="N25" s="87"/>
      <c r="P25" s="86"/>
    </row>
    <row r="26" customFormat="false" ht="12.75" hidden="false" customHeight="false" outlineLevel="0" collapsed="false">
      <c r="A26" s="70"/>
      <c r="B26" s="70" t="s">
        <v>68</v>
      </c>
      <c r="C26" s="85" t="n">
        <v>13000</v>
      </c>
      <c r="D26" s="25"/>
      <c r="E26" s="89"/>
      <c r="F26" s="86" t="n">
        <v>0</v>
      </c>
      <c r="G26" s="70"/>
      <c r="H26" s="87" t="n">
        <f aca="false">$C26/$C$5</f>
        <v>0.928571428571429</v>
      </c>
      <c r="I26" s="88" t="n">
        <f aca="false">$C26*(1+$F26)/$C$5</f>
        <v>0.928571428571429</v>
      </c>
      <c r="J26" s="87" t="n">
        <f aca="false">$C26/$C$8</f>
        <v>81.25</v>
      </c>
      <c r="K26" s="88" t="n">
        <f aca="false">$C26*(1+$F26)/$C$8</f>
        <v>81.25</v>
      </c>
      <c r="L26" s="87" t="n">
        <f aca="false">$J26/12</f>
        <v>6.77083333333333</v>
      </c>
      <c r="M26" s="88" t="n">
        <f aca="false">$K26/12</f>
        <v>6.77083333333333</v>
      </c>
      <c r="N26" s="87"/>
      <c r="P26" s="86"/>
    </row>
    <row r="27" customFormat="false" ht="12.75" hidden="false" customHeight="false" outlineLevel="0" collapsed="false">
      <c r="A27" s="70"/>
      <c r="B27" s="70" t="s">
        <v>69</v>
      </c>
      <c r="C27" s="85" t="n">
        <v>2500</v>
      </c>
      <c r="D27" s="25"/>
      <c r="E27" s="89"/>
      <c r="F27" s="86" t="n">
        <v>0.05</v>
      </c>
      <c r="G27" s="70"/>
      <c r="H27" s="87" t="n">
        <f aca="false">$C27/$C$5</f>
        <v>0.178571428571429</v>
      </c>
      <c r="I27" s="88" t="n">
        <f aca="false">$C27*(1+$F27)/$C$5</f>
        <v>0.1875</v>
      </c>
      <c r="J27" s="87" t="n">
        <f aca="false">$C27/$C$8</f>
        <v>15.625</v>
      </c>
      <c r="K27" s="88" t="n">
        <f aca="false">$C27*(1+$F27)/$C$8</f>
        <v>16.40625</v>
      </c>
      <c r="L27" s="87" t="n">
        <f aca="false">$J27/12</f>
        <v>1.30208333333333</v>
      </c>
      <c r="M27" s="88" t="n">
        <f aca="false">$K27/12</f>
        <v>1.3671875</v>
      </c>
      <c r="N27" s="87"/>
      <c r="P27" s="86"/>
    </row>
    <row r="28" customFormat="false" ht="12.75" hidden="false" customHeight="false" outlineLevel="0" collapsed="false">
      <c r="A28" s="70"/>
      <c r="B28" s="70"/>
      <c r="C28" s="85"/>
      <c r="D28" s="25"/>
      <c r="E28" s="89"/>
      <c r="F28" s="86"/>
      <c r="G28" s="70"/>
      <c r="H28" s="87"/>
      <c r="I28" s="88"/>
      <c r="J28" s="87"/>
      <c r="K28" s="88"/>
      <c r="L28" s="87"/>
      <c r="M28" s="88"/>
      <c r="N28" s="87"/>
      <c r="P28" s="86"/>
    </row>
    <row r="29" customFormat="false" ht="12.75" hidden="false" customHeight="false" outlineLevel="0" collapsed="false">
      <c r="A29" s="71"/>
      <c r="B29" s="71" t="s">
        <v>70</v>
      </c>
      <c r="C29" s="91"/>
      <c r="D29" s="92"/>
      <c r="E29" s="93"/>
      <c r="F29" s="94"/>
      <c r="G29" s="71"/>
      <c r="H29" s="95" t="n">
        <f aca="false">+SUM(H12:H27)</f>
        <v>910000026.571429</v>
      </c>
      <c r="I29" s="96" t="n">
        <f aca="false">+SUM(I12:I27)</f>
        <v>31.2703571428571</v>
      </c>
      <c r="J29" s="95" t="n">
        <f aca="false">+SUM(J12:J27)</f>
        <v>2731.25</v>
      </c>
      <c r="K29" s="96" t="n">
        <f aca="false">+SUM(K12:K27)</f>
        <v>2736.15625</v>
      </c>
      <c r="L29" s="95" t="n">
        <f aca="false">+SUM(L12:L27)</f>
        <v>227.604166666667</v>
      </c>
      <c r="M29" s="96" t="n">
        <f aca="false">+SUM(M12:M27)</f>
        <v>228.013020833333</v>
      </c>
      <c r="N29" s="87"/>
      <c r="P29" s="86"/>
    </row>
    <row r="30" customFormat="false" ht="12.75" hidden="false" customHeight="false" outlineLevel="0" collapsed="false">
      <c r="A30" s="70"/>
      <c r="B30" s="70"/>
      <c r="C30" s="85"/>
      <c r="D30" s="25"/>
      <c r="E30" s="89"/>
      <c r="F30" s="86"/>
      <c r="G30" s="70"/>
      <c r="H30" s="87"/>
      <c r="I30" s="88"/>
      <c r="J30" s="87"/>
      <c r="K30" s="88"/>
      <c r="L30" s="87"/>
      <c r="M30" s="88"/>
      <c r="N30" s="87"/>
      <c r="P30" s="86"/>
    </row>
    <row r="31" customFormat="false" ht="12.75" hidden="false" customHeight="false" outlineLevel="0" collapsed="false">
      <c r="A31" s="70"/>
      <c r="B31" s="1" t="s">
        <v>71</v>
      </c>
      <c r="C31" s="97" t="n">
        <v>38000</v>
      </c>
      <c r="F31" s="86" t="n">
        <v>0.1</v>
      </c>
      <c r="G31" s="70"/>
      <c r="H31" s="87" t="n">
        <f aca="false">$C31/$C$5</f>
        <v>2.71428571428571</v>
      </c>
      <c r="I31" s="88" t="n">
        <f aca="false">$C31*(1+$F31)/$C$5</f>
        <v>2.98571428571429</v>
      </c>
      <c r="J31" s="87" t="n">
        <f aca="false">$C31/$C$8</f>
        <v>237.5</v>
      </c>
      <c r="K31" s="88" t="n">
        <f aca="false">$C31*(1+$F31)/$C$8</f>
        <v>261.25</v>
      </c>
      <c r="L31" s="87" t="n">
        <f aca="false">$J31/12</f>
        <v>19.7916666666667</v>
      </c>
      <c r="M31" s="88" t="n">
        <f aca="false">$K31/12</f>
        <v>21.7708333333333</v>
      </c>
      <c r="N31" s="87"/>
    </row>
    <row r="32" customFormat="false" ht="12.75" hidden="false" customHeight="false" outlineLevel="0" collapsed="false">
      <c r="A32" s="70"/>
      <c r="B32" s="1" t="s">
        <v>72</v>
      </c>
      <c r="C32" s="97" t="n">
        <v>40000</v>
      </c>
      <c r="F32" s="86" t="n">
        <v>0.05</v>
      </c>
      <c r="G32" s="70"/>
      <c r="H32" s="87" t="n">
        <f aca="false">$C32/$C$5</f>
        <v>2.85714285714286</v>
      </c>
      <c r="I32" s="88" t="n">
        <f aca="false">$C32*(1+$F32)/$C$5</f>
        <v>3</v>
      </c>
      <c r="J32" s="87" t="n">
        <f aca="false">$C32/$C$8</f>
        <v>250</v>
      </c>
      <c r="K32" s="88" t="n">
        <f aca="false">$C32*(1+$F32)/$C$8</f>
        <v>262.5</v>
      </c>
      <c r="L32" s="87" t="n">
        <f aca="false">$J32/12</f>
        <v>20.8333333333333</v>
      </c>
      <c r="M32" s="88" t="n">
        <f aca="false">$K32/12</f>
        <v>21.875</v>
      </c>
      <c r="N32" s="87"/>
    </row>
    <row r="33" customFormat="false" ht="12.75" hidden="false" customHeight="false" outlineLevel="0" collapsed="false">
      <c r="A33" s="70"/>
      <c r="B33" s="1" t="s">
        <v>73</v>
      </c>
      <c r="C33" s="97" t="n">
        <v>4000</v>
      </c>
      <c r="F33" s="86" t="n">
        <v>0.05</v>
      </c>
      <c r="G33" s="70"/>
      <c r="H33" s="87" t="n">
        <f aca="false">$C33/$C$5</f>
        <v>0.285714285714286</v>
      </c>
      <c r="I33" s="88" t="n">
        <f aca="false">$C33*(1+$F33)/$C$5</f>
        <v>0.3</v>
      </c>
      <c r="J33" s="87" t="n">
        <f aca="false">$C33/$C$8</f>
        <v>25</v>
      </c>
      <c r="K33" s="88" t="n">
        <f aca="false">$C33*(1+$F33)/$C$8</f>
        <v>26.25</v>
      </c>
      <c r="L33" s="87" t="n">
        <f aca="false">$J33/12</f>
        <v>2.08333333333333</v>
      </c>
      <c r="M33" s="88" t="n">
        <f aca="false">$K33/12</f>
        <v>2.1875</v>
      </c>
      <c r="N33" s="87"/>
    </row>
    <row r="34" customFormat="false" ht="12.75" hidden="false" customHeight="false" outlineLevel="0" collapsed="false">
      <c r="A34" s="70"/>
      <c r="B34" s="1" t="s">
        <v>74</v>
      </c>
      <c r="C34" s="85" t="n">
        <v>1500</v>
      </c>
      <c r="D34" s="25"/>
      <c r="F34" s="86" t="n">
        <v>0.05</v>
      </c>
      <c r="G34" s="70"/>
      <c r="H34" s="87" t="n">
        <f aca="false">$C34/$C$5</f>
        <v>0.107142857142857</v>
      </c>
      <c r="I34" s="88" t="n">
        <f aca="false">$C34*(1+$F34)/$C$5</f>
        <v>0.1125</v>
      </c>
      <c r="J34" s="87" t="n">
        <f aca="false">$C34/$C$8</f>
        <v>9.375</v>
      </c>
      <c r="K34" s="88" t="n">
        <f aca="false">$C34*(1+$F34)/$C$8</f>
        <v>9.84375</v>
      </c>
      <c r="L34" s="87" t="n">
        <f aca="false">$J34/12</f>
        <v>0.78125</v>
      </c>
      <c r="M34" s="88" t="n">
        <f aca="false">$K34/12</f>
        <v>0.8203125</v>
      </c>
      <c r="N34" s="87"/>
    </row>
    <row r="35" customFormat="false" ht="12.75" hidden="false" customHeight="false" outlineLevel="0" collapsed="false">
      <c r="A35" s="70"/>
      <c r="B35" s="1" t="s">
        <v>75</v>
      </c>
      <c r="C35" s="85" t="n">
        <v>2000</v>
      </c>
      <c r="D35" s="25"/>
      <c r="F35" s="86" t="n">
        <v>0</v>
      </c>
      <c r="G35" s="70"/>
      <c r="H35" s="87" t="n">
        <f aca="false">$C35/$C$5</f>
        <v>0.142857142857143</v>
      </c>
      <c r="I35" s="88" t="n">
        <f aca="false">$C35*(1+$F35)/$C$5</f>
        <v>0.142857142857143</v>
      </c>
      <c r="J35" s="87" t="n">
        <f aca="false">$C35/$C$8</f>
        <v>12.5</v>
      </c>
      <c r="K35" s="88" t="n">
        <f aca="false">$C35*(1+$F35)/$C$8</f>
        <v>12.5</v>
      </c>
      <c r="L35" s="87" t="n">
        <f aca="false">$J35/12</f>
        <v>1.04166666666667</v>
      </c>
      <c r="M35" s="88" t="n">
        <f aca="false">$K35/12</f>
        <v>1.04166666666667</v>
      </c>
      <c r="N35" s="87"/>
    </row>
    <row r="36" customFormat="false" ht="12.75" hidden="false" customHeight="false" outlineLevel="0" collapsed="false">
      <c r="A36" s="70"/>
      <c r="B36" s="70"/>
      <c r="C36" s="98"/>
      <c r="D36" s="98"/>
      <c r="E36" s="98"/>
      <c r="F36" s="70"/>
      <c r="G36" s="70"/>
      <c r="H36" s="87"/>
      <c r="I36" s="88"/>
      <c r="J36" s="87"/>
      <c r="K36" s="88"/>
      <c r="L36" s="87"/>
      <c r="M36" s="88"/>
      <c r="N36" s="87"/>
    </row>
    <row r="37" customFormat="false" ht="12.75" hidden="false" customHeight="false" outlineLevel="0" collapsed="false">
      <c r="A37" s="70"/>
      <c r="B37" s="71" t="s">
        <v>76</v>
      </c>
      <c r="C37" s="99" t="n">
        <f aca="false">SUM(C12:C35)*0.9</f>
        <v>470250</v>
      </c>
      <c r="D37" s="99"/>
      <c r="E37" s="100"/>
      <c r="F37" s="101" t="n">
        <f aca="false">C37+SUMPRODUCT(C12:C35,F12:F35)</f>
        <v>477110</v>
      </c>
      <c r="G37" s="102"/>
      <c r="H37" s="95" t="n">
        <f aca="false">+H29+SUM(H31:H35)</f>
        <v>910000032.678571</v>
      </c>
      <c r="I37" s="96" t="n">
        <f aca="false">+I29+SUM(I31:I35)</f>
        <v>37.8114285714286</v>
      </c>
      <c r="J37" s="95" t="n">
        <f aca="false">+J29+SUM(J31:J35)</f>
        <v>3265.625</v>
      </c>
      <c r="K37" s="96" t="n">
        <f aca="false">+K29+SUM(K31:K35)</f>
        <v>3308.5</v>
      </c>
      <c r="L37" s="95" t="n">
        <f aca="false">+L29+SUM(L31:L35)</f>
        <v>272.135416666667</v>
      </c>
      <c r="M37" s="96" t="n">
        <f aca="false">+M29+SUM(M31:M35)</f>
        <v>275.708333333333</v>
      </c>
      <c r="N37" s="95"/>
    </row>
    <row r="38" customFormat="false" ht="12.75" hidden="false" customHeight="false" outlineLevel="0" collapsed="false">
      <c r="A38" s="70"/>
      <c r="B38" s="71"/>
      <c r="C38" s="98"/>
      <c r="D38" s="98"/>
      <c r="E38" s="98"/>
      <c r="F38" s="70"/>
      <c r="G38" s="70"/>
      <c r="H38" s="87"/>
      <c r="I38" s="87"/>
      <c r="J38" s="87"/>
      <c r="K38" s="87"/>
      <c r="L38" s="87"/>
      <c r="M38" s="87"/>
      <c r="N38" s="87"/>
    </row>
    <row r="39" customFormat="false" ht="12.75" hidden="false" customHeight="false" outlineLevel="0" collapsed="false">
      <c r="A39" s="70"/>
      <c r="B39" s="103" t="s">
        <v>77</v>
      </c>
      <c r="C39" s="104"/>
      <c r="D39" s="104"/>
      <c r="E39" s="104"/>
      <c r="F39" s="104" t="n">
        <v>3000</v>
      </c>
      <c r="G39" s="105"/>
      <c r="H39" s="88"/>
      <c r="I39" s="88"/>
      <c r="J39" s="88"/>
      <c r="K39" s="88"/>
      <c r="L39" s="88"/>
      <c r="M39" s="88"/>
      <c r="N39" s="87"/>
    </row>
    <row r="40" customFormat="false" ht="12.75" hidden="false" customHeight="false" outlineLevel="0" collapsed="false">
      <c r="A40" s="70"/>
      <c r="B40" s="71"/>
      <c r="C40" s="98"/>
      <c r="D40" s="98"/>
      <c r="E40" s="98"/>
      <c r="F40" s="70" t="s">
        <v>78</v>
      </c>
      <c r="G40" s="70"/>
      <c r="H40" s="87"/>
      <c r="I40" s="87"/>
      <c r="J40" s="87"/>
      <c r="K40" s="87"/>
      <c r="L40" s="87"/>
      <c r="M40" s="87"/>
      <c r="N40" s="87"/>
    </row>
    <row r="41" customFormat="false" ht="12.75" hidden="false" customHeight="false" outlineLevel="0" collapsed="false">
      <c r="A41" s="71" t="s">
        <v>79</v>
      </c>
      <c r="B41" s="71"/>
      <c r="C41" s="98"/>
      <c r="D41" s="98"/>
      <c r="E41" s="98"/>
      <c r="F41" s="70"/>
      <c r="G41" s="70"/>
      <c r="H41" s="80" t="s">
        <v>80</v>
      </c>
      <c r="I41" s="80"/>
      <c r="J41" s="80" t="s">
        <v>81</v>
      </c>
      <c r="K41" s="80"/>
      <c r="L41" s="80"/>
      <c r="M41" s="80"/>
      <c r="N41" s="87"/>
    </row>
    <row r="42" customFormat="false" ht="12.75" hidden="false" customHeight="false" outlineLevel="0" collapsed="false">
      <c r="A42" s="70"/>
      <c r="B42" s="69"/>
      <c r="C42" s="98"/>
      <c r="D42" s="98"/>
      <c r="E42" s="98"/>
      <c r="F42" s="70"/>
      <c r="G42" s="70"/>
      <c r="H42" s="83" t="s">
        <v>52</v>
      </c>
      <c r="I42" s="84" t="s">
        <v>53</v>
      </c>
      <c r="J42" s="83" t="s">
        <v>82</v>
      </c>
      <c r="K42" s="84" t="s">
        <v>53</v>
      </c>
      <c r="L42" s="83"/>
      <c r="M42" s="83"/>
      <c r="N42" s="87"/>
    </row>
    <row r="43" customFormat="false" ht="12.75" hidden="false" customHeight="false" outlineLevel="0" collapsed="false">
      <c r="A43" s="70"/>
      <c r="B43" s="70" t="s">
        <v>83</v>
      </c>
      <c r="C43" s="85" t="n">
        <v>0</v>
      </c>
      <c r="D43" s="85"/>
      <c r="E43" s="85"/>
      <c r="F43" s="70"/>
      <c r="G43" s="70"/>
      <c r="H43" s="87" t="n">
        <f aca="false">$C43/$C$5</f>
        <v>0</v>
      </c>
      <c r="I43" s="88"/>
      <c r="J43" s="87" t="n">
        <f aca="false">$C43/$C$8</f>
        <v>0</v>
      </c>
      <c r="K43" s="88"/>
      <c r="L43" s="87"/>
      <c r="M43" s="87"/>
      <c r="N43" s="87"/>
    </row>
    <row r="44" customFormat="false" ht="12.75" hidden="false" customHeight="false" outlineLevel="0" collapsed="false">
      <c r="A44" s="70"/>
      <c r="B44" s="70" t="s">
        <v>84</v>
      </c>
      <c r="C44" s="85" t="n">
        <v>10000</v>
      </c>
      <c r="D44" s="85"/>
      <c r="E44" s="85"/>
      <c r="F44" s="70"/>
      <c r="G44" s="70"/>
      <c r="H44" s="87" t="n">
        <f aca="false">$C44/$C$5</f>
        <v>0.714285714285714</v>
      </c>
      <c r="I44" s="88"/>
      <c r="J44" s="87" t="n">
        <f aca="false">$C44/$C$8</f>
        <v>62.5</v>
      </c>
      <c r="K44" s="88"/>
      <c r="L44" s="87"/>
      <c r="M44" s="87"/>
      <c r="N44" s="87"/>
    </row>
    <row r="45" customFormat="false" ht="12.75" hidden="false" customHeight="false" outlineLevel="0" collapsed="false">
      <c r="A45" s="70"/>
      <c r="B45" s="70" t="s">
        <v>85</v>
      </c>
      <c r="C45" s="85" t="n">
        <v>30000</v>
      </c>
      <c r="D45" s="85"/>
      <c r="E45" s="85"/>
      <c r="F45" s="70"/>
      <c r="G45" s="70"/>
      <c r="H45" s="87" t="n">
        <f aca="false">$C45/$C$5</f>
        <v>2.14285714285714</v>
      </c>
      <c r="I45" s="88"/>
      <c r="J45" s="87" t="n">
        <f aca="false">$C45/$C$8</f>
        <v>187.5</v>
      </c>
      <c r="K45" s="88"/>
      <c r="L45" s="87"/>
      <c r="M45" s="87"/>
      <c r="N45" s="87"/>
    </row>
    <row r="46" customFormat="false" ht="12.75" hidden="false" customHeight="false" outlineLevel="0" collapsed="false">
      <c r="A46" s="70"/>
      <c r="B46" s="70" t="s">
        <v>86</v>
      </c>
      <c r="C46" s="85" t="n">
        <v>50000</v>
      </c>
      <c r="D46" s="85"/>
      <c r="E46" s="85"/>
      <c r="F46" s="70"/>
      <c r="G46" s="70"/>
      <c r="H46" s="87" t="n">
        <f aca="false">$C46/$C$5</f>
        <v>3.57142857142857</v>
      </c>
      <c r="I46" s="88"/>
      <c r="J46" s="87" t="n">
        <f aca="false">$C46/$C$8</f>
        <v>312.5</v>
      </c>
      <c r="K46" s="88"/>
      <c r="L46" s="87"/>
      <c r="M46" s="87"/>
      <c r="N46" s="87"/>
    </row>
    <row r="47" customFormat="false" ht="12.75" hidden="false" customHeight="false" outlineLevel="0" collapsed="false">
      <c r="A47" s="70"/>
      <c r="B47" s="70" t="s">
        <v>87</v>
      </c>
      <c r="C47" s="85" t="n">
        <v>40000</v>
      </c>
      <c r="D47" s="85"/>
      <c r="E47" s="85"/>
      <c r="F47" s="70"/>
      <c r="G47" s="70"/>
      <c r="H47" s="87" t="n">
        <f aca="false">$C47/$C$5</f>
        <v>2.85714285714286</v>
      </c>
      <c r="I47" s="88"/>
      <c r="J47" s="87" t="n">
        <f aca="false">$C47/$C$8</f>
        <v>250</v>
      </c>
      <c r="K47" s="88"/>
      <c r="L47" s="87"/>
      <c r="M47" s="87"/>
      <c r="N47" s="87"/>
    </row>
    <row r="48" customFormat="false" ht="12.75" hidden="false" customHeight="false" outlineLevel="0" collapsed="false">
      <c r="A48" s="70"/>
      <c r="B48" s="70" t="s">
        <v>88</v>
      </c>
      <c r="C48" s="85" t="n">
        <v>60000</v>
      </c>
      <c r="D48" s="85"/>
      <c r="E48" s="85"/>
      <c r="F48" s="70"/>
      <c r="G48" s="70"/>
      <c r="H48" s="87" t="n">
        <f aca="false">$C48/$C$5</f>
        <v>4.28571428571429</v>
      </c>
      <c r="I48" s="88"/>
      <c r="J48" s="87" t="n">
        <f aca="false">$C48/$C$8</f>
        <v>375</v>
      </c>
      <c r="K48" s="88"/>
      <c r="L48" s="87"/>
      <c r="M48" s="87"/>
      <c r="N48" s="87"/>
    </row>
    <row r="49" customFormat="false" ht="12.75" hidden="false" customHeight="false" outlineLevel="0" collapsed="false">
      <c r="A49" s="70"/>
      <c r="B49" s="70" t="s">
        <v>89</v>
      </c>
      <c r="C49" s="85" t="n">
        <v>5000</v>
      </c>
      <c r="D49" s="85"/>
      <c r="E49" s="85"/>
      <c r="F49" s="70"/>
      <c r="G49" s="70"/>
      <c r="H49" s="87" t="n">
        <f aca="false">$C49/$C$5</f>
        <v>0.357142857142857</v>
      </c>
      <c r="I49" s="88"/>
      <c r="J49" s="87" t="n">
        <f aca="false">$C49/$C$8</f>
        <v>31.25</v>
      </c>
      <c r="K49" s="88"/>
      <c r="L49" s="87"/>
      <c r="M49" s="87"/>
      <c r="N49" s="87"/>
    </row>
    <row r="50" customFormat="false" ht="12.75" hidden="false" customHeight="false" outlineLevel="0" collapsed="false">
      <c r="A50" s="70"/>
      <c r="B50" s="70" t="s">
        <v>90</v>
      </c>
      <c r="C50" s="85" t="n">
        <v>10000</v>
      </c>
      <c r="D50" s="85"/>
      <c r="E50" s="85"/>
      <c r="F50" s="70"/>
      <c r="G50" s="70"/>
      <c r="H50" s="87" t="n">
        <f aca="false">$C50/$C$5</f>
        <v>0.714285714285714</v>
      </c>
      <c r="I50" s="88"/>
      <c r="J50" s="87" t="n">
        <f aca="false">$C50/$C$8</f>
        <v>62.5</v>
      </c>
      <c r="K50" s="88"/>
      <c r="L50" s="87"/>
      <c r="M50" s="87"/>
      <c r="N50" s="87"/>
    </row>
    <row r="51" customFormat="false" ht="12.75" hidden="false" customHeight="false" outlineLevel="0" collapsed="false">
      <c r="A51" s="70"/>
      <c r="B51" s="70" t="s">
        <v>91</v>
      </c>
      <c r="C51" s="85" t="n">
        <v>10000</v>
      </c>
      <c r="D51" s="85"/>
      <c r="E51" s="85"/>
      <c r="F51" s="70"/>
      <c r="G51" s="70"/>
      <c r="H51" s="87" t="n">
        <f aca="false">$C51/$C$5</f>
        <v>0.714285714285714</v>
      </c>
      <c r="I51" s="88"/>
      <c r="J51" s="87" t="n">
        <f aca="false">$C51/$C$8</f>
        <v>62.5</v>
      </c>
      <c r="K51" s="88"/>
      <c r="L51" s="87"/>
      <c r="M51" s="87"/>
      <c r="N51" s="87"/>
    </row>
    <row r="52" customFormat="false" ht="12.75" hidden="false" customHeight="false" outlineLevel="0" collapsed="false">
      <c r="A52" s="70"/>
      <c r="B52" s="70" t="s">
        <v>92</v>
      </c>
      <c r="C52" s="85" t="n">
        <v>5000</v>
      </c>
      <c r="D52" s="85"/>
      <c r="E52" s="85"/>
      <c r="F52" s="70"/>
      <c r="G52" s="70"/>
      <c r="H52" s="87" t="n">
        <f aca="false">$C52/$C$5</f>
        <v>0.357142857142857</v>
      </c>
      <c r="I52" s="88"/>
      <c r="J52" s="87" t="n">
        <f aca="false">$C52/$C$8</f>
        <v>31.25</v>
      </c>
      <c r="K52" s="88"/>
      <c r="L52" s="87"/>
      <c r="M52" s="87"/>
      <c r="N52" s="87"/>
    </row>
    <row r="53" customFormat="false" ht="12.75" hidden="false" customHeight="false" outlineLevel="0" collapsed="false">
      <c r="A53" s="70"/>
      <c r="B53" s="1" t="s">
        <v>75</v>
      </c>
      <c r="C53" s="85"/>
      <c r="D53" s="85"/>
      <c r="E53" s="85"/>
      <c r="F53" s="70"/>
      <c r="G53" s="70"/>
      <c r="H53" s="87" t="n">
        <f aca="false">$C53/$C$5</f>
        <v>0</v>
      </c>
      <c r="I53" s="88"/>
      <c r="J53" s="87" t="n">
        <f aca="false">$C53/$C$8</f>
        <v>0</v>
      </c>
      <c r="K53" s="88"/>
      <c r="L53" s="87"/>
      <c r="M53" s="87"/>
      <c r="N53" s="87"/>
    </row>
    <row r="54" customFormat="false" ht="12.75" hidden="false" customHeight="false" outlineLevel="0" collapsed="false">
      <c r="A54" s="70"/>
      <c r="B54" s="1"/>
      <c r="C54" s="85"/>
      <c r="D54" s="85"/>
      <c r="E54" s="85"/>
      <c r="F54" s="70"/>
      <c r="G54" s="70"/>
      <c r="H54" s="87" t="n">
        <f aca="false">$C54/$C$5</f>
        <v>0</v>
      </c>
      <c r="I54" s="88"/>
      <c r="J54" s="87" t="n">
        <f aca="false">$C54/$C$8</f>
        <v>0</v>
      </c>
      <c r="K54" s="88"/>
      <c r="L54" s="87"/>
      <c r="M54" s="87"/>
      <c r="N54" s="87"/>
    </row>
    <row r="55" customFormat="false" ht="12.75" hidden="false" customHeight="false" outlineLevel="0" collapsed="false">
      <c r="A55" s="70"/>
      <c r="B55" s="1"/>
      <c r="C55" s="85"/>
      <c r="D55" s="85"/>
      <c r="E55" s="85"/>
      <c r="F55" s="70"/>
      <c r="G55" s="70"/>
      <c r="H55" s="87" t="n">
        <f aca="false">$C55/$C$5</f>
        <v>0</v>
      </c>
      <c r="I55" s="88"/>
      <c r="J55" s="87" t="n">
        <f aca="false">$C55/$C$8</f>
        <v>0</v>
      </c>
      <c r="K55" s="88"/>
      <c r="L55" s="87"/>
      <c r="M55" s="87"/>
      <c r="N55" s="87"/>
    </row>
    <row r="56" customFormat="false" ht="12.75" hidden="false" customHeight="false" outlineLevel="0" collapsed="false">
      <c r="A56" s="70"/>
      <c r="B56" s="70"/>
      <c r="C56" s="98"/>
      <c r="D56" s="98"/>
      <c r="E56" s="98"/>
      <c r="F56" s="70"/>
      <c r="G56" s="70"/>
      <c r="H56" s="87"/>
      <c r="I56" s="88"/>
      <c r="J56" s="87"/>
      <c r="K56" s="88"/>
      <c r="L56" s="87"/>
      <c r="M56" s="87"/>
      <c r="N56" s="87"/>
    </row>
    <row r="57" customFormat="false" ht="12.75" hidden="false" customHeight="false" outlineLevel="0" collapsed="false">
      <c r="A57" s="70"/>
      <c r="B57" s="71" t="s">
        <v>93</v>
      </c>
      <c r="C57" s="99" t="n">
        <f aca="false">SUM(C43:C55)</f>
        <v>220000</v>
      </c>
      <c r="D57" s="99"/>
      <c r="E57" s="99"/>
      <c r="F57" s="71"/>
      <c r="G57" s="71"/>
      <c r="H57" s="95" t="n">
        <f aca="false">SUM(H43:H55)</f>
        <v>15.7142857142857</v>
      </c>
      <c r="I57" s="96"/>
      <c r="J57" s="95" t="n">
        <f aca="false">SUM(J43:J55)</f>
        <v>1375</v>
      </c>
      <c r="K57" s="96"/>
      <c r="L57" s="95"/>
      <c r="M57" s="95"/>
      <c r="N57" s="95"/>
    </row>
    <row r="58" customFormat="false" ht="12.75" hidden="false" customHeight="false" outlineLevel="0" collapsed="false">
      <c r="A58" s="70"/>
      <c r="B58" s="70"/>
      <c r="C58" s="98"/>
      <c r="D58" s="98"/>
      <c r="E58" s="98"/>
      <c r="F58" s="70"/>
      <c r="G58" s="70"/>
      <c r="H58" s="87"/>
      <c r="I58" s="88"/>
      <c r="J58" s="87"/>
      <c r="K58" s="88"/>
      <c r="L58" s="87"/>
      <c r="M58" s="87"/>
      <c r="N58" s="87"/>
    </row>
    <row r="59" customFormat="false" ht="12.75" hidden="false" customHeight="false" outlineLevel="0" collapsed="false">
      <c r="A59" s="70"/>
      <c r="B59" s="103" t="s">
        <v>94</v>
      </c>
      <c r="C59" s="104"/>
      <c r="D59" s="104"/>
      <c r="E59" s="104"/>
      <c r="F59" s="104" t="n">
        <v>20000</v>
      </c>
      <c r="G59" s="105"/>
      <c r="H59" s="88"/>
      <c r="I59" s="88" t="n">
        <f aca="false">$F59/$C$5</f>
        <v>1.42857142857143</v>
      </c>
      <c r="J59" s="88"/>
      <c r="K59" s="88" t="n">
        <f aca="false">$F59/$C$8</f>
        <v>125</v>
      </c>
      <c r="L59" s="88"/>
      <c r="M59" s="88" t="s">
        <v>31</v>
      </c>
      <c r="N59" s="87"/>
    </row>
    <row r="60" customFormat="false" ht="12.75" hidden="false" customHeight="false" outlineLevel="0" collapsed="false">
      <c r="A60" s="70"/>
      <c r="B60" s="70"/>
      <c r="C60" s="98"/>
      <c r="D60" s="98"/>
      <c r="E60" s="98"/>
      <c r="F60" s="70"/>
      <c r="G60" s="70"/>
      <c r="H60" s="87"/>
      <c r="I60" s="87"/>
      <c r="J60" s="87"/>
      <c r="K60" s="87"/>
      <c r="L60" s="87"/>
      <c r="M60" s="87"/>
      <c r="N60" s="87"/>
    </row>
    <row r="61" customFormat="false" ht="12.75" hidden="false" customHeight="false" outlineLevel="0" collapsed="false">
      <c r="A61" s="70"/>
      <c r="B61" s="70"/>
      <c r="C61" s="98"/>
      <c r="D61" s="98"/>
      <c r="E61" s="98"/>
      <c r="F61" s="70"/>
      <c r="G61" s="70"/>
      <c r="H61" s="87"/>
      <c r="I61" s="87"/>
      <c r="J61" s="87"/>
      <c r="K61" s="87"/>
      <c r="L61" s="87"/>
      <c r="M61" s="87"/>
      <c r="N61" s="87"/>
    </row>
    <row r="62" customFormat="false" ht="18" hidden="false" customHeight="false" outlineLevel="0" collapsed="false">
      <c r="A62" s="106" t="s">
        <v>95</v>
      </c>
      <c r="B62" s="70"/>
      <c r="C62" s="98"/>
      <c r="D62" s="98"/>
      <c r="E62" s="98"/>
      <c r="F62" s="70"/>
      <c r="G62" s="70"/>
      <c r="H62" s="87"/>
      <c r="I62" s="87"/>
      <c r="J62" s="87"/>
      <c r="K62" s="87"/>
      <c r="L62" s="87"/>
      <c r="M62" s="87"/>
      <c r="N62" s="87"/>
    </row>
    <row r="63" customFormat="false" ht="18" hidden="false" customHeight="false" outlineLevel="0" collapsed="false">
      <c r="A63" s="106" t="s">
        <v>96</v>
      </c>
      <c r="B63" s="70"/>
      <c r="C63" s="98"/>
      <c r="D63" s="98"/>
      <c r="E63" s="98"/>
      <c r="F63" s="70"/>
      <c r="G63" s="70"/>
      <c r="H63" s="87"/>
      <c r="I63" s="87"/>
      <c r="J63" s="87"/>
      <c r="K63" s="87"/>
      <c r="L63" s="87"/>
      <c r="M63" s="87"/>
      <c r="N63" s="87"/>
    </row>
    <row r="64" customFormat="false" ht="18" hidden="false" customHeight="false" outlineLevel="0" collapsed="false">
      <c r="A64" s="106"/>
      <c r="B64" s="70"/>
      <c r="C64" s="98"/>
      <c r="D64" s="98"/>
      <c r="E64" s="98"/>
      <c r="F64" s="70"/>
      <c r="G64" s="70"/>
      <c r="H64" s="87"/>
      <c r="I64" s="87"/>
      <c r="J64" s="87"/>
      <c r="K64" s="87"/>
      <c r="L64" s="87"/>
      <c r="M64" s="87"/>
      <c r="N64" s="87"/>
    </row>
    <row r="65" customFormat="false" ht="12.75" hidden="false" customHeight="false" outlineLevel="0" collapsed="false">
      <c r="A65" s="70"/>
      <c r="B65" s="70" t="s">
        <v>97</v>
      </c>
      <c r="C65" s="85" t="n">
        <v>5</v>
      </c>
      <c r="D65" s="85"/>
      <c r="E65" s="85"/>
      <c r="F65" s="70" t="s">
        <v>98</v>
      </c>
      <c r="G65" s="107"/>
      <c r="H65" s="87"/>
      <c r="I65" s="87"/>
      <c r="J65" s="87"/>
      <c r="K65" s="87"/>
      <c r="L65" s="87"/>
      <c r="M65" s="87"/>
      <c r="N65" s="87"/>
    </row>
    <row r="66" customFormat="false" ht="12.75" hidden="false" customHeight="false" outlineLevel="0" collapsed="false">
      <c r="A66" s="70"/>
      <c r="B66" s="70"/>
      <c r="C66" s="85"/>
      <c r="D66" s="85"/>
      <c r="E66" s="85"/>
      <c r="F66" s="70"/>
      <c r="G66" s="107"/>
      <c r="H66" s="87"/>
      <c r="I66" s="87"/>
      <c r="J66" s="87"/>
      <c r="K66" s="87"/>
      <c r="L66" s="87"/>
      <c r="M66" s="87"/>
      <c r="N66" s="87"/>
    </row>
    <row r="67" customFormat="false" ht="12.75" hidden="false" customHeight="false" outlineLevel="0" collapsed="false">
      <c r="A67" s="70"/>
      <c r="B67" s="70" t="s">
        <v>99</v>
      </c>
      <c r="C67" s="89" t="n">
        <v>0.95</v>
      </c>
      <c r="D67" s="89"/>
      <c r="F67" s="108"/>
      <c r="G67" s="108"/>
      <c r="H67" s="109"/>
      <c r="I67" s="87"/>
      <c r="J67" s="87"/>
      <c r="K67" s="87"/>
      <c r="L67" s="87"/>
      <c r="M67" s="87"/>
      <c r="N67" s="87"/>
      <c r="O67" s="110"/>
      <c r="Q67" s="86"/>
      <c r="S67" s="85"/>
    </row>
    <row r="68" customFormat="false" ht="12.75" hidden="false" customHeight="false" outlineLevel="0" collapsed="false">
      <c r="A68" s="70"/>
      <c r="B68" s="70"/>
      <c r="C68" s="89"/>
      <c r="D68" s="89"/>
      <c r="E68" s="89"/>
      <c r="F68" s="70"/>
      <c r="G68" s="71"/>
      <c r="H68" s="87"/>
      <c r="I68" s="87"/>
      <c r="J68" s="87"/>
      <c r="K68" s="87"/>
      <c r="L68" s="87"/>
      <c r="M68" s="87"/>
      <c r="N68" s="87"/>
      <c r="R68" s="89"/>
    </row>
    <row r="69" customFormat="false" ht="12.75" hidden="false" customHeight="false" outlineLevel="0" collapsed="false">
      <c r="A69" s="70"/>
      <c r="B69" s="70" t="s">
        <v>100</v>
      </c>
      <c r="C69" s="89" t="n">
        <v>0.08</v>
      </c>
      <c r="D69" s="89"/>
      <c r="F69" s="70"/>
      <c r="G69" s="107"/>
      <c r="H69" s="87"/>
      <c r="I69" s="87"/>
      <c r="J69" s="87"/>
      <c r="K69" s="87"/>
      <c r="L69" s="87"/>
      <c r="M69" s="87"/>
      <c r="N69" s="87"/>
      <c r="R69" s="89"/>
    </row>
    <row r="70" customFormat="false" ht="27" hidden="false" customHeight="true" outlineLevel="0" collapsed="false">
      <c r="A70" s="70"/>
      <c r="B70" s="111" t="s">
        <v>101</v>
      </c>
      <c r="C70" s="111"/>
      <c r="D70" s="111"/>
      <c r="E70" s="111"/>
      <c r="F70" s="111"/>
      <c r="G70" s="111"/>
      <c r="H70" s="78"/>
      <c r="I70" s="78"/>
      <c r="J70" s="78"/>
      <c r="K70" s="78"/>
      <c r="L70" s="78"/>
      <c r="M70" s="78"/>
      <c r="N70" s="78"/>
    </row>
    <row r="71" s="1" customFormat="true" ht="12.75" hidden="false" customHeight="false" outlineLevel="0" collapsed="false">
      <c r="C71" s="112"/>
      <c r="D71" s="112"/>
      <c r="E71" s="112"/>
    </row>
    <row r="72" s="1" customFormat="true" ht="18" hidden="false" customHeight="false" outlineLevel="0" collapsed="false">
      <c r="A72" s="113" t="s">
        <v>102</v>
      </c>
      <c r="C72" s="112"/>
      <c r="D72" s="112"/>
      <c r="E72" s="112"/>
      <c r="F72" s="114" t="s">
        <v>46</v>
      </c>
      <c r="H72" s="115" t="s">
        <v>48</v>
      </c>
      <c r="I72" s="115"/>
      <c r="J72" s="115" t="s">
        <v>49</v>
      </c>
      <c r="K72" s="115"/>
      <c r="L72" s="115" t="s">
        <v>50</v>
      </c>
      <c r="M72" s="115"/>
      <c r="N72" s="114"/>
    </row>
    <row r="73" s="1" customFormat="true" ht="13.5" hidden="false" customHeight="false" outlineLevel="0" collapsed="false">
      <c r="F73" s="116"/>
      <c r="H73" s="110"/>
    </row>
    <row r="74" s="1" customFormat="true" ht="12.75" hidden="false" customHeight="false" outlineLevel="0" collapsed="false">
      <c r="A74" s="117"/>
      <c r="B74" s="118" t="s">
        <v>103</v>
      </c>
      <c r="C74" s="118"/>
      <c r="D74" s="118"/>
      <c r="E74" s="118"/>
      <c r="F74" s="119" t="n">
        <f aca="false">$C$57</f>
        <v>220000</v>
      </c>
      <c r="G74" s="118"/>
      <c r="H74" s="120"/>
      <c r="I74" s="121" t="n">
        <f aca="false">H$57</f>
        <v>15.7142857142857</v>
      </c>
      <c r="J74" s="121"/>
      <c r="K74" s="121" t="n">
        <f aca="false">J$57</f>
        <v>1375</v>
      </c>
      <c r="L74" s="121"/>
      <c r="M74" s="122" t="n">
        <f aca="false">+K74/12</f>
        <v>114.583333333333</v>
      </c>
      <c r="N74" s="114"/>
    </row>
    <row r="75" s="1" customFormat="true" ht="12.75" hidden="false" customHeight="false" outlineLevel="0" collapsed="false">
      <c r="A75" s="16"/>
      <c r="B75" s="123" t="s">
        <v>104</v>
      </c>
      <c r="C75" s="123"/>
      <c r="D75" s="123"/>
      <c r="E75" s="123"/>
      <c r="F75" s="124" t="n">
        <f aca="false">$F$59</f>
        <v>20000</v>
      </c>
      <c r="G75" s="123"/>
      <c r="H75" s="125"/>
      <c r="I75" s="126" t="n">
        <f aca="false">I$59</f>
        <v>1.42857142857143</v>
      </c>
      <c r="J75" s="126"/>
      <c r="K75" s="126" t="n">
        <f aca="false">K$59</f>
        <v>125</v>
      </c>
      <c r="L75" s="126"/>
      <c r="M75" s="127" t="n">
        <f aca="false">+K75/12</f>
        <v>10.4166666666667</v>
      </c>
      <c r="N75" s="114"/>
    </row>
    <row r="76" s="1" customFormat="true" ht="12.75" hidden="false" customHeight="false" outlineLevel="0" collapsed="false">
      <c r="A76" s="16"/>
      <c r="B76" s="128" t="s">
        <v>105</v>
      </c>
      <c r="C76" s="128"/>
      <c r="D76" s="128"/>
      <c r="E76" s="128"/>
      <c r="F76" s="38" t="n">
        <f aca="false">F74-F75</f>
        <v>200000</v>
      </c>
      <c r="G76" s="128"/>
      <c r="H76" s="129"/>
      <c r="I76" s="130" t="n">
        <f aca="false">I74-I75</f>
        <v>14.2857142857143</v>
      </c>
      <c r="J76" s="130"/>
      <c r="K76" s="130" t="n">
        <f aca="false">K74-K75</f>
        <v>1250</v>
      </c>
      <c r="L76" s="130"/>
      <c r="M76" s="131" t="n">
        <f aca="false">M74-M75</f>
        <v>104.166666666667</v>
      </c>
      <c r="N76" s="114"/>
    </row>
    <row r="77" s="1" customFormat="true" ht="12.75" hidden="false" customHeight="false" outlineLevel="0" collapsed="false">
      <c r="A77" s="16"/>
      <c r="B77" s="14"/>
      <c r="C77" s="14"/>
      <c r="D77" s="14"/>
      <c r="E77" s="14"/>
      <c r="F77" s="38"/>
      <c r="G77" s="14"/>
      <c r="H77" s="132"/>
      <c r="I77" s="30"/>
      <c r="J77" s="30"/>
      <c r="K77" s="30"/>
      <c r="L77" s="30"/>
      <c r="M77" s="133"/>
    </row>
    <row r="78" s="1" customFormat="true" ht="12.75" hidden="false" customHeight="false" outlineLevel="0" collapsed="false">
      <c r="A78" s="16"/>
      <c r="B78" s="14" t="s">
        <v>106</v>
      </c>
      <c r="C78" s="14"/>
      <c r="D78" s="14"/>
      <c r="E78" s="14"/>
      <c r="F78" s="15" t="n">
        <f aca="false">C$37</f>
        <v>470250</v>
      </c>
      <c r="G78" s="123"/>
      <c r="H78" s="132"/>
      <c r="I78" s="30" t="n">
        <f aca="false">H$37</f>
        <v>910000032.678571</v>
      </c>
      <c r="J78" s="30"/>
      <c r="K78" s="30" t="n">
        <f aca="false">J$37</f>
        <v>3265.625</v>
      </c>
      <c r="L78" s="30"/>
      <c r="M78" s="133" t="n">
        <f aca="false">L$37</f>
        <v>272.135416666667</v>
      </c>
      <c r="N78" s="110"/>
    </row>
    <row r="79" s="1" customFormat="true" ht="12.75" hidden="false" customHeight="false" outlineLevel="0" collapsed="false">
      <c r="A79" s="16"/>
      <c r="B79" s="14" t="s">
        <v>107</v>
      </c>
      <c r="C79" s="14"/>
      <c r="D79" s="14"/>
      <c r="E79" s="14"/>
      <c r="F79" s="15" t="n">
        <f aca="false">($F$37+$F$39)*$C$67</f>
        <v>456104.5</v>
      </c>
      <c r="G79" s="123"/>
      <c r="H79" s="132"/>
      <c r="I79" s="30" t="n">
        <f aca="false">(I$37+I$39)*$C$67</f>
        <v>35.9208571428571</v>
      </c>
      <c r="J79" s="30"/>
      <c r="K79" s="30" t="n">
        <f aca="false">(K$37+K$39)*$C$67</f>
        <v>3143.075</v>
      </c>
      <c r="L79" s="30"/>
      <c r="M79" s="133" t="n">
        <f aca="false">(M$37+M$39)*$C$67</f>
        <v>261.922916666667</v>
      </c>
      <c r="N79" s="110"/>
    </row>
    <row r="80" s="1" customFormat="true" ht="13.5" hidden="false" customHeight="false" outlineLevel="0" collapsed="false">
      <c r="A80" s="56"/>
      <c r="B80" s="134" t="s">
        <v>108</v>
      </c>
      <c r="C80" s="135"/>
      <c r="D80" s="135"/>
      <c r="E80" s="135"/>
      <c r="F80" s="36" t="n">
        <f aca="false">F79-F78</f>
        <v>-14145.5</v>
      </c>
      <c r="G80" s="134"/>
      <c r="H80" s="136"/>
      <c r="I80" s="137" t="n">
        <f aca="false">I79-I78</f>
        <v>-909999996.757714</v>
      </c>
      <c r="J80" s="137"/>
      <c r="K80" s="137" t="n">
        <f aca="false">K79-K78</f>
        <v>-122.55</v>
      </c>
      <c r="L80" s="137"/>
      <c r="M80" s="138" t="n">
        <f aca="false">M79-M78</f>
        <v>-10.2125</v>
      </c>
      <c r="N80" s="110"/>
    </row>
    <row r="81" s="1" customFormat="true" ht="13.5" hidden="false" customHeight="true" outlineLevel="0" collapsed="false">
      <c r="A81" s="114"/>
      <c r="B81" s="114"/>
      <c r="C81" s="114"/>
      <c r="D81" s="114"/>
      <c r="E81" s="114"/>
      <c r="F81" s="114"/>
      <c r="G81" s="114"/>
      <c r="H81" s="114"/>
      <c r="I81" s="114"/>
      <c r="J81" s="114"/>
      <c r="K81" s="114"/>
      <c r="L81" s="114"/>
      <c r="M81" s="114"/>
      <c r="O81" s="114"/>
      <c r="P81" s="114"/>
      <c r="Q81" s="114"/>
      <c r="R81" s="114"/>
      <c r="S81" s="114"/>
      <c r="T81" s="114"/>
      <c r="U81" s="114"/>
      <c r="V81" s="114"/>
      <c r="W81" s="114"/>
      <c r="X81" s="114"/>
      <c r="Y81" s="114"/>
      <c r="Z81" s="114"/>
      <c r="AA81" s="114"/>
    </row>
    <row r="82" s="1" customFormat="true" ht="12.75" hidden="false" customHeight="false" outlineLevel="0" collapsed="false">
      <c r="A82" s="114"/>
      <c r="B82" s="114" t="s">
        <v>109</v>
      </c>
      <c r="C82" s="114"/>
      <c r="D82" s="114"/>
      <c r="F82" s="139" t="n">
        <f aca="false">PMT($C$69,$C$65,-1*F$76,0,0)</f>
        <v>50091.2909133673</v>
      </c>
      <c r="G82" s="114"/>
      <c r="I82" s="114"/>
      <c r="J82" s="114"/>
      <c r="K82" s="114"/>
      <c r="L82" s="114"/>
      <c r="M82" s="114"/>
      <c r="O82" s="114"/>
    </row>
    <row r="83" s="1" customFormat="true" ht="26.25" hidden="false" customHeight="true" outlineLevel="0" collapsed="false">
      <c r="A83" s="114"/>
      <c r="B83" s="140" t="s">
        <v>110</v>
      </c>
      <c r="C83" s="140"/>
      <c r="D83" s="140"/>
      <c r="E83" s="140"/>
      <c r="F83" s="140"/>
      <c r="G83" s="114"/>
      <c r="H83" s="114"/>
      <c r="I83" s="114"/>
      <c r="J83" s="114"/>
      <c r="K83" s="114"/>
      <c r="L83" s="114"/>
      <c r="M83" s="114"/>
      <c r="O83" s="114"/>
    </row>
    <row r="84" s="1" customFormat="true" ht="13.5" hidden="false" customHeight="true" outlineLevel="0" collapsed="false">
      <c r="A84" s="114"/>
      <c r="C84" s="114"/>
      <c r="D84" s="114"/>
      <c r="E84" s="114"/>
      <c r="F84" s="139"/>
      <c r="G84" s="114"/>
      <c r="I84" s="114"/>
      <c r="J84" s="114"/>
      <c r="K84" s="114"/>
      <c r="L84" s="114"/>
      <c r="M84" s="114"/>
      <c r="N84" s="114"/>
      <c r="O84" s="114"/>
    </row>
    <row r="85" s="1" customFormat="true" ht="12.75" hidden="false" customHeight="false" outlineLevel="0" collapsed="false">
      <c r="A85" s="114"/>
      <c r="B85" s="114" t="s">
        <v>111</v>
      </c>
      <c r="C85" s="114"/>
      <c r="D85" s="114"/>
      <c r="F85" s="139" t="n">
        <f aca="false">NPV($C$69,IF($C$65&lt;1,0,F$80),IF($C$65&lt;2,0,F$80),IF($C$65&lt;3,0,F$80),IF($C$65&lt;4,0,F$80),IF($C$65&lt;5,0,F$80),IF($C$65&lt;6,0,F$80),IF($C$65&lt;7,0,F$80),IF($C$65&lt;8,0,F$80),IF($C$65&lt;9,0,F$80),IF($C$65&lt;10,0,F$80),IF($C$65&lt;11,0,$F$80))-$F$76</f>
        <v>-256478.879829488</v>
      </c>
      <c r="G85" s="114"/>
      <c r="H85" s="114"/>
      <c r="I85" s="141" t="s">
        <v>31</v>
      </c>
      <c r="J85" s="114"/>
      <c r="K85" s="141" t="s">
        <v>31</v>
      </c>
      <c r="L85" s="114"/>
      <c r="M85" s="141" t="s">
        <v>31</v>
      </c>
    </row>
    <row r="86" s="1" customFormat="true" ht="12.75" hidden="false" customHeight="false" outlineLevel="0" collapsed="false">
      <c r="A86" s="114"/>
      <c r="B86" s="142" t="s">
        <v>112</v>
      </c>
      <c r="C86" s="114"/>
      <c r="D86" s="114"/>
      <c r="E86" s="114"/>
      <c r="F86" s="114"/>
      <c r="G86" s="114"/>
      <c r="H86" s="114"/>
      <c r="N86" s="114"/>
      <c r="O86" s="114"/>
    </row>
    <row r="87" s="1" customFormat="true" ht="11.25" hidden="false" customHeight="true" outlineLevel="0" collapsed="false">
      <c r="A87" s="114"/>
      <c r="B87" s="114"/>
      <c r="C87" s="114"/>
      <c r="D87" s="114"/>
      <c r="E87" s="114"/>
      <c r="F87" s="114"/>
      <c r="G87" s="114"/>
      <c r="H87" s="114"/>
      <c r="I87" s="114"/>
      <c r="J87" s="114"/>
      <c r="K87" s="114"/>
      <c r="L87" s="114"/>
      <c r="M87" s="114"/>
      <c r="N87" s="114"/>
      <c r="O87" s="114"/>
    </row>
    <row r="88" customFormat="false" ht="12.75" hidden="false" customHeight="false" outlineLevel="0" collapsed="false">
      <c r="A88" s="32" t="s">
        <v>113</v>
      </c>
      <c r="B88" s="143"/>
      <c r="C88" s="143"/>
      <c r="D88" s="143"/>
      <c r="E88" s="143"/>
      <c r="F88" s="144"/>
      <c r="G88" s="143"/>
      <c r="H88" s="145"/>
      <c r="I88" s="145"/>
      <c r="J88" s="145"/>
      <c r="K88" s="145"/>
      <c r="L88" s="145"/>
      <c r="M88" s="146"/>
      <c r="N88" s="110"/>
    </row>
    <row r="89" customFormat="false" ht="12.75" hidden="false" customHeight="false" outlineLevel="0" collapsed="false">
      <c r="A89" s="147"/>
      <c r="B89" s="14"/>
      <c r="C89" s="14"/>
      <c r="D89" s="14"/>
      <c r="E89" s="14"/>
      <c r="F89" s="15"/>
      <c r="G89" s="14"/>
      <c r="H89" s="132"/>
      <c r="I89" s="132"/>
      <c r="J89" s="132"/>
      <c r="K89" s="132"/>
      <c r="L89" s="132"/>
      <c r="M89" s="148"/>
      <c r="N89" s="110"/>
    </row>
    <row r="90" s="152" customFormat="true" ht="12.75" hidden="false" customHeight="false" outlineLevel="0" collapsed="false">
      <c r="A90" s="149"/>
      <c r="B90" s="123" t="s">
        <v>114</v>
      </c>
      <c r="C90" s="123"/>
      <c r="D90" s="123"/>
      <c r="E90" s="123"/>
      <c r="F90" s="124" t="n">
        <f aca="false">PMT($C$69,$C$65,-1*F$76,0,0)</f>
        <v>50091.2909133673</v>
      </c>
      <c r="G90" s="123"/>
      <c r="H90" s="125"/>
      <c r="I90" s="150" t="n">
        <f aca="false">PMT($C$69,$C$65,-1*I$76,0,0)</f>
        <v>3.57794935095481</v>
      </c>
      <c r="J90" s="124"/>
      <c r="K90" s="126" t="n">
        <f aca="false">PMT($C$69,$C$65,-1*K$76,0,0)</f>
        <v>313.070568208546</v>
      </c>
      <c r="L90" s="124"/>
      <c r="M90" s="127" t="n">
        <f aca="false">+K90/12</f>
        <v>26.0892140173788</v>
      </c>
      <c r="N90" s="151"/>
    </row>
    <row r="91" s="152" customFormat="true" ht="12.75" hidden="false" customHeight="false" outlineLevel="0" collapsed="false">
      <c r="A91" s="149"/>
      <c r="B91" s="123" t="s">
        <v>106</v>
      </c>
      <c r="C91" s="123"/>
      <c r="D91" s="123"/>
      <c r="E91" s="123"/>
      <c r="F91" s="124" t="n">
        <f aca="false">C$37</f>
        <v>470250</v>
      </c>
      <c r="G91" s="123"/>
      <c r="H91" s="125"/>
      <c r="I91" s="126" t="n">
        <f aca="false">H$37</f>
        <v>910000032.678571</v>
      </c>
      <c r="J91" s="124"/>
      <c r="K91" s="126" t="n">
        <f aca="false">J$37</f>
        <v>3265.625</v>
      </c>
      <c r="L91" s="124"/>
      <c r="M91" s="127" t="n">
        <f aca="false">+K91/12</f>
        <v>272.135416666667</v>
      </c>
      <c r="N91" s="151"/>
    </row>
    <row r="92" s="152" customFormat="true" ht="12.75" hidden="false" customHeight="false" outlineLevel="0" collapsed="false">
      <c r="A92" s="149"/>
      <c r="B92" s="128" t="s">
        <v>115</v>
      </c>
      <c r="C92" s="128"/>
      <c r="D92" s="128"/>
      <c r="E92" s="128"/>
      <c r="F92" s="153" t="n">
        <f aca="false">(F$90+F$91)/$C$67</f>
        <v>547727.67464565</v>
      </c>
      <c r="G92" s="128"/>
      <c r="H92" s="154"/>
      <c r="I92" s="130" t="n">
        <f aca="false">(I$90+I$91)/$C$67</f>
        <v>957894775.006864</v>
      </c>
      <c r="J92" s="38"/>
      <c r="K92" s="130" t="n">
        <f aca="false">(K$90+K$91)/$C$67</f>
        <v>3767.04796653531</v>
      </c>
      <c r="L92" s="124"/>
      <c r="M92" s="131" t="n">
        <f aca="false">+K92/12</f>
        <v>313.920663877943</v>
      </c>
      <c r="N92" s="151"/>
    </row>
    <row r="93" s="152" customFormat="true" ht="12.75" hidden="false" customHeight="false" outlineLevel="0" collapsed="false">
      <c r="A93" s="149"/>
      <c r="B93" s="155" t="s">
        <v>116</v>
      </c>
      <c r="C93" s="123"/>
      <c r="D93" s="123"/>
      <c r="E93" s="123"/>
      <c r="F93" s="123"/>
      <c r="G93" s="123"/>
      <c r="H93" s="125"/>
      <c r="I93" s="125"/>
      <c r="J93" s="125"/>
      <c r="K93" s="125"/>
      <c r="L93" s="125"/>
      <c r="M93" s="156"/>
      <c r="N93" s="151"/>
    </row>
    <row r="94" s="152" customFormat="true" ht="12.75" hidden="false" customHeight="false" outlineLevel="0" collapsed="false">
      <c r="A94" s="149"/>
      <c r="B94" s="157"/>
      <c r="C94" s="123"/>
      <c r="D94" s="123"/>
      <c r="E94" s="123"/>
      <c r="F94" s="123"/>
      <c r="G94" s="123"/>
      <c r="H94" s="125"/>
      <c r="I94" s="125"/>
      <c r="J94" s="125"/>
      <c r="K94" s="125"/>
      <c r="L94" s="125"/>
      <c r="M94" s="156"/>
      <c r="N94" s="151"/>
    </row>
    <row r="95" s="152" customFormat="true" ht="13.5" hidden="false" customHeight="false" outlineLevel="0" collapsed="false">
      <c r="A95" s="158"/>
      <c r="B95" s="159" t="s">
        <v>117</v>
      </c>
      <c r="C95" s="159"/>
      <c r="D95" s="159"/>
      <c r="E95" s="159"/>
      <c r="F95" s="160" t="n">
        <f aca="false">(F$92-F39)/F$91-1</f>
        <v>0.158378893451674</v>
      </c>
      <c r="G95" s="159"/>
      <c r="H95" s="161"/>
      <c r="I95" s="162"/>
      <c r="J95" s="161"/>
      <c r="K95" s="161"/>
      <c r="L95" s="161"/>
      <c r="M95" s="163"/>
      <c r="N95" s="151"/>
    </row>
    <row r="96" customFormat="false" ht="12.75" hidden="false" customHeight="false" outlineLevel="0" collapsed="false">
      <c r="A96" s="1"/>
      <c r="B96" s="1"/>
      <c r="C96" s="1"/>
      <c r="D96" s="1"/>
      <c r="E96" s="1"/>
      <c r="F96" s="1"/>
      <c r="G96" s="1"/>
      <c r="H96" s="110"/>
      <c r="I96" s="110"/>
      <c r="J96" s="110"/>
      <c r="K96" s="110"/>
      <c r="L96" s="110"/>
      <c r="M96" s="110"/>
      <c r="N96" s="110"/>
    </row>
    <row r="97" s="1" customFormat="true" ht="38.25" hidden="false" customHeight="true" outlineLevel="0" collapsed="false">
      <c r="A97" s="164" t="s">
        <v>29</v>
      </c>
      <c r="B97" s="164"/>
      <c r="C97" s="164"/>
      <c r="D97" s="164"/>
      <c r="E97" s="164"/>
      <c r="F97" s="164"/>
      <c r="G97" s="164"/>
      <c r="H97" s="164"/>
      <c r="I97" s="164"/>
      <c r="J97" s="164"/>
      <c r="K97" s="164"/>
      <c r="L97" s="164"/>
      <c r="M97" s="164"/>
    </row>
  </sheetData>
  <mergeCells count="12">
    <mergeCell ref="H10:I10"/>
    <mergeCell ref="J10:K10"/>
    <mergeCell ref="L10:M10"/>
    <mergeCell ref="H41:I41"/>
    <mergeCell ref="J41:K41"/>
    <mergeCell ref="L41:M41"/>
    <mergeCell ref="B70:G70"/>
    <mergeCell ref="H72:I72"/>
    <mergeCell ref="J72:K72"/>
    <mergeCell ref="L72:M72"/>
    <mergeCell ref="B83:F83"/>
    <mergeCell ref="A97:M97"/>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2002-08-02T11:10:28Z</dcterms:created>
  <dc:creator>EwaS</dc:creator>
  <dc:description/>
  <dc:language>en-US</dc:language>
  <cp:lastModifiedBy>ewa</cp:lastModifiedBy>
  <cp:lastPrinted>2003-03-14T13:04:52Z</cp:lastPrinted>
  <dcterms:modified xsi:type="dcterms:W3CDTF">2003-10-13T13:07:37Z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r8>1435691857</vt:r8>
  </property>
  <property fmtid="{D5CDD505-2E9C-101B-9397-08002B2CF9AE}" pid="3" name="_AuthorEmail">
    <vt:lpwstr>EwaS@designcouncil.org.uk</vt:lpwstr>
  </property>
  <property fmtid="{D5CDD505-2E9C-101B-9397-08002B2CF9AE}" pid="4" name="_AuthorEmailDisplayName">
    <vt:lpwstr>Ewa Spohn</vt:lpwstr>
  </property>
  <property fmtid="{D5CDD505-2E9C-101B-9397-08002B2CF9AE}" pid="5" name="_EmailSubject">
    <vt:lpwstr>spreadsheets</vt:lpwstr>
  </property>
</Properties>
</file>