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le G.1" sheetId="1" state="visible" r:id="rId2"/>
    <sheet name="Table G.2" sheetId="2" state="visible" r:id="rId3"/>
    <sheet name="Table G.3" sheetId="3" state="visible" r:id="rId4"/>
    <sheet name="Table G.4" sheetId="4" state="visible" r:id="rId5"/>
    <sheet name="Table G.5.a" sheetId="5" state="visible" r:id="rId6"/>
    <sheet name="Table G.5.b" sheetId="6" state="visible" r:id="rId7"/>
    <sheet name="Table G.5.c" sheetId="7" state="visible" r:id="rId8"/>
    <sheet name="Table G.6" sheetId="8" state="visible" r:id="rId9"/>
    <sheet name="Table G.7" sheetId="9" state="visible" r:id="rId10"/>
    <sheet name="Table G.8" sheetId="10" state="visible" r:id="rId11"/>
    <sheet name="Currency Codes" sheetId="11" state="visible" r:id="rId12"/>
    <sheet name="Subsistence Rates" sheetId="12" state="visible" r:id="rId13"/>
  </sheets>
  <definedNames>
    <definedName function="false" hidden="false" localSheetId="9" name="_xlnm.Print_Area" vbProcedure="false">'Table G.8'!$A$1:$H$54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B5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112</xdr:colOff>
                <xdr:row>2</xdr:row>
                <xdr:rowOff>21</xdr:rowOff>
              </xdr:from>
              <xdr:to>
                <xdr:col>3</xdr:col>
                <xdr:colOff>56</xdr:colOff>
                <xdr:row>4</xdr:row>
                <xdr:rowOff>2</xdr:rowOff>
              </xdr:to>
            </anchor>
          </commentPr>
        </mc:Choice>
        <mc:Fallback/>
      </mc:AlternateContent>
    </comment>
    <comment ref="B7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5</xdr:row>
                <xdr:rowOff>8</xdr:rowOff>
              </xdr:from>
              <xdr:to>
                <xdr:col>3</xdr:col>
                <xdr:colOff>84</xdr:colOff>
                <xdr:row>7</xdr:row>
                <xdr:rowOff>17</xdr:rowOff>
              </xdr:to>
            </anchor>
          </commentPr>
        </mc:Choice>
        <mc:Fallback/>
      </mc:AlternateContent>
    </comment>
    <comment ref="B8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6</xdr:row>
                <xdr:rowOff>7</xdr:rowOff>
              </xdr:from>
              <xdr:to>
                <xdr:col>3</xdr:col>
                <xdr:colOff>84</xdr:colOff>
                <xdr:row>8</xdr:row>
                <xdr:rowOff>15</xdr:rowOff>
              </xdr:to>
            </anchor>
          </commentPr>
        </mc:Choice>
        <mc:Fallback/>
      </mc:AlternateContent>
    </comment>
    <comment ref="B9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7</xdr:row>
                <xdr:rowOff>7</xdr:rowOff>
              </xdr:from>
              <xdr:to>
                <xdr:col>3</xdr:col>
                <xdr:colOff>84</xdr:colOff>
                <xdr:row>9</xdr:row>
                <xdr:rowOff>11</xdr:rowOff>
              </xdr:to>
            </anchor>
          </commentPr>
        </mc:Choice>
        <mc:Fallback/>
      </mc:AlternateContent>
    </comment>
    <comment ref="B10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8</xdr:row>
                <xdr:rowOff>7</xdr:rowOff>
              </xdr:from>
              <xdr:to>
                <xdr:col>3</xdr:col>
                <xdr:colOff>84</xdr:colOff>
                <xdr:row>10</xdr:row>
                <xdr:rowOff>13</xdr:rowOff>
              </xdr:to>
            </anchor>
          </commentPr>
        </mc:Choice>
        <mc:Fallback/>
      </mc:AlternateContent>
    </comment>
    <comment ref="B11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9</xdr:row>
                <xdr:rowOff>7</xdr:rowOff>
              </xdr:from>
              <xdr:to>
                <xdr:col>3</xdr:col>
                <xdr:colOff>84</xdr:colOff>
                <xdr:row>11</xdr:row>
                <xdr:rowOff>11</xdr:rowOff>
              </xdr:to>
            </anchor>
          </commentPr>
        </mc:Choice>
        <mc:Fallback/>
      </mc:AlternateContent>
    </comment>
    <comment ref="B14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12</xdr:row>
                <xdr:rowOff>8</xdr:rowOff>
              </xdr:from>
              <xdr:to>
                <xdr:col>3</xdr:col>
                <xdr:colOff>84</xdr:colOff>
                <xdr:row>14</xdr:row>
                <xdr:rowOff>9</xdr:rowOff>
              </xdr:to>
            </anchor>
          </commentPr>
        </mc:Choice>
        <mc:Fallback/>
      </mc:AlternateContent>
    </comment>
    <comment ref="B15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13</xdr:row>
                <xdr:rowOff>7</xdr:rowOff>
              </xdr:from>
              <xdr:to>
                <xdr:col>3</xdr:col>
                <xdr:colOff>84</xdr:colOff>
                <xdr:row>15</xdr:row>
                <xdr:rowOff>11</xdr:rowOff>
              </xdr:to>
            </anchor>
          </commentPr>
        </mc:Choice>
        <mc:Fallback/>
      </mc:AlternateContent>
    </comment>
    <comment ref="B16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14</xdr:row>
                <xdr:rowOff>7</xdr:rowOff>
              </xdr:from>
              <xdr:to>
                <xdr:col>3</xdr:col>
                <xdr:colOff>84</xdr:colOff>
                <xdr:row>16</xdr:row>
                <xdr:rowOff>11</xdr:rowOff>
              </xdr:to>
            </anchor>
          </commentPr>
        </mc:Choice>
        <mc:Fallback/>
      </mc:AlternateContent>
    </comment>
    <comment ref="B17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15</xdr:row>
                <xdr:rowOff>7</xdr:rowOff>
              </xdr:from>
              <xdr:to>
                <xdr:col>3</xdr:col>
                <xdr:colOff>84</xdr:colOff>
                <xdr:row>17</xdr:row>
                <xdr:rowOff>11</xdr:rowOff>
              </xdr:to>
            </anchor>
          </commentPr>
        </mc:Choice>
        <mc:Fallback/>
      </mc:AlternateContent>
    </comment>
    <comment ref="B18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16</xdr:row>
                <xdr:rowOff>7</xdr:rowOff>
              </xdr:from>
              <xdr:to>
                <xdr:col>3</xdr:col>
                <xdr:colOff>84</xdr:colOff>
                <xdr:row>18</xdr:row>
                <xdr:rowOff>12</xdr:rowOff>
              </xdr:to>
            </anchor>
          </commentPr>
        </mc:Choice>
        <mc:Fallback/>
      </mc:AlternateContent>
    </comment>
    <comment ref="B19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17</xdr:row>
                <xdr:rowOff>7</xdr:rowOff>
              </xdr:from>
              <xdr:to>
                <xdr:col>3</xdr:col>
                <xdr:colOff>84</xdr:colOff>
                <xdr:row>19</xdr:row>
                <xdr:rowOff>11</xdr:rowOff>
              </xdr:to>
            </anchor>
          </commentPr>
        </mc:Choice>
        <mc:Fallback/>
      </mc:AlternateContent>
    </comment>
    <comment ref="C5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13</xdr:colOff>
                <xdr:row>3</xdr:row>
                <xdr:rowOff>22</xdr:rowOff>
              </xdr:from>
              <xdr:to>
                <xdr:col>4</xdr:col>
                <xdr:colOff>66</xdr:colOff>
                <xdr:row>5</xdr:row>
                <xdr:rowOff>4</xdr:rowOff>
              </xdr:to>
            </anchor>
          </commentPr>
        </mc:Choice>
        <mc:Fallback/>
      </mc:AlternateContent>
    </comment>
    <comment ref="C7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13</xdr:colOff>
                <xdr:row>5</xdr:row>
                <xdr:rowOff>10</xdr:rowOff>
              </xdr:from>
              <xdr:to>
                <xdr:col>4</xdr:col>
                <xdr:colOff>66</xdr:colOff>
                <xdr:row>8</xdr:row>
                <xdr:rowOff>1</xdr:rowOff>
              </xdr:to>
            </anchor>
          </commentPr>
        </mc:Choice>
        <mc:Fallback/>
      </mc:AlternateContent>
    </comment>
    <comment ref="C8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13</xdr:colOff>
                <xdr:row>6</xdr:row>
                <xdr:rowOff>9</xdr:rowOff>
              </xdr:from>
              <xdr:to>
                <xdr:col>4</xdr:col>
                <xdr:colOff>66</xdr:colOff>
                <xdr:row>8</xdr:row>
                <xdr:rowOff>17</xdr:rowOff>
              </xdr:to>
            </anchor>
          </commentPr>
        </mc:Choice>
        <mc:Fallback/>
      </mc:AlternateContent>
    </comment>
    <comment ref="C9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13</xdr:colOff>
                <xdr:row>7</xdr:row>
                <xdr:rowOff>9</xdr:rowOff>
              </xdr:from>
              <xdr:to>
                <xdr:col>4</xdr:col>
                <xdr:colOff>66</xdr:colOff>
                <xdr:row>9</xdr:row>
                <xdr:rowOff>12</xdr:rowOff>
              </xdr:to>
            </anchor>
          </commentPr>
        </mc:Choice>
        <mc:Fallback/>
      </mc:AlternateContent>
    </comment>
    <comment ref="C10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13</xdr:colOff>
                <xdr:row>8</xdr:row>
                <xdr:rowOff>9</xdr:rowOff>
              </xdr:from>
              <xdr:to>
                <xdr:col>4</xdr:col>
                <xdr:colOff>66</xdr:colOff>
                <xdr:row>10</xdr:row>
                <xdr:rowOff>16</xdr:rowOff>
              </xdr:to>
            </anchor>
          </commentPr>
        </mc:Choice>
        <mc:Fallback/>
      </mc:AlternateContent>
    </comment>
    <comment ref="C11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13</xdr:colOff>
                <xdr:row>9</xdr:row>
                <xdr:rowOff>9</xdr:rowOff>
              </xdr:from>
              <xdr:to>
                <xdr:col>4</xdr:col>
                <xdr:colOff>66</xdr:colOff>
                <xdr:row>11</xdr:row>
                <xdr:rowOff>13</xdr:rowOff>
              </xdr:to>
            </anchor>
          </commentPr>
        </mc:Choice>
        <mc:Fallback/>
      </mc:AlternateContent>
    </comment>
    <comment ref="C14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13</xdr:colOff>
                <xdr:row>12</xdr:row>
                <xdr:rowOff>10</xdr:rowOff>
              </xdr:from>
              <xdr:to>
                <xdr:col>4</xdr:col>
                <xdr:colOff>66</xdr:colOff>
                <xdr:row>14</xdr:row>
                <xdr:rowOff>11</xdr:rowOff>
              </xdr:to>
            </anchor>
          </commentPr>
        </mc:Choice>
        <mc:Fallback/>
      </mc:AlternateContent>
    </comment>
    <comment ref="C15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13</xdr:colOff>
                <xdr:row>13</xdr:row>
                <xdr:rowOff>9</xdr:rowOff>
              </xdr:from>
              <xdr:to>
                <xdr:col>4</xdr:col>
                <xdr:colOff>66</xdr:colOff>
                <xdr:row>15</xdr:row>
                <xdr:rowOff>13</xdr:rowOff>
              </xdr:to>
            </anchor>
          </commentPr>
        </mc:Choice>
        <mc:Fallback/>
      </mc:AlternateContent>
    </comment>
    <comment ref="C16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13</xdr:colOff>
                <xdr:row>14</xdr:row>
                <xdr:rowOff>9</xdr:rowOff>
              </xdr:from>
              <xdr:to>
                <xdr:col>4</xdr:col>
                <xdr:colOff>66</xdr:colOff>
                <xdr:row>16</xdr:row>
                <xdr:rowOff>12</xdr:rowOff>
              </xdr:to>
            </anchor>
          </commentPr>
        </mc:Choice>
        <mc:Fallback/>
      </mc:AlternateContent>
    </comment>
    <comment ref="C17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13</xdr:colOff>
                <xdr:row>15</xdr:row>
                <xdr:rowOff>9</xdr:rowOff>
              </xdr:from>
              <xdr:to>
                <xdr:col>4</xdr:col>
                <xdr:colOff>66</xdr:colOff>
                <xdr:row>17</xdr:row>
                <xdr:rowOff>13</xdr:rowOff>
              </xdr:to>
            </anchor>
          </commentPr>
        </mc:Choice>
        <mc:Fallback/>
      </mc:AlternateContent>
    </comment>
    <comment ref="C18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13</xdr:colOff>
                <xdr:row>16</xdr:row>
                <xdr:rowOff>9</xdr:rowOff>
              </xdr:from>
              <xdr:to>
                <xdr:col>4</xdr:col>
                <xdr:colOff>66</xdr:colOff>
                <xdr:row>18</xdr:row>
                <xdr:rowOff>14</xdr:rowOff>
              </xdr:to>
            </anchor>
          </commentPr>
        </mc:Choice>
        <mc:Fallback/>
      </mc:AlternateContent>
    </comment>
    <comment ref="C19" authorId="0">
      <text>
        <r>
          <rPr>
            <b val="true"/>
            <sz val="8"/>
            <color rgb="FF000000"/>
            <rFont val="Tahoma"/>
            <family val="2"/>
          </rPr>
          <t xml:space="preserve">From Contract (and/or latest contractual amendment/s)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13</xdr:colOff>
                <xdr:row>17</xdr:row>
                <xdr:rowOff>9</xdr:rowOff>
              </xdr:from>
              <xdr:to>
                <xdr:col>4</xdr:col>
                <xdr:colOff>66</xdr:colOff>
                <xdr:row>19</xdr:row>
                <xdr:rowOff>13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E3" authorId="0">
      <text>
        <r>
          <rPr>
            <b val="true"/>
            <sz val="8"/>
            <color rgb="FF000000"/>
            <rFont val="Tahoma"/>
            <family val="2"/>
          </rPr>
          <t xml:space="preserve">Use Currency Codes in list provided at end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101</xdr:colOff>
                <xdr:row>1</xdr:row>
                <xdr:rowOff>9</xdr:rowOff>
              </xdr:from>
              <xdr:to>
                <xdr:col>7</xdr:col>
                <xdr:colOff>6</xdr:colOff>
                <xdr:row>2</xdr:row>
                <xdr:rowOff>22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P4" authorId="0">
      <text>
        <r>
          <rPr>
            <b val="true"/>
            <sz val="8"/>
            <color rgb="FF000000"/>
            <rFont val="Tahoma"/>
            <family val="2"/>
          </rPr>
          <t xml:space="preserve">Self-calculating (travel cost+ subsistence costs)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6</xdr:colOff>
                <xdr:row>1</xdr:row>
                <xdr:rowOff>19</xdr:rowOff>
              </xdr:from>
              <xdr:to>
                <xdr:col>19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C5" authorId="0">
      <text>
        <r>
          <rPr>
            <b val="true"/>
            <sz val="8"/>
            <color rgb="FF000000"/>
            <rFont val="Tahoma"/>
            <family val="2"/>
          </rPr>
          <t xml:space="preserve">Note: This is compulsory in order that tables will self-calculate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12</xdr:colOff>
                <xdr:row>3</xdr:row>
                <xdr:rowOff>1</xdr:rowOff>
              </xdr:from>
              <xdr:to>
                <xdr:col>4</xdr:col>
                <xdr:colOff>-1</xdr:colOff>
                <xdr:row>4</xdr:row>
                <xdr:rowOff>31</xdr:rowOff>
              </xdr:to>
            </anchor>
          </commentPr>
        </mc:Choice>
        <mc:Fallback/>
      </mc:AlternateContent>
    </comment>
    <comment ref="H5" authorId="0">
      <text>
        <r>
          <rPr>
            <b val="true"/>
            <sz val="8"/>
            <color rgb="FF000000"/>
            <rFont val="Tahoma"/>
            <family val="2"/>
          </rPr>
          <t xml:space="preserve">Self-calculating (cost * % use in project)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45</xdr:colOff>
                <xdr:row>3</xdr:row>
                <xdr:rowOff>7</xdr:rowOff>
              </xdr:from>
              <xdr:to>
                <xdr:col>7</xdr:col>
                <xdr:colOff>37</xdr:colOff>
                <xdr:row>4</xdr:row>
                <xdr:rowOff>31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C5" authorId="0">
      <text>
        <r>
          <rPr>
            <b val="true"/>
            <sz val="8"/>
            <color rgb="FF000000"/>
            <rFont val="Tahoma"/>
            <family val="2"/>
          </rPr>
          <t xml:space="preserve">Note: This is compulsory in order that tables will self-calculate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26</xdr:colOff>
                <xdr:row>3</xdr:row>
                <xdr:rowOff>1</xdr:rowOff>
              </xdr:from>
              <xdr:to>
                <xdr:col>4</xdr:col>
                <xdr:colOff>43</xdr:colOff>
                <xdr:row>4</xdr:row>
                <xdr:rowOff>31</xdr:rowOff>
              </xdr:to>
            </anchor>
          </commentPr>
        </mc:Choice>
        <mc:Fallback/>
      </mc:AlternateContent>
    </comment>
    <comment ref="H5" authorId="0">
      <text>
        <r>
          <rPr>
            <b val="true"/>
            <sz val="8"/>
            <color rgb="FF000000"/>
            <rFont val="Tahoma"/>
            <family val="0"/>
          </rPr>
          <t xml:space="preserve">Note: Must be later than the start date of the project 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16</xdr:colOff>
                <xdr:row>3</xdr:row>
                <xdr:rowOff>8</xdr:rowOff>
              </xdr:from>
              <xdr:to>
                <xdr:col>9</xdr:col>
                <xdr:colOff>37</xdr:colOff>
                <xdr:row>5</xdr:row>
                <xdr:rowOff>6</xdr:rowOff>
              </xdr:to>
            </anchor>
          </commentPr>
        </mc:Choice>
        <mc:Fallback/>
      </mc:AlternateContent>
    </comment>
    <comment ref="I5" authorId="0">
      <text>
        <r>
          <rPr>
            <b val="true"/>
            <sz val="8"/>
            <color rgb="FF000000"/>
            <rFont val="Tahoma"/>
            <family val="0"/>
          </rPr>
          <t xml:space="preserve">Self-calculating (purchase cost/ relevant depreciation period*period of use in months)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16</xdr:colOff>
                <xdr:row>3</xdr:row>
                <xdr:rowOff>8</xdr:rowOff>
              </xdr:from>
              <xdr:to>
                <xdr:col>10</xdr:col>
                <xdr:colOff>16</xdr:colOff>
                <xdr:row>6</xdr:row>
                <xdr:rowOff>12</xdr:rowOff>
              </xdr:to>
            </anchor>
          </commentPr>
        </mc:Choice>
        <mc:Fallback/>
      </mc:AlternateContent>
    </comment>
    <comment ref="K5" authorId="0">
      <text>
        <r>
          <rPr>
            <b val="true"/>
            <sz val="8"/>
            <color rgb="FF000000"/>
            <rFont val="Tahoma"/>
            <family val="2"/>
          </rPr>
          <t xml:space="preserve">Self-calculating (depreciation costs * % use in project)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41</xdr:colOff>
                <xdr:row>3</xdr:row>
                <xdr:rowOff>7</xdr:rowOff>
              </xdr:from>
              <xdr:to>
                <xdr:col>11</xdr:col>
                <xdr:colOff>70</xdr:colOff>
                <xdr:row>4</xdr:row>
                <xdr:rowOff>31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C5" authorId="0">
      <text>
        <r>
          <rPr>
            <b val="true"/>
            <sz val="8"/>
            <color rgb="FF000000"/>
            <rFont val="Tahoma"/>
            <family val="2"/>
          </rPr>
          <t xml:space="preserve">Note: This is compulsory in order that tables will self-calculate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26</xdr:colOff>
                <xdr:row>3</xdr:row>
                <xdr:rowOff>1</xdr:rowOff>
              </xdr:from>
              <xdr:to>
                <xdr:col>4</xdr:col>
                <xdr:colOff>45</xdr:colOff>
                <xdr:row>4</xdr:row>
                <xdr:rowOff>29</xdr:rowOff>
              </xdr:to>
            </anchor>
          </commentPr>
        </mc:Choice>
        <mc:Fallback/>
      </mc:AlternateContent>
    </comment>
    <comment ref="I5" authorId="0">
      <text>
        <r>
          <rPr>
            <b val="true"/>
            <sz val="8"/>
            <color rgb="FF000000"/>
            <rFont val="Tahoma"/>
            <family val="2"/>
          </rPr>
          <t xml:space="preserve">Self-calculating (monthly hire/lease cost * duration * % use in project)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95</xdr:colOff>
                <xdr:row>3</xdr:row>
                <xdr:rowOff>7</xdr:rowOff>
              </xdr:from>
              <xdr:to>
                <xdr:col>9</xdr:col>
                <xdr:colOff>3</xdr:colOff>
                <xdr:row>4</xdr:row>
                <xdr:rowOff>33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C4" authorId="0">
      <text>
        <r>
          <rPr>
            <b val="true"/>
            <sz val="8"/>
            <color rgb="FF000000"/>
            <rFont val="Tahoma"/>
            <family val="2"/>
          </rPr>
          <t xml:space="preserve">Note: This is compulsory in order that tables will self-calculate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</xdr:colOff>
                <xdr:row>2</xdr:row>
                <xdr:rowOff>4</xdr:rowOff>
              </xdr:from>
              <xdr:to>
                <xdr:col>4</xdr:col>
                <xdr:colOff>-7</xdr:colOff>
                <xdr:row>3</xdr:row>
                <xdr:rowOff>30</xdr:rowOff>
              </xdr:to>
            </anchor>
          </commentPr>
        </mc:Choice>
        <mc:Fallback/>
      </mc:AlternateContent>
    </comment>
    <comment ref="H4" authorId="0">
      <text>
        <r>
          <rPr>
            <b val="true"/>
            <sz val="8"/>
            <color rgb="FF000000"/>
            <rFont val="Tahoma"/>
            <family val="2"/>
          </rPr>
          <t xml:space="preserve">Self-calculating (unit cost * % use in project)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21</xdr:colOff>
                <xdr:row>2</xdr:row>
                <xdr:rowOff>10</xdr:rowOff>
              </xdr:from>
              <xdr:to>
                <xdr:col>7</xdr:col>
                <xdr:colOff>13</xdr:colOff>
                <xdr:row>4</xdr:row>
                <xdr:rowOff>8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C4" authorId="0">
      <text>
        <r>
          <rPr>
            <b val="true"/>
            <sz val="8"/>
            <color rgb="FF000000"/>
            <rFont val="Tahoma"/>
            <family val="2"/>
          </rPr>
          <t xml:space="preserve">Note: This is compulsory in order that tables will self-calculate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</xdr:colOff>
                <xdr:row>2</xdr:row>
                <xdr:rowOff>4</xdr:rowOff>
              </xdr:from>
              <xdr:to>
                <xdr:col>4</xdr:col>
                <xdr:colOff>-7</xdr:colOff>
                <xdr:row>3</xdr:row>
                <xdr:rowOff>30</xdr:rowOff>
              </xdr:to>
            </anchor>
          </commentPr>
        </mc:Choice>
        <mc:Fallback/>
      </mc:AlternateContent>
    </comment>
    <comment ref="H4" authorId="0">
      <text>
        <r>
          <rPr>
            <b val="true"/>
            <sz val="8"/>
            <color rgb="FF000000"/>
            <rFont val="Tahoma"/>
            <family val="2"/>
          </rPr>
          <t xml:space="preserve">Self-calculating (unit cost * % use in project)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21</xdr:colOff>
                <xdr:row>2</xdr:row>
                <xdr:rowOff>10</xdr:rowOff>
              </xdr:from>
              <xdr:to>
                <xdr:col>7</xdr:col>
                <xdr:colOff>13</xdr:colOff>
                <xdr:row>4</xdr:row>
                <xdr:rowOff>7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C4" authorId="0">
      <text>
        <r>
          <rPr>
            <b val="true"/>
            <sz val="8"/>
            <color rgb="FF000000"/>
            <rFont val="Tahoma"/>
            <family val="2"/>
          </rPr>
          <t xml:space="preserve">Note: This is compulsory in order that tables will self-calculate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165</xdr:colOff>
                <xdr:row>2</xdr:row>
                <xdr:rowOff>4</xdr:rowOff>
              </xdr:from>
              <xdr:to>
                <xdr:col>5</xdr:col>
                <xdr:colOff>26</xdr:colOff>
                <xdr:row>3</xdr:row>
                <xdr:rowOff>27</xdr:rowOff>
              </xdr:to>
            </anchor>
          </commentPr>
        </mc:Choice>
        <mc:Fallback/>
      </mc:AlternateContent>
    </comment>
    <comment ref="E4" authorId="0">
      <text>
        <r>
          <rPr>
            <b val="true"/>
            <sz val="8"/>
            <color rgb="FF000000"/>
            <rFont val="Tahoma"/>
            <family val="2"/>
          </rPr>
          <t xml:space="preserve">Note: This is compulsory in order that tables will self-calculate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11</xdr:colOff>
                <xdr:row>2</xdr:row>
                <xdr:rowOff>4</xdr:rowOff>
              </xdr:from>
              <xdr:to>
                <xdr:col>7</xdr:col>
                <xdr:colOff>69</xdr:colOff>
                <xdr:row>3</xdr:row>
                <xdr:rowOff>27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<sst xmlns="http://schemas.openxmlformats.org/spreadsheetml/2006/main" count="240" uniqueCount="182">
  <si>
    <t xml:space="preserve">Table G.1: Budget Overview</t>
  </si>
  <si>
    <t xml:space="preserve">You should complete only the Contractual Budget &amp; Leonardo da Vinci Grant figures relating to your project, Expenditure Realised will be automatically completed from Table G.2</t>
  </si>
  <si>
    <t xml:space="preserve">Contractual Budget (Euro)</t>
  </si>
  <si>
    <t xml:space="preserve">Leonardo da Vinci Grant (Euro)</t>
  </si>
  <si>
    <t xml:space="preserve">Expenditure Realised (Euro)</t>
  </si>
  <si>
    <t xml:space="preserve">A. Staff Costs</t>
  </si>
  <si>
    <t xml:space="preserve">B. Operating Costs</t>
  </si>
  <si>
    <t xml:space="preserve">1. Travel</t>
  </si>
  <si>
    <t xml:space="preserve">2. ICT</t>
  </si>
  <si>
    <t xml:space="preserve">3. Production</t>
  </si>
  <si>
    <t xml:space="preserve">4. Overheads</t>
  </si>
  <si>
    <t xml:space="preserve">5. Other</t>
  </si>
  <si>
    <t xml:space="preserve">Sub-Total B</t>
  </si>
  <si>
    <t xml:space="preserve">C. Subcontracting Costs</t>
  </si>
  <si>
    <t xml:space="preserve">Subcontracting 1</t>
  </si>
  <si>
    <t xml:space="preserve">Subcontracting 2</t>
  </si>
  <si>
    <t xml:space="preserve">Subcontracting 3</t>
  </si>
  <si>
    <t xml:space="preserve">Subcontracting 4</t>
  </si>
  <si>
    <t xml:space="preserve">Subcontracting 5</t>
  </si>
  <si>
    <t xml:space="preserve">Subcontracting 6</t>
  </si>
  <si>
    <t xml:space="preserve">Sub-Total C</t>
  </si>
  <si>
    <t xml:space="preserve">TOTAL</t>
  </si>
  <si>
    <t xml:space="preserve">Table G.2: Breakdown of Expenses already incurred by partner (Euro)</t>
  </si>
  <si>
    <t xml:space="preserve">This table is automatically completed using the contents of Tables G.4-G.8</t>
  </si>
  <si>
    <r>
      <rPr>
        <b val="true"/>
        <sz val="10"/>
        <rFont val="Arial"/>
        <family val="2"/>
      </rPr>
      <t xml:space="preserve">Partner Number </t>
    </r>
    <r>
      <rPr>
        <b val="true"/>
        <sz val="10"/>
        <rFont val="Wingdings"/>
        <family val="0"/>
        <charset val="2"/>
      </rPr>
      <t xml:space="preserve"></t>
    </r>
  </si>
  <si>
    <t xml:space="preserve">Total</t>
  </si>
  <si>
    <t xml:space="preserve">1a. Travel</t>
  </si>
  <si>
    <t xml:space="preserve">1b. Subsistence</t>
  </si>
  <si>
    <t xml:space="preserve">1. Travel &amp; Subsistence</t>
  </si>
  <si>
    <t xml:space="preserve">5a. Software, etc</t>
  </si>
  <si>
    <t xml:space="preserve">5b. Purchase (Hardware)</t>
  </si>
  <si>
    <t xml:space="preserve">5c. Hire/Lease (Hardware)</t>
  </si>
  <si>
    <t xml:space="preserve">`</t>
  </si>
  <si>
    <t xml:space="preserve">Table G.3: Details of Bank Transfers between the Contractor and its Partners</t>
  </si>
  <si>
    <t xml:space="preserve">Partner No.</t>
  </si>
  <si>
    <t xml:space="preserve">Partner Name</t>
  </si>
  <si>
    <t xml:space="preserve">Amount of the Payment (EUR)</t>
  </si>
  <si>
    <t xml:space="preserve">Date the contractor made the payment (dd/mm/yyyy)</t>
  </si>
  <si>
    <t xml:space="preserve">Currency Used</t>
  </si>
  <si>
    <t xml:space="preserve">Table G.4: Travel and Subsistence Expenses</t>
  </si>
  <si>
    <t xml:space="preserve">Total:</t>
  </si>
  <si>
    <t xml:space="preserve">Item No.</t>
  </si>
  <si>
    <t xml:space="preserve">Partner </t>
  </si>
  <si>
    <t xml:space="preserve">Name</t>
  </si>
  <si>
    <t xml:space="preserve">From (dd/mm/yyyy)</t>
  </si>
  <si>
    <t xml:space="preserve">To (dd/mm/yyyy)</t>
  </si>
  <si>
    <t xml:space="preserve">Duration (days)</t>
  </si>
  <si>
    <t xml:space="preserve">City</t>
  </si>
  <si>
    <t xml:space="preserve">Country Code</t>
  </si>
  <si>
    <t xml:space="preserve">Objective of the trip</t>
  </si>
  <si>
    <t xml:space="preserve">Means of transport (+ type of fare)</t>
  </si>
  <si>
    <t xml:space="preserve">Travel Cost (Euro)</t>
  </si>
  <si>
    <t xml:space="preserve">Subsistence Costs (Euro)</t>
  </si>
  <si>
    <t xml:space="preserve">Total Travel &amp; Subsistence (Euro)</t>
  </si>
  <si>
    <t xml:space="preserve">Table G.5.a: ICT Expenses</t>
  </si>
  <si>
    <t xml:space="preserve">Connection, Software and other computer &amp; audio visual costs (except for Equipment)</t>
  </si>
  <si>
    <t xml:space="preserve">Type of cost (please give full details)</t>
  </si>
  <si>
    <t xml:space="preserve">Cost (Euro)</t>
  </si>
  <si>
    <t xml:space="preserve">Purpose</t>
  </si>
  <si>
    <t xml:space="preserve">Degree of use for the project (in %)</t>
  </si>
  <si>
    <t xml:space="preserve">Total Costs (Euro)</t>
  </si>
  <si>
    <t xml:space="preserve">Table G.5.b: ICT Expenses</t>
  </si>
  <si>
    <r>
      <rPr>
        <b val="true"/>
        <i val="true"/>
        <sz val="9"/>
        <rFont val="Arial"/>
        <family val="2"/>
      </rPr>
      <t xml:space="preserve">Computer and audio-visual equipment </t>
    </r>
    <r>
      <rPr>
        <b val="true"/>
        <i val="true"/>
        <u val="single"/>
        <sz val="9"/>
        <rFont val="Arial"/>
        <family val="2"/>
      </rPr>
      <t xml:space="preserve">purchased</t>
    </r>
    <r>
      <rPr>
        <b val="true"/>
        <i val="true"/>
        <sz val="9"/>
        <rFont val="Arial"/>
        <family val="2"/>
      </rPr>
      <t xml:space="preserve"> within the framework of the project</t>
    </r>
  </si>
  <si>
    <t xml:space="preserve">Nature and Specification</t>
  </si>
  <si>
    <t xml:space="preserve">Period of use for the project (in months)</t>
  </si>
  <si>
    <t xml:space="preserve">Purchase Cost (Euro)</t>
  </si>
  <si>
    <t xml:space="preserve">Purchase Date</t>
  </si>
  <si>
    <t xml:space="preserve">Depreciation Costs (Euro)</t>
  </si>
  <si>
    <t xml:space="preserve">Total Cost (Euro)</t>
  </si>
  <si>
    <t xml:space="preserve">Table G.5.c: ICT Expenses</t>
  </si>
  <si>
    <r>
      <rPr>
        <b val="true"/>
        <i val="true"/>
        <sz val="9"/>
        <rFont val="Arial"/>
        <family val="2"/>
      </rPr>
      <t xml:space="preserve">Computer and audio-visual equipment </t>
    </r>
    <r>
      <rPr>
        <b val="true"/>
        <i val="true"/>
        <u val="single"/>
        <sz val="9"/>
        <rFont val="Arial"/>
        <family val="2"/>
      </rPr>
      <t xml:space="preserve">hired or leased</t>
    </r>
    <r>
      <rPr>
        <b val="true"/>
        <i val="true"/>
        <sz val="9"/>
        <rFont val="Arial"/>
        <family val="2"/>
      </rPr>
      <t xml:space="preserve"> within the framework of the project</t>
    </r>
  </si>
  <si>
    <t xml:space="preserve">Duration of hire or lease (in months)</t>
  </si>
  <si>
    <t xml:space="preserve">Monthly Hire/Lease Cost (Euro)</t>
  </si>
  <si>
    <t xml:space="preserve">Table G.6: Production Expenses</t>
  </si>
  <si>
    <t xml:space="preserve">Unit Cost (Euro)</t>
  </si>
  <si>
    <t xml:space="preserve">Table G.7: Other Expenses / Costs</t>
  </si>
  <si>
    <t xml:space="preserve">Table G.8: Sub-contracting Expenses / Costs</t>
  </si>
  <si>
    <t xml:space="preserve">Subcontracting dates</t>
  </si>
  <si>
    <t xml:space="preserve">Subcontracting (self-calculating summaries-locked cells)</t>
  </si>
  <si>
    <t xml:space="preserve">Sub-contracted work</t>
  </si>
  <si>
    <t xml:space="preserve">Sub-contracting Package No.</t>
  </si>
  <si>
    <t xml:space="preserve">Start Date (dd/mm/yyyy)</t>
  </si>
  <si>
    <t xml:space="preserve">End Date (dd/mm/yyyy)</t>
  </si>
  <si>
    <t xml:space="preserve">Sub-contracting cost (Euro)</t>
  </si>
  <si>
    <t xml:space="preserve">Code</t>
  </si>
  <si>
    <t xml:space="preserve">Currency</t>
  </si>
  <si>
    <t xml:space="preserve">ATS</t>
  </si>
  <si>
    <t xml:space="preserve">Austrian Schilling</t>
  </si>
  <si>
    <t xml:space="preserve">BEF</t>
  </si>
  <si>
    <t xml:space="preserve">Belgian Franc</t>
  </si>
  <si>
    <t xml:space="preserve">BGL</t>
  </si>
  <si>
    <t xml:space="preserve">Bulgarian Lev</t>
  </si>
  <si>
    <t xml:space="preserve">CSK</t>
  </si>
  <si>
    <t xml:space="preserve">Czech Koruna</t>
  </si>
  <si>
    <t xml:space="preserve">CYP</t>
  </si>
  <si>
    <t xml:space="preserve">Cypriot Pound</t>
  </si>
  <si>
    <t xml:space="preserve">DEM</t>
  </si>
  <si>
    <t xml:space="preserve">Deutschmark</t>
  </si>
  <si>
    <t xml:space="preserve">DKK</t>
  </si>
  <si>
    <t xml:space="preserve">Danish Krone</t>
  </si>
  <si>
    <t xml:space="preserve">EEK</t>
  </si>
  <si>
    <t xml:space="preserve">Estonian Kroon</t>
  </si>
  <si>
    <t xml:space="preserve">ESP</t>
  </si>
  <si>
    <t xml:space="preserve">Spanish Peseta</t>
  </si>
  <si>
    <t xml:space="preserve">EUR</t>
  </si>
  <si>
    <t xml:space="preserve">Euro</t>
  </si>
  <si>
    <t xml:space="preserve">FIM</t>
  </si>
  <si>
    <t xml:space="preserve">Finnish Markka</t>
  </si>
  <si>
    <t xml:space="preserve">FRF</t>
  </si>
  <si>
    <t xml:space="preserve">French Franc</t>
  </si>
  <si>
    <t xml:space="preserve">GBP</t>
  </si>
  <si>
    <t xml:space="preserve">British Pound</t>
  </si>
  <si>
    <t xml:space="preserve">GRD</t>
  </si>
  <si>
    <t xml:space="preserve">Greek Drachma</t>
  </si>
  <si>
    <t xml:space="preserve">HUF</t>
  </si>
  <si>
    <t xml:space="preserve">Hungarian Forint</t>
  </si>
  <si>
    <t xml:space="preserve">IEP</t>
  </si>
  <si>
    <t xml:space="preserve">Irish Punt</t>
  </si>
  <si>
    <t xml:space="preserve">ISK</t>
  </si>
  <si>
    <t xml:space="preserve">Icelandic Krona</t>
  </si>
  <si>
    <t xml:space="preserve">ITL</t>
  </si>
  <si>
    <t xml:space="preserve">Italian Lira</t>
  </si>
  <si>
    <t xml:space="preserve">LTL</t>
  </si>
  <si>
    <t xml:space="preserve">Lithuanian Litas</t>
  </si>
  <si>
    <t xml:space="preserve">LUF</t>
  </si>
  <si>
    <t xml:space="preserve">Luxembourg Franc</t>
  </si>
  <si>
    <t xml:space="preserve">LVL</t>
  </si>
  <si>
    <t xml:space="preserve">Latvian Lat</t>
  </si>
  <si>
    <t xml:space="preserve">MTL</t>
  </si>
  <si>
    <t xml:space="preserve">Maltese Lira</t>
  </si>
  <si>
    <t xml:space="preserve">NLG</t>
  </si>
  <si>
    <t xml:space="preserve">Dutch Guilder</t>
  </si>
  <si>
    <t xml:space="preserve">NOK</t>
  </si>
  <si>
    <t xml:space="preserve">Norwegian Kroner</t>
  </si>
  <si>
    <t xml:space="preserve">PLN</t>
  </si>
  <si>
    <t xml:space="preserve">Polish Zloty</t>
  </si>
  <si>
    <t xml:space="preserve">PTE</t>
  </si>
  <si>
    <t xml:space="preserve">Portuguese Escudo</t>
  </si>
  <si>
    <t xml:space="preserve">ROL</t>
  </si>
  <si>
    <t xml:space="preserve">Romanian Lei</t>
  </si>
  <si>
    <t xml:space="preserve">SEK</t>
  </si>
  <si>
    <t xml:space="preserve">Swedish Krona</t>
  </si>
  <si>
    <t xml:space="preserve">SIT</t>
  </si>
  <si>
    <t xml:space="preserve">Slovene Tolar</t>
  </si>
  <si>
    <t xml:space="preserve">SKK</t>
  </si>
  <si>
    <t xml:space="preserve">Slovak Koruna</t>
  </si>
  <si>
    <t xml:space="preserve">TRL</t>
  </si>
  <si>
    <t xml:space="preserve">Turkish Lira</t>
  </si>
  <si>
    <t xml:space="preserve">Country Visited</t>
  </si>
  <si>
    <t xml:space="preserve">Rate per Day (EUR)</t>
  </si>
  <si>
    <t xml:space="preserve">AT</t>
  </si>
  <si>
    <t xml:space="preserve">BE</t>
  </si>
  <si>
    <t xml:space="preserve">BG</t>
  </si>
  <si>
    <t xml:space="preserve">CY</t>
  </si>
  <si>
    <t xml:space="preserve">CZ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</si>
  <si>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</si>
  <si>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</si>
  <si>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</si>
  <si>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</si>
  <si>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</si>
  <si>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</si>
  <si>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FL</t>
  </si>
  <si>
    <t xml:space="preserve">FR</t>
  </si>
  <si>
    <t xml:space="preserve">HU</t>
  </si>
  <si>
    <t xml:space="preserve">IE</t>
  </si>
  <si>
    <t xml:space="preserve">IS</t>
  </si>
  <si>
    <t xml:space="preserve">IT</t>
  </si>
  <si>
    <t xml:space="preserve">LT</t>
  </si>
  <si>
    <t xml:space="preserve">LU</t>
  </si>
  <si>
    <t xml:space="preserve">LV</t>
  </si>
  <si>
    <t xml:space="preserve">MT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</si>
  <si>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</si>
  <si>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</si>
  <si>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</si>
  <si>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</si>
  <si>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</si>
  <si>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</si>
  <si>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</si>
  <si>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</si>
  <si>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TR</t>
  </si>
  <si>
    <t xml:space="preserve">--</t>
  </si>
  <si>
    <t xml:space="preserve">UK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</si>
</sst>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_ ;\-0.00\ "/>
    <numFmt numFmtId="166" formatCode="General"/>
    <numFmt numFmtId="167" formatCode="0.00"/>
    <numFmt numFmtId="168" formatCode="0"/>
    <numFmt numFmtId="169" formatCode="[$-409]m/d/yyyy"/>
    <numFmt numFmtId="170" formatCode="0.0"/>
    <numFmt numFmtId="171" formatCode="0%"/>
  </numFmts>
  <fonts count="2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2"/>
      <name val="Arial"/>
      <family val="2"/>
    </font>
    <font>
      <b val="true"/>
      <sz val="9"/>
      <name val="Arial"/>
      <family val="2"/>
    </font>
    <font>
      <i val="true"/>
      <sz val="9"/>
      <name val="Arial"/>
      <family val="2"/>
    </font>
    <font>
      <b val="true"/>
      <sz val="8"/>
      <name val="Arial"/>
      <family val="2"/>
    </font>
    <font>
      <b val="true"/>
      <sz val="10"/>
      <name val="Arial"/>
      <family val="2"/>
    </font>
    <font>
      <sz val="10"/>
      <name val="Arial"/>
      <family val="2"/>
    </font>
    <font>
      <b val="true"/>
      <sz val="9"/>
      <color rgb="FFFFFFFF"/>
      <name val="Arial"/>
      <family val="2"/>
    </font>
    <font>
      <i val="true"/>
      <sz val="6"/>
      <name val="Arial"/>
      <family val="2"/>
    </font>
    <font>
      <b val="true"/>
      <i val="true"/>
      <sz val="10"/>
      <name val="Arial"/>
      <family val="2"/>
    </font>
    <font>
      <b val="true"/>
      <sz val="10"/>
      <color rgb="FFFFFFFF"/>
      <name val="Arial"/>
      <family val="2"/>
    </font>
    <font>
      <b val="true"/>
      <sz val="8"/>
      <color rgb="FF000000"/>
      <name val="Tahoma"/>
      <family val="2"/>
    </font>
    <font>
      <sz val="10"/>
      <color rgb="FF000000"/>
      <name val="Tahoma"/>
      <family val="0"/>
    </font>
    <font>
      <i val="true"/>
      <sz val="10"/>
      <name val="Arial"/>
      <family val="2"/>
    </font>
    <font>
      <b val="true"/>
      <sz val="10"/>
      <name val="Wingdings"/>
      <family val="0"/>
      <charset val="2"/>
    </font>
    <font>
      <b val="true"/>
      <sz val="10"/>
      <color rgb="FF000000"/>
      <name val="Arial"/>
      <family val="2"/>
    </font>
    <font>
      <b val="true"/>
      <i val="true"/>
      <sz val="12"/>
      <name val="Arial"/>
      <family val="2"/>
    </font>
    <font>
      <sz val="12"/>
      <name val="Arial"/>
      <family val="2"/>
    </font>
    <font>
      <b val="true"/>
      <i val="true"/>
      <sz val="9"/>
      <name val="Arial"/>
      <family val="2"/>
    </font>
    <font>
      <b val="true"/>
      <i val="true"/>
      <u val="single"/>
      <sz val="9"/>
      <name val="Arial"/>
      <family val="2"/>
    </font>
    <font>
      <b val="true"/>
      <sz val="8"/>
      <color rgb="FF000000"/>
      <name val="Tahoma"/>
      <family val="0"/>
    </font>
    <font>
      <sz val="8"/>
      <color rgb="FF000000"/>
      <name val="Tahoma"/>
      <family val="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333333"/>
        <bgColor rgb="FF33330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dotted"/>
      <bottom/>
      <diagonal/>
    </border>
    <border diagonalUp="false" diagonalDown="false">
      <left style="medium"/>
      <right style="medium"/>
      <top/>
      <bottom style="dotted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thin">
        <color rgb="FFC0C0C0"/>
      </bottom>
      <diagonal/>
    </border>
    <border diagonalUp="false" diagonalDown="false">
      <left style="medium"/>
      <right style="medium"/>
      <top style="thin">
        <color rgb="FFC0C0C0"/>
      </top>
      <bottom style="thin">
        <color rgb="FFC0C0C0"/>
      </bottom>
      <diagonal/>
    </border>
    <border diagonalUp="false" diagonalDown="false">
      <left style="medium"/>
      <right style="medium"/>
      <top style="thin">
        <color rgb="FFC0C0C0"/>
      </top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11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2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5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4" fillId="4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3" fillId="2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5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7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4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4" fillId="4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4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4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7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0" fillId="5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0" fillId="5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5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10" fillId="5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10" fillId="5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5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14" fillId="4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14" fillId="4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" fillId="5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3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0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4" xfId="0" applyFont="false" applyBorder="true" applyAlignment="true" applyProtection="true">
      <alignment horizontal="left" vertical="top" textRotation="0" wrapText="true" indent="0" shrinkToFit="false"/>
      <protection locked="false" hidden="false"/>
    </xf>
    <xf numFmtId="168" fontId="9" fillId="0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8" xfId="0" applyFont="false" applyBorder="true" applyAlignment="true" applyProtection="true">
      <alignment horizontal="left" vertical="top" textRotation="0" wrapText="true" indent="0" shrinkToFit="false"/>
      <protection locked="false" hidden="false"/>
    </xf>
    <xf numFmtId="168" fontId="9" fillId="0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2" xfId="0" applyFont="false" applyBorder="true" applyAlignment="true" applyProtection="true">
      <alignment horizontal="left" vertical="top" textRotation="0" wrapText="true" indent="0" shrinkToFit="false"/>
      <protection locked="false" hidden="false"/>
    </xf>
    <xf numFmtId="168" fontId="9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2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2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5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5" xfId="0" applyFont="false" applyBorder="true" applyAlignment="true" applyProtection="true">
      <alignment horizontal="center" vertical="top" textRotation="0" wrapText="true" indent="0" shrinkToFit="false"/>
      <protection locked="false" hidden="false"/>
    </xf>
    <xf numFmtId="169" fontId="0" fillId="0" borderId="25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25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0" fillId="0" borderId="25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25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5" borderId="2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9" xfId="0" applyFont="false" applyBorder="true" applyAlignment="true" applyProtection="true">
      <alignment horizontal="center" vertical="top" textRotation="0" wrapText="true" indent="0" shrinkToFit="false"/>
      <protection locked="false" hidden="false"/>
    </xf>
    <xf numFmtId="168" fontId="0" fillId="0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9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5" borderId="1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0" fillId="0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2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25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25" xfId="0" applyFont="false" applyBorder="true" applyAlignment="true" applyProtection="true">
      <alignment horizontal="left" vertical="center" textRotation="0" wrapText="true" indent="0" shrinkToFit="false"/>
      <protection locked="false" hidden="false"/>
    </xf>
    <xf numFmtId="167" fontId="0" fillId="0" borderId="25" xfId="0" applyFont="false" applyBorder="true" applyAlignment="true" applyProtection="true">
      <alignment horizontal="right" vertical="center" textRotation="0" wrapText="true" indent="0" shrinkToFit="false"/>
      <protection locked="false" hidden="false"/>
    </xf>
    <xf numFmtId="164" fontId="0" fillId="0" borderId="25" xfId="0" applyFont="false" applyBorder="true" applyAlignment="true" applyProtection="true">
      <alignment horizontal="general" vertical="center" textRotation="0" wrapText="true" indent="0" shrinkToFit="false"/>
      <protection locked="false" hidden="false"/>
    </xf>
    <xf numFmtId="171" fontId="0" fillId="0" borderId="25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5" borderId="25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9" xfId="0" applyFont="false" applyBorder="true" applyAlignment="true" applyProtection="true">
      <alignment horizontal="left" vertical="center" textRotation="0" wrapText="true" indent="0" shrinkToFit="false"/>
      <protection locked="false" hidden="false"/>
    </xf>
    <xf numFmtId="167" fontId="0" fillId="0" borderId="19" xfId="0" applyFont="false" applyBorder="true" applyAlignment="true" applyProtection="true">
      <alignment horizontal="right" vertical="center" textRotation="0" wrapText="true" indent="0" shrinkToFit="false"/>
      <protection locked="false" hidden="false"/>
    </xf>
    <xf numFmtId="164" fontId="0" fillId="0" borderId="19" xfId="0" applyFont="false" applyBorder="true" applyAlignment="true" applyProtection="true">
      <alignment horizontal="general" vertical="center" textRotation="0" wrapText="true" indent="0" shrinkToFit="false"/>
      <protection locked="false" hidden="false"/>
    </xf>
    <xf numFmtId="171" fontId="0" fillId="0" borderId="19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7" fontId="0" fillId="0" borderId="25" xfId="0" applyFont="false" applyBorder="true" applyAlignment="true" applyProtection="true">
      <alignment horizontal="general" vertical="center" textRotation="0" wrapText="true" indent="0" shrinkToFit="false"/>
      <protection locked="false" hidden="false"/>
    </xf>
    <xf numFmtId="169" fontId="0" fillId="0" borderId="25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0" fillId="5" borderId="25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7" fontId="0" fillId="0" borderId="19" xfId="0" applyFont="false" applyBorder="true" applyAlignment="true" applyProtection="true">
      <alignment horizontal="general" vertical="center" textRotation="0" wrapText="true" indent="0" shrinkToFit="false"/>
      <protection locked="false" hidden="false"/>
    </xf>
    <xf numFmtId="169" fontId="0" fillId="0" borderId="19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0" fillId="0" borderId="25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5" borderId="2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9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25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71" fontId="0" fillId="0" borderId="19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1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25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5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9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9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9" fillId="2" borderId="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27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28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29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27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28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29" xfId="2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Currency Codes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3.11"/>
    <col collapsed="false" customWidth="true" hidden="false" outlineLevel="0" max="2" min="2" style="0" width="16.68"/>
    <col collapsed="false" customWidth="true" hidden="false" outlineLevel="0" max="3" min="3" style="0" width="15.54"/>
    <col collapsed="false" customWidth="true" hidden="false" outlineLevel="0" max="4" min="4" style="0" width="17.54"/>
    <col collapsed="false" customWidth="true" hidden="false" outlineLevel="0" max="5" min="5" style="0" width="10.12"/>
  </cols>
  <sheetData>
    <row r="1" customFormat="false" ht="16.5" hidden="false" customHeight="false" outlineLevel="0" collapsed="false">
      <c r="A1" s="1" t="s">
        <v>0</v>
      </c>
      <c r="B1" s="1"/>
      <c r="C1" s="1"/>
      <c r="D1" s="1"/>
      <c r="E1" s="2"/>
      <c r="F1" s="2"/>
      <c r="G1" s="2"/>
      <c r="H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2"/>
      <c r="F2" s="2"/>
      <c r="G2" s="2"/>
      <c r="H2" s="2"/>
    </row>
    <row r="3" customFormat="false" ht="16.5" hidden="false" customHeight="false" outlineLevel="0" collapsed="false">
      <c r="A3" s="4"/>
      <c r="B3" s="4"/>
      <c r="C3" s="4"/>
      <c r="D3" s="4"/>
      <c r="E3" s="2"/>
      <c r="F3" s="2"/>
      <c r="G3" s="2"/>
      <c r="H3" s="2"/>
    </row>
    <row r="4" customFormat="false" ht="23.25" hidden="false" customHeight="false" outlineLevel="0" collapsed="false">
      <c r="A4" s="4"/>
      <c r="B4" s="5" t="s">
        <v>2</v>
      </c>
      <c r="C4" s="5" t="s">
        <v>3</v>
      </c>
      <c r="D4" s="5" t="s">
        <v>4</v>
      </c>
      <c r="E4" s="2"/>
      <c r="F4" s="2"/>
      <c r="G4" s="2"/>
      <c r="H4" s="2"/>
    </row>
    <row r="5" customFormat="false" ht="13.5" hidden="false" customHeight="false" outlineLevel="0" collapsed="false">
      <c r="A5" s="6" t="s">
        <v>5</v>
      </c>
      <c r="B5" s="7"/>
      <c r="C5" s="7"/>
      <c r="D5" s="8"/>
      <c r="E5" s="2"/>
      <c r="F5" s="2"/>
      <c r="G5" s="9"/>
      <c r="H5" s="9"/>
    </row>
    <row r="6" customFormat="false" ht="13.5" hidden="false" customHeight="false" outlineLevel="0" collapsed="false">
      <c r="A6" s="10" t="s">
        <v>6</v>
      </c>
      <c r="B6" s="11"/>
      <c r="C6" s="11"/>
      <c r="D6" s="12"/>
      <c r="E6" s="2"/>
      <c r="F6" s="2"/>
      <c r="G6" s="9"/>
      <c r="H6" s="9"/>
    </row>
    <row r="7" customFormat="false" ht="12.75" hidden="false" customHeight="false" outlineLevel="0" collapsed="false">
      <c r="A7" s="13" t="s">
        <v>7</v>
      </c>
      <c r="B7" s="14"/>
      <c r="C7" s="14"/>
      <c r="D7" s="15" t="n">
        <f aca="false">'Table G.2'!$B9</f>
        <v>0</v>
      </c>
    </row>
    <row r="8" customFormat="false" ht="12.75" hidden="false" customHeight="false" outlineLevel="0" collapsed="false">
      <c r="A8" s="13" t="s">
        <v>8</v>
      </c>
      <c r="B8" s="14"/>
      <c r="C8" s="14"/>
      <c r="D8" s="15" t="n">
        <f aca="false">'Table G.2'!$B13</f>
        <v>0</v>
      </c>
    </row>
    <row r="9" customFormat="false" ht="12.75" hidden="false" customHeight="false" outlineLevel="0" collapsed="false">
      <c r="A9" s="13" t="s">
        <v>9</v>
      </c>
      <c r="B9" s="14"/>
      <c r="C9" s="14"/>
      <c r="D9" s="15" t="n">
        <f aca="false">'Table G.2'!$B14</f>
        <v>4</v>
      </c>
    </row>
    <row r="10" customFormat="false" ht="12.75" hidden="false" customHeight="false" outlineLevel="0" collapsed="false">
      <c r="A10" s="13" t="s">
        <v>10</v>
      </c>
      <c r="B10" s="14"/>
      <c r="C10" s="14"/>
      <c r="D10" s="16"/>
    </row>
    <row r="11" customFormat="false" ht="13.5" hidden="false" customHeight="false" outlineLevel="0" collapsed="false">
      <c r="A11" s="13" t="s">
        <v>11</v>
      </c>
      <c r="B11" s="17"/>
      <c r="C11" s="17"/>
      <c r="D11" s="15" t="n">
        <f aca="false">'Table G.2'!$B16</f>
        <v>0</v>
      </c>
    </row>
    <row r="12" customFormat="false" ht="13.5" hidden="false" customHeight="false" outlineLevel="0" collapsed="false">
      <c r="A12" s="18" t="s">
        <v>12</v>
      </c>
      <c r="B12" s="19" t="n">
        <f aca="false">SUM(B7:B11)</f>
        <v>0</v>
      </c>
      <c r="C12" s="19" t="n">
        <f aca="false">SUM(C7:C11)</f>
        <v>0</v>
      </c>
      <c r="D12" s="19" t="n">
        <f aca="false">SUM(D7:D11)</f>
        <v>4</v>
      </c>
    </row>
    <row r="13" customFormat="false" ht="13.5" hidden="false" customHeight="false" outlineLevel="0" collapsed="false">
      <c r="A13" s="10" t="s">
        <v>13</v>
      </c>
      <c r="B13" s="11"/>
      <c r="C13" s="11"/>
      <c r="D13" s="12"/>
    </row>
    <row r="14" customFormat="false" ht="12.75" hidden="false" customHeight="false" outlineLevel="0" collapsed="false">
      <c r="A14" s="13" t="s">
        <v>14</v>
      </c>
      <c r="B14" s="14"/>
      <c r="C14" s="14"/>
      <c r="D14" s="15" t="n">
        <f aca="false">'Table G.2'!$B19</f>
        <v>0</v>
      </c>
    </row>
    <row r="15" customFormat="false" ht="12.75" hidden="false" customHeight="false" outlineLevel="0" collapsed="false">
      <c r="A15" s="13" t="s">
        <v>15</v>
      </c>
      <c r="B15" s="14"/>
      <c r="C15" s="14"/>
      <c r="D15" s="15" t="n">
        <f aca="false">'Table G.2'!$B20</f>
        <v>0</v>
      </c>
    </row>
    <row r="16" customFormat="false" ht="12.75" hidden="false" customHeight="false" outlineLevel="0" collapsed="false">
      <c r="A16" s="13" t="s">
        <v>16</v>
      </c>
      <c r="B16" s="14"/>
      <c r="C16" s="14"/>
      <c r="D16" s="15" t="n">
        <f aca="false">'Table G.2'!$B21</f>
        <v>0</v>
      </c>
    </row>
    <row r="17" customFormat="false" ht="12.75" hidden="false" customHeight="false" outlineLevel="0" collapsed="false">
      <c r="A17" s="13" t="s">
        <v>17</v>
      </c>
      <c r="B17" s="14"/>
      <c r="C17" s="14"/>
      <c r="D17" s="15" t="n">
        <f aca="false">'Table G.2'!$B22</f>
        <v>0</v>
      </c>
    </row>
    <row r="18" customFormat="false" ht="12.75" hidden="false" customHeight="false" outlineLevel="0" collapsed="false">
      <c r="A18" s="13" t="s">
        <v>18</v>
      </c>
      <c r="B18" s="14"/>
      <c r="C18" s="14"/>
      <c r="D18" s="15" t="n">
        <f aca="false">'Table G.2'!$B23</f>
        <v>0</v>
      </c>
    </row>
    <row r="19" customFormat="false" ht="13.5" hidden="false" customHeight="false" outlineLevel="0" collapsed="false">
      <c r="A19" s="20" t="s">
        <v>19</v>
      </c>
      <c r="B19" s="17"/>
      <c r="C19" s="17"/>
      <c r="D19" s="15" t="n">
        <f aca="false">'Table G.2'!$B24</f>
        <v>0</v>
      </c>
    </row>
    <row r="20" customFormat="false" ht="13.5" hidden="false" customHeight="false" outlineLevel="0" collapsed="false">
      <c r="A20" s="21" t="s">
        <v>20</v>
      </c>
      <c r="B20" s="22" t="n">
        <f aca="false">SUM(B14:B19)</f>
        <v>0</v>
      </c>
      <c r="C20" s="22" t="n">
        <f aca="false">SUM(C14:C19)</f>
        <v>0</v>
      </c>
      <c r="D20" s="22" t="n">
        <f aca="false">SUM(D14:D19)</f>
        <v>0</v>
      </c>
    </row>
    <row r="21" customFormat="false" ht="13.5" hidden="false" customHeight="false" outlineLevel="0" collapsed="false">
      <c r="A21" s="21" t="s">
        <v>21</v>
      </c>
      <c r="B21" s="22" t="n">
        <f aca="false">SUM(B5,B12,B20)</f>
        <v>0</v>
      </c>
      <c r="C21" s="22" t="n">
        <f aca="false">SUM(C5,C12,C20)</f>
        <v>0</v>
      </c>
      <c r="D21" s="22" t="n">
        <f aca="false">SUM(D12,D20)</f>
        <v>4</v>
      </c>
      <c r="E21" s="23"/>
      <c r="F21" s="24"/>
    </row>
  </sheetData>
  <sheetProtection sheet="true" password="8737" objects="true" scenarios="true"/>
  <mergeCells count="2">
    <mergeCell ref="A1:D1"/>
    <mergeCell ref="A2:D2"/>
  </mergeCells>
  <printOptions headings="false" gridLines="false" gridLinesSet="true" horizontalCentered="false" verticalCentered="false"/>
  <pageMargins left="0.747916666666667" right="0.747916666666667" top="0.984027777777778" bottom="0.7875" header="0.511805555555556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30.82"/>
    <col collapsed="false" customWidth="true" hidden="false" outlineLevel="0" max="2" min="2" style="0" width="10.27"/>
    <col collapsed="false" customWidth="true" hidden="false" outlineLevel="0" max="22" min="3" style="0" width="8.98"/>
  </cols>
  <sheetData>
    <row r="1" customFormat="false" ht="16.5" hidden="false" customHeight="false" outlineLevel="0" collapsed="false">
      <c r="A1" s="25" t="s">
        <v>22</v>
      </c>
      <c r="B1" s="26"/>
      <c r="C1" s="26"/>
      <c r="D1" s="26"/>
      <c r="E1" s="26"/>
      <c r="F1" s="27"/>
      <c r="G1" s="28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customFormat="false" ht="13.5" hidden="false" customHeight="false" outlineLevel="0" collapsed="false">
      <c r="A2" s="30" t="s">
        <v>23</v>
      </c>
      <c r="B2" s="26"/>
      <c r="C2" s="26"/>
      <c r="D2" s="26"/>
      <c r="E2" s="26"/>
      <c r="F2" s="27"/>
      <c r="G2" s="28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="32" customFormat="true" ht="16.5" hidden="false" customHeight="false" outlineLevel="0" collapsed="false">
      <c r="A3" s="31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customFormat="false" ht="13.5" hidden="false" customHeight="false" outlineLevel="0" collapsed="false">
      <c r="A4" s="33" t="s">
        <v>24</v>
      </c>
      <c r="B4" s="34" t="s">
        <v>25</v>
      </c>
      <c r="C4" s="35" t="n">
        <v>1</v>
      </c>
      <c r="D4" s="35" t="n">
        <v>2</v>
      </c>
      <c r="E4" s="35" t="n">
        <v>3</v>
      </c>
      <c r="F4" s="35" t="n">
        <v>4</v>
      </c>
      <c r="G4" s="35" t="n">
        <v>5</v>
      </c>
      <c r="H4" s="35" t="n">
        <v>6</v>
      </c>
      <c r="I4" s="35" t="n">
        <v>7</v>
      </c>
      <c r="J4" s="35" t="n">
        <v>8</v>
      </c>
      <c r="K4" s="35" t="n">
        <v>9</v>
      </c>
      <c r="L4" s="35" t="n">
        <v>10</v>
      </c>
      <c r="M4" s="35" t="n">
        <v>11</v>
      </c>
      <c r="N4" s="35" t="n">
        <v>12</v>
      </c>
      <c r="O4" s="35" t="n">
        <v>13</v>
      </c>
      <c r="P4" s="35" t="n">
        <v>14</v>
      </c>
      <c r="Q4" s="35" t="n">
        <v>15</v>
      </c>
      <c r="R4" s="35" t="n">
        <v>16</v>
      </c>
      <c r="S4" s="35" t="n">
        <v>17</v>
      </c>
      <c r="T4" s="35" t="n">
        <v>18</v>
      </c>
      <c r="U4" s="35" t="n">
        <v>19</v>
      </c>
      <c r="V4" s="36" t="n">
        <v>20</v>
      </c>
    </row>
    <row r="5" customFormat="false" ht="13.5" hidden="false" customHeight="false" outlineLevel="0" collapsed="false">
      <c r="A5" s="37" t="s">
        <v>5</v>
      </c>
      <c r="B5" s="38"/>
      <c r="C5" s="39"/>
      <c r="D5" s="39"/>
      <c r="E5" s="39"/>
      <c r="F5" s="39"/>
      <c r="G5" s="40"/>
      <c r="H5" s="41"/>
      <c r="I5" s="39"/>
      <c r="J5" s="40"/>
      <c r="K5" s="41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</row>
    <row r="6" customFormat="false" ht="13.5" hidden="false" customHeight="false" outlineLevel="0" collapsed="false">
      <c r="A6" s="42" t="s">
        <v>6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7"/>
    </row>
    <row r="7" customFormat="false" ht="12.75" hidden="true" customHeight="false" outlineLevel="0" collapsed="false">
      <c r="A7" s="43" t="s">
        <v>26</v>
      </c>
      <c r="B7" s="44" t="n">
        <f aca="false">SUM(C7:V7)</f>
        <v>0</v>
      </c>
      <c r="C7" s="45" t="n">
        <f aca="false">SUMIF('Table G.4'!$C$5:$C$142,C4,'Table G.4'!$N$5:$N$142)</f>
        <v>0</v>
      </c>
      <c r="D7" s="45" t="n">
        <f aca="false">SUMIF('Table G.4'!$C$5:$C$142,D4,'Table G.4'!$N$5:$N$142)</f>
        <v>0</v>
      </c>
      <c r="E7" s="45" t="n">
        <f aca="false">SUMIF('Table G.4'!$C$5:$C$142,E4,'Table G.4'!$N$5:$N$142)</f>
        <v>0</v>
      </c>
      <c r="F7" s="45" t="n">
        <f aca="false">SUMIF('Table G.4'!$C$5:$C$142,F4,'Table G.4'!$N$5:$N$142)</f>
        <v>0</v>
      </c>
      <c r="G7" s="45" t="n">
        <f aca="false">SUMIF('Table G.4'!$C$5:$C$142,G4,'Table G.4'!$N$5:$N$142)</f>
        <v>0</v>
      </c>
      <c r="H7" s="45" t="n">
        <f aca="false">SUMIF('Table G.4'!$C$5:$C$142,H4,'Table G.4'!$N$5:$N$142)</f>
        <v>0</v>
      </c>
      <c r="I7" s="45" t="n">
        <f aca="false">SUMIF('Table G.4'!$C$5:$C$142,I4,'Table G.4'!$N$5:$N$142)</f>
        <v>0</v>
      </c>
      <c r="J7" s="45" t="n">
        <f aca="false">SUMIF('Table G.4'!$C$5:$C$142,J4,'Table G.4'!$N$5:$N$142)</f>
        <v>0</v>
      </c>
      <c r="K7" s="45" t="n">
        <f aca="false">SUMIF('Table G.4'!$C$5:$C$142,K4,'Table G.4'!$N$5:$N$142)</f>
        <v>0</v>
      </c>
      <c r="L7" s="45" t="n">
        <f aca="false">SUMIF('Table G.4'!$C$5:$C$142,L4,'Table G.4'!$N$5:$N$142)</f>
        <v>0</v>
      </c>
      <c r="M7" s="45" t="n">
        <f aca="false">SUMIF('Table G.4'!$C$5:$C$142,M4,'Table G.4'!$N$5:$N$142)</f>
        <v>0</v>
      </c>
      <c r="N7" s="45" t="n">
        <f aca="false">SUMIF('Table G.4'!$C$5:$C$142,N4,'Table G.4'!$N$5:$N$142)</f>
        <v>0</v>
      </c>
      <c r="O7" s="45" t="n">
        <f aca="false">SUMIF('Table G.4'!$C$5:$C$142,O4,'Table G.4'!$N$5:$N$142)</f>
        <v>0</v>
      </c>
      <c r="P7" s="45" t="n">
        <f aca="false">SUMIF('Table G.4'!$C$5:$C$142,P4,'Table G.4'!$N$5:$N$142)</f>
        <v>0</v>
      </c>
      <c r="Q7" s="45" t="n">
        <f aca="false">SUMIF('Table G.4'!$C$5:$C$142,Q4,'Table G.4'!$N$5:$N$142)</f>
        <v>0</v>
      </c>
      <c r="R7" s="45" t="n">
        <f aca="false">SUMIF('Table G.4'!$C$5:$C$142,R4,'Table G.4'!$N$5:$N$142)</f>
        <v>0</v>
      </c>
      <c r="S7" s="45" t="n">
        <f aca="false">SUMIF('Table G.4'!$C$5:$C$142,S4,'Table G.4'!$N$5:$N$142)</f>
        <v>0</v>
      </c>
      <c r="T7" s="45" t="n">
        <f aca="false">SUMIF('Table G.4'!$C$5:$C$142,T4,'Table G.4'!$N$5:$N$142)</f>
        <v>0</v>
      </c>
      <c r="U7" s="45" t="n">
        <f aca="false">SUMIF('Table G.4'!$C$5:$C$142,U4,'Table G.4'!$N$5:$N$142)</f>
        <v>0</v>
      </c>
      <c r="V7" s="45" t="n">
        <f aca="false">SUMIF('Table G.4'!$C$5:$C$142,V4,'Table G.4'!$N$5:$N$142)</f>
        <v>0</v>
      </c>
    </row>
    <row r="8" customFormat="false" ht="12.75" hidden="true" customHeight="false" outlineLevel="0" collapsed="false">
      <c r="A8" s="46" t="s">
        <v>27</v>
      </c>
      <c r="B8" s="47" t="n">
        <f aca="false">SUM(C8:V8)</f>
        <v>0</v>
      </c>
      <c r="C8" s="48" t="n">
        <f aca="false">SUMIF('Table G.4'!$C$5:$C$142,C4,'Table G.4'!$O$5:$O$142)</f>
        <v>0</v>
      </c>
      <c r="D8" s="48" t="n">
        <f aca="false">SUMIF('Table G.4'!$C$5:$C$142,D4,'Table G.4'!$O$5:$O$142)</f>
        <v>0</v>
      </c>
      <c r="E8" s="48" t="n">
        <f aca="false">SUMIF('Table G.4'!$C$5:$C$142,E4,'Table G.4'!$O$5:$O$142)</f>
        <v>0</v>
      </c>
      <c r="F8" s="48" t="n">
        <f aca="false">SUMIF('Table G.4'!$C$5:$C$142,F4,'Table G.4'!$O$5:$O$142)</f>
        <v>0</v>
      </c>
      <c r="G8" s="48" t="n">
        <f aca="false">SUMIF('Table G.4'!$C$5:$C$142,G4,'Table G.4'!$O$5:$O$142)</f>
        <v>0</v>
      </c>
      <c r="H8" s="48" t="n">
        <f aca="false">SUMIF('Table G.4'!$C$5:$C$142,H4,'Table G.4'!$O$5:$O$142)</f>
        <v>0</v>
      </c>
      <c r="I8" s="48" t="n">
        <f aca="false">SUMIF('Table G.4'!$C$5:$C$142,I4,'Table G.4'!$O$5:$O$142)</f>
        <v>0</v>
      </c>
      <c r="J8" s="48" t="n">
        <f aca="false">SUMIF('Table G.4'!$C$5:$C$142,J4,'Table G.4'!$O$5:$O$142)</f>
        <v>0</v>
      </c>
      <c r="K8" s="48" t="n">
        <f aca="false">SUMIF('Table G.4'!$C$5:$C$142,K4,'Table G.4'!$O$5:$O$142)</f>
        <v>0</v>
      </c>
      <c r="L8" s="48" t="n">
        <f aca="false">SUMIF('Table G.4'!$C$5:$C$142,L4,'Table G.4'!$O$5:$O$142)</f>
        <v>0</v>
      </c>
      <c r="M8" s="48" t="n">
        <f aca="false">SUMIF('Table G.4'!$C$5:$C$142,M4,'Table G.4'!$O$5:$O$142)</f>
        <v>0</v>
      </c>
      <c r="N8" s="48" t="n">
        <f aca="false">SUMIF('Table G.4'!$C$5:$C$142,N4,'Table G.4'!$O$5:$O$142)</f>
        <v>0</v>
      </c>
      <c r="O8" s="48" t="n">
        <f aca="false">SUMIF('Table G.4'!$C$5:$C$142,O4,'Table G.4'!$O$5:$O$142)</f>
        <v>0</v>
      </c>
      <c r="P8" s="48" t="n">
        <f aca="false">SUMIF('Table G.4'!$C$5:$C$142,P4,'Table G.4'!$O$5:$O$142)</f>
        <v>0</v>
      </c>
      <c r="Q8" s="48" t="n">
        <f aca="false">SUMIF('Table G.4'!$C$5:$C$142,Q4,'Table G.4'!$O$5:$O$142)</f>
        <v>0</v>
      </c>
      <c r="R8" s="48" t="n">
        <f aca="false">SUMIF('Table G.4'!$C$5:$C$142,R4,'Table G.4'!$O$5:$O$142)</f>
        <v>0</v>
      </c>
      <c r="S8" s="48" t="n">
        <f aca="false">SUMIF('Table G.4'!$C$5:$C$142,S4,'Table G.4'!$O$5:$O$142)</f>
        <v>0</v>
      </c>
      <c r="T8" s="48" t="n">
        <f aca="false">SUMIF('Table G.4'!$C$5:$C$142,T4,'Table G.4'!$O$5:$O$142)</f>
        <v>0</v>
      </c>
      <c r="U8" s="48" t="n">
        <f aca="false">SUMIF('Table G.4'!$C$5:$C$142,U4,'Table G.4'!$O$5:$O$142)</f>
        <v>0</v>
      </c>
      <c r="V8" s="48" t="n">
        <f aca="false">SUMIF('Table G.4'!$C$5:$C$142,V4,'Table G.4'!$O$5:$O$142)</f>
        <v>0</v>
      </c>
    </row>
    <row r="9" customFormat="false" ht="12.75" hidden="false" customHeight="false" outlineLevel="0" collapsed="false">
      <c r="A9" s="13" t="s">
        <v>28</v>
      </c>
      <c r="B9" s="49" t="n">
        <f aca="false">SUM(C9:V9)</f>
        <v>0</v>
      </c>
      <c r="C9" s="49" t="n">
        <f aca="false">SUM(C7:C8)</f>
        <v>0</v>
      </c>
      <c r="D9" s="49" t="n">
        <f aca="false">SUM(D7:D8)</f>
        <v>0</v>
      </c>
      <c r="E9" s="49" t="n">
        <f aca="false">SUM(E7:E8)</f>
        <v>0</v>
      </c>
      <c r="F9" s="49" t="n">
        <f aca="false">SUM(F7:F8)</f>
        <v>0</v>
      </c>
      <c r="G9" s="49" t="n">
        <f aca="false">SUM(G7:G8)</f>
        <v>0</v>
      </c>
      <c r="H9" s="49" t="n">
        <f aca="false">SUM(H7:H8)</f>
        <v>0</v>
      </c>
      <c r="I9" s="49" t="n">
        <f aca="false">SUM(I7:I8)</f>
        <v>0</v>
      </c>
      <c r="J9" s="49" t="n">
        <f aca="false">SUM(J7:J8)</f>
        <v>0</v>
      </c>
      <c r="K9" s="49" t="n">
        <f aca="false">SUM(K7:K8)</f>
        <v>0</v>
      </c>
      <c r="L9" s="49" t="n">
        <f aca="false">SUM(L7:L8)</f>
        <v>0</v>
      </c>
      <c r="M9" s="49" t="n">
        <f aca="false">SUM(M7:M8)</f>
        <v>0</v>
      </c>
      <c r="N9" s="49" t="n">
        <f aca="false">SUM(N7:N8)</f>
        <v>0</v>
      </c>
      <c r="O9" s="49" t="n">
        <f aca="false">SUM(O7:O8)</f>
        <v>0</v>
      </c>
      <c r="P9" s="49" t="n">
        <f aca="false">SUM(P7:P8)</f>
        <v>0</v>
      </c>
      <c r="Q9" s="49" t="n">
        <f aca="false">SUM(Q7:Q8)</f>
        <v>0</v>
      </c>
      <c r="R9" s="49" t="n">
        <f aca="false">SUM(R7:R8)</f>
        <v>0</v>
      </c>
      <c r="S9" s="49" t="n">
        <f aca="false">SUM(S7:S8)</f>
        <v>0</v>
      </c>
      <c r="T9" s="49" t="n">
        <f aca="false">SUM(T7:T8)</f>
        <v>0</v>
      </c>
      <c r="U9" s="49" t="n">
        <f aca="false">SUM(U7:U8)</f>
        <v>0</v>
      </c>
      <c r="V9" s="49" t="n">
        <f aca="false">SUM(V7:V8)</f>
        <v>0</v>
      </c>
    </row>
    <row r="10" customFormat="false" ht="12.75" hidden="true" customHeight="false" outlineLevel="0" collapsed="false">
      <c r="A10" s="46" t="s">
        <v>29</v>
      </c>
      <c r="B10" s="50" t="n">
        <f aca="false">SUM(C10:V10)</f>
        <v>0</v>
      </c>
      <c r="C10" s="50" t="n">
        <f aca="false">SUMIF('Table G.5.a'!$C$6:$C$40,C4,'Table G.5.a'!$H$6:$H$40)</f>
        <v>0</v>
      </c>
      <c r="D10" s="50" t="n">
        <f aca="false">SUMIF('Table G.5.a'!$C$6:$C$40,D4,'Table G.5.a'!$H$6:$H$40)</f>
        <v>0</v>
      </c>
      <c r="E10" s="50" t="n">
        <f aca="false">SUMIF('Table G.5.a'!$C$6:$C$40,E4,'Table G.5.a'!$H$6:$H$40)</f>
        <v>0</v>
      </c>
      <c r="F10" s="50" t="n">
        <f aca="false">SUMIF('Table G.5.a'!$C$6:$C$40,F4,'Table G.5.a'!$H$6:$H$40)</f>
        <v>0</v>
      </c>
      <c r="G10" s="50" t="n">
        <f aca="false">SUMIF('Table G.5.a'!$C$6:$C$40,G4,'Table G.5.a'!$H$6:$H$40)</f>
        <v>0</v>
      </c>
      <c r="H10" s="50" t="n">
        <f aca="false">SUMIF('Table G.5.a'!$C$6:$C$40,H4,'Table G.5.a'!$H$6:$H$40)</f>
        <v>0</v>
      </c>
      <c r="I10" s="50" t="n">
        <f aca="false">SUMIF('Table G.5.a'!$C$6:$C$40,I4,'Table G.5.a'!$H$6:$H$40)</f>
        <v>0</v>
      </c>
      <c r="J10" s="50" t="n">
        <f aca="false">SUMIF('Table G.5.a'!$C$6:$C$40,J4,'Table G.5.a'!$H$6:$H$40)</f>
        <v>0</v>
      </c>
      <c r="K10" s="50" t="n">
        <f aca="false">SUMIF('Table G.5.a'!$C$6:$C$40,K4,'Table G.5.a'!$H$6:$H$40)</f>
        <v>0</v>
      </c>
      <c r="L10" s="50" t="n">
        <f aca="false">SUMIF('Table G.5.a'!$C$6:$C$40,L4,'Table G.5.a'!$H$6:$H$40)</f>
        <v>0</v>
      </c>
      <c r="M10" s="50" t="n">
        <f aca="false">SUMIF('Table G.5.a'!$C$6:$C$40,M4,'Table G.5.a'!$H$6:$H$40)</f>
        <v>0</v>
      </c>
      <c r="N10" s="50" t="n">
        <f aca="false">SUMIF('Table G.5.a'!$C$6:$C$40,N4,'Table G.5.a'!$H$6:$H$40)</f>
        <v>0</v>
      </c>
      <c r="O10" s="50" t="n">
        <f aca="false">SUMIF('Table G.5.a'!$C$6:$C$40,O4,'Table G.5.a'!$H$6:$H$40)</f>
        <v>0</v>
      </c>
      <c r="P10" s="50" t="n">
        <f aca="false">SUMIF('Table G.5.a'!$C$6:$C$40,P4,'Table G.5.a'!$H$6:$H$40)</f>
        <v>0</v>
      </c>
      <c r="Q10" s="50" t="n">
        <f aca="false">SUMIF('Table G.5.a'!$C$6:$C$40,Q4,'Table G.5.a'!$H$6:$H$40)</f>
        <v>0</v>
      </c>
      <c r="R10" s="50" t="n">
        <f aca="false">SUMIF('Table G.5.a'!$C$6:$C$40,R4,'Table G.5.a'!$H$6:$H$40)</f>
        <v>0</v>
      </c>
      <c r="S10" s="50" t="n">
        <f aca="false">SUMIF('Table G.5.a'!$C$6:$C$40,S4,'Table G.5.a'!$H$6:$H$40)</f>
        <v>0</v>
      </c>
      <c r="T10" s="50" t="n">
        <f aca="false">SUMIF('Table G.5.a'!$C$6:$C$40,T4,'Table G.5.a'!$H$6:$H$40)</f>
        <v>0</v>
      </c>
      <c r="U10" s="50" t="n">
        <f aca="false">SUMIF('Table G.5.a'!$C$6:$C$40,U4,'Table G.5.a'!$H$6:$H$40)</f>
        <v>0</v>
      </c>
      <c r="V10" s="50" t="n">
        <f aca="false">SUMIF('Table G.5.a'!$C$6:$C$40,V4,'Table G.5.a'!$H$6:$H$40)</f>
        <v>0</v>
      </c>
    </row>
    <row r="11" customFormat="false" ht="12.75" hidden="true" customHeight="false" outlineLevel="0" collapsed="false">
      <c r="A11" s="46" t="s">
        <v>30</v>
      </c>
      <c r="B11" s="50" t="n">
        <f aca="false">SUM(C11:V11)</f>
        <v>0</v>
      </c>
      <c r="C11" s="50" t="n">
        <f aca="false">SUMIF('Table G.5.b'!$C$6:$C$40,C4,'Table G.5.b'!$K$6:$K$40)</f>
        <v>0</v>
      </c>
      <c r="D11" s="50" t="n">
        <f aca="false">SUMIF('Table G.5.b'!$C$6:$C$40,D4,'Table G.5.b'!$K$6:$K$40)</f>
        <v>0</v>
      </c>
      <c r="E11" s="50" t="n">
        <f aca="false">SUMIF('Table G.5.b'!$C$6:$C$40,E4,'Table G.5.b'!$K$6:$K$40)</f>
        <v>0</v>
      </c>
      <c r="F11" s="50" t="n">
        <f aca="false">SUMIF('Table G.5.b'!$C$6:$C$40,F4,'Table G.5.b'!$K$6:$K$40)</f>
        <v>0</v>
      </c>
      <c r="G11" s="50" t="n">
        <f aca="false">SUMIF('Table G.5.b'!$C$6:$C$40,G4,'Table G.5.b'!$K$6:$K$40)</f>
        <v>0</v>
      </c>
      <c r="H11" s="50" t="n">
        <f aca="false">SUMIF('Table G.5.b'!$C$6:$C$40,H4,'Table G.5.b'!$K$6:$K$40)</f>
        <v>0</v>
      </c>
      <c r="I11" s="50" t="n">
        <f aca="false">SUMIF('Table G.5.b'!$C$6:$C$40,I4,'Table G.5.b'!$K$6:$K$40)</f>
        <v>0</v>
      </c>
      <c r="J11" s="50" t="n">
        <f aca="false">SUMIF('Table G.5.b'!$C$6:$C$40,J4,'Table G.5.b'!$K$6:$K$40)</f>
        <v>0</v>
      </c>
      <c r="K11" s="50" t="n">
        <f aca="false">SUMIF('Table G.5.b'!$C$6:$C$40,K4,'Table G.5.b'!$K$6:$K$40)</f>
        <v>0</v>
      </c>
      <c r="L11" s="50" t="n">
        <f aca="false">SUMIF('Table G.5.b'!$C$6:$C$40,L4,'Table G.5.b'!$K$6:$K$40)</f>
        <v>0</v>
      </c>
      <c r="M11" s="50" t="n">
        <f aca="false">SUMIF('Table G.5.b'!$C$6:$C$40,M4,'Table G.5.b'!$K$6:$K$40)</f>
        <v>0</v>
      </c>
      <c r="N11" s="50" t="n">
        <f aca="false">SUMIF('Table G.5.b'!$C$6:$C$40,N4,'Table G.5.b'!$K$6:$K$40)</f>
        <v>0</v>
      </c>
      <c r="O11" s="50" t="n">
        <f aca="false">SUMIF('Table G.5.b'!$C$6:$C$40,O4,'Table G.5.b'!$K$6:$K$40)</f>
        <v>0</v>
      </c>
      <c r="P11" s="50" t="n">
        <f aca="false">SUMIF('Table G.5.b'!$C$6:$C$40,P4,'Table G.5.b'!$K$6:$K$40)</f>
        <v>0</v>
      </c>
      <c r="Q11" s="50" t="n">
        <f aca="false">SUMIF('Table G.5.b'!$C$6:$C$40,Q4,'Table G.5.b'!$K$6:$K$40)</f>
        <v>0</v>
      </c>
      <c r="R11" s="50" t="n">
        <f aca="false">SUMIF('Table G.5.b'!$C$6:$C$40,R4,'Table G.5.b'!$K$6:$K$40)</f>
        <v>0</v>
      </c>
      <c r="S11" s="50" t="n">
        <f aca="false">SUMIF('Table G.5.b'!$C$6:$C$40,S4,'Table G.5.b'!$K$6:$K$40)</f>
        <v>0</v>
      </c>
      <c r="T11" s="50" t="n">
        <f aca="false">SUMIF('Table G.5.b'!$C$6:$C$40,T4,'Table G.5.b'!$K$6:$K$40)</f>
        <v>0</v>
      </c>
      <c r="U11" s="50" t="n">
        <f aca="false">SUMIF('Table G.5.b'!$C$6:$C$40,U4,'Table G.5.b'!$K$6:$K$40)</f>
        <v>0</v>
      </c>
      <c r="V11" s="50" t="n">
        <f aca="false">SUMIF('Table G.5.b'!$C$6:$C$40,V4,'Table G.5.b'!$K$6:$K$40)</f>
        <v>0</v>
      </c>
    </row>
    <row r="12" customFormat="false" ht="12.75" hidden="true" customHeight="false" outlineLevel="0" collapsed="false">
      <c r="A12" s="46" t="s">
        <v>31</v>
      </c>
      <c r="B12" s="51" t="n">
        <f aca="false">SUM(C12:V12)</f>
        <v>0</v>
      </c>
      <c r="C12" s="51" t="n">
        <f aca="false">SUMIF('Table G.5.c'!$C$6:$C$40,C4,'Table G.5.c'!$I$6:$I$40)</f>
        <v>0</v>
      </c>
      <c r="D12" s="51" t="n">
        <f aca="false">SUMIF('Table G.5.c'!$C$6:$C$40,D4,'Table G.5.c'!$I$6:$I$40)</f>
        <v>0</v>
      </c>
      <c r="E12" s="51" t="n">
        <f aca="false">SUMIF('Table G.5.c'!$C$6:$C$40,E4,'Table G.5.c'!$I$6:$I$40)</f>
        <v>0</v>
      </c>
      <c r="F12" s="51" t="n">
        <f aca="false">SUMIF('Table G.5.c'!$C$6:$C$40,F4,'Table G.5.c'!$I$6:$I$40)</f>
        <v>0</v>
      </c>
      <c r="G12" s="51" t="n">
        <f aca="false">SUMIF('Table G.5.c'!$C$6:$C$40,G4,'Table G.5.c'!$I$6:$I$40)</f>
        <v>0</v>
      </c>
      <c r="H12" s="51" t="n">
        <f aca="false">SUMIF('Table G.5.c'!$C$6:$C$40,H4,'Table G.5.c'!$I$6:$I$40)</f>
        <v>0</v>
      </c>
      <c r="I12" s="51" t="n">
        <f aca="false">SUMIF('Table G.5.c'!$C$6:$C$40,I4,'Table G.5.c'!$I$6:$I$40)</f>
        <v>0</v>
      </c>
      <c r="J12" s="51" t="n">
        <f aca="false">SUMIF('Table G.5.c'!$C$6:$C$40,J4,'Table G.5.c'!$I$6:$I$40)</f>
        <v>0</v>
      </c>
      <c r="K12" s="51" t="n">
        <f aca="false">SUMIF('Table G.5.c'!$C$6:$C$40,K4,'Table G.5.c'!$I$6:$I$40)</f>
        <v>0</v>
      </c>
      <c r="L12" s="51" t="n">
        <f aca="false">SUMIF('Table G.5.c'!$C$6:$C$40,L4,'Table G.5.c'!$I$6:$I$40)</f>
        <v>0</v>
      </c>
      <c r="M12" s="51" t="n">
        <f aca="false">SUMIF('Table G.5.c'!$C$6:$C$40,M4,'Table G.5.c'!$I$6:$I$40)</f>
        <v>0</v>
      </c>
      <c r="N12" s="51" t="n">
        <f aca="false">SUMIF('Table G.5.c'!$C$6:$C$40,N4,'Table G.5.c'!$I$6:$I$40)</f>
        <v>0</v>
      </c>
      <c r="O12" s="51" t="n">
        <f aca="false">SUMIF('Table G.5.c'!$C$6:$C$40,O4,'Table G.5.c'!$I$6:$I$40)</f>
        <v>0</v>
      </c>
      <c r="P12" s="51" t="n">
        <f aca="false">SUMIF('Table G.5.c'!$C$6:$C$40,P4,'Table G.5.c'!$I$6:$I$40)</f>
        <v>0</v>
      </c>
      <c r="Q12" s="51" t="n">
        <f aca="false">SUMIF('Table G.5.c'!$C$6:$C$40,Q4,'Table G.5.c'!$I$6:$I$40)</f>
        <v>0</v>
      </c>
      <c r="R12" s="51" t="n">
        <f aca="false">SUMIF('Table G.5.c'!$C$6:$C$40,R4,'Table G.5.c'!$I$6:$I$40)</f>
        <v>0</v>
      </c>
      <c r="S12" s="51" t="n">
        <f aca="false">SUMIF('Table G.5.c'!$C$6:$C$40,S4,'Table G.5.c'!$I$6:$I$40)</f>
        <v>0</v>
      </c>
      <c r="T12" s="51" t="n">
        <f aca="false">SUMIF('Table G.5.c'!$C$6:$C$40,T4,'Table G.5.c'!$I$6:$I$40)</f>
        <v>0</v>
      </c>
      <c r="U12" s="51" t="n">
        <f aca="false">SUMIF('Table G.5.c'!$C$6:$C$40,U4,'Table G.5.c'!$I$6:$I$40)</f>
        <v>0</v>
      </c>
      <c r="V12" s="51" t="n">
        <f aca="false">SUMIF('Table G.5.c'!$C$6:$C$40,V4,'Table G.5.c'!$I$6:$I$40)</f>
        <v>0</v>
      </c>
    </row>
    <row r="13" customFormat="false" ht="12.75" hidden="false" customHeight="false" outlineLevel="0" collapsed="false">
      <c r="A13" s="13" t="s">
        <v>8</v>
      </c>
      <c r="B13" s="52" t="n">
        <f aca="false">SUM(C13:V13)</f>
        <v>0</v>
      </c>
      <c r="C13" s="52" t="n">
        <f aca="false">SUM(C10:C12)</f>
        <v>0</v>
      </c>
      <c r="D13" s="52" t="n">
        <f aca="false">SUM(D10:D12)</f>
        <v>0</v>
      </c>
      <c r="E13" s="52" t="n">
        <f aca="false">SUM(E10:E12)</f>
        <v>0</v>
      </c>
      <c r="F13" s="52" t="n">
        <f aca="false">SUM(F10:F12)</f>
        <v>0</v>
      </c>
      <c r="G13" s="52" t="n">
        <f aca="false">SUM(G10:G12)</f>
        <v>0</v>
      </c>
      <c r="H13" s="52" t="n">
        <f aca="false">SUM(H10:H12)</f>
        <v>0</v>
      </c>
      <c r="I13" s="52" t="n">
        <f aca="false">SUM(I10:I12)</f>
        <v>0</v>
      </c>
      <c r="J13" s="52" t="n">
        <f aca="false">SUM(J10:J12)</f>
        <v>0</v>
      </c>
      <c r="K13" s="52" t="n">
        <f aca="false">SUM(K10:K12)</f>
        <v>0</v>
      </c>
      <c r="L13" s="52" t="n">
        <f aca="false">SUM(L10:L12)</f>
        <v>0</v>
      </c>
      <c r="M13" s="52" t="n">
        <f aca="false">SUM(M10:M12)</f>
        <v>0</v>
      </c>
      <c r="N13" s="52" t="n">
        <f aca="false">SUM(N10:N12)</f>
        <v>0</v>
      </c>
      <c r="O13" s="52" t="n">
        <f aca="false">SUM(O10:O12)</f>
        <v>0</v>
      </c>
      <c r="P13" s="52" t="n">
        <f aca="false">SUM(P10:P12)</f>
        <v>0</v>
      </c>
      <c r="Q13" s="52" t="n">
        <f aca="false">SUM(Q10:Q12)</f>
        <v>0</v>
      </c>
      <c r="R13" s="52" t="n">
        <f aca="false">SUM(R10:R12)</f>
        <v>0</v>
      </c>
      <c r="S13" s="52" t="n">
        <f aca="false">SUM(S10:S12)</f>
        <v>0</v>
      </c>
      <c r="T13" s="52" t="n">
        <f aca="false">SUM(T10:T12)</f>
        <v>0</v>
      </c>
      <c r="U13" s="52" t="n">
        <f aca="false">SUM(U10:U12)</f>
        <v>0</v>
      </c>
      <c r="V13" s="52" t="n">
        <f aca="false">SUM(V10:V12)</f>
        <v>0</v>
      </c>
    </row>
    <row r="14" customFormat="false" ht="12.75" hidden="false" customHeight="false" outlineLevel="0" collapsed="false">
      <c r="A14" s="13" t="s">
        <v>9</v>
      </c>
      <c r="B14" s="52" t="n">
        <f aca="false">SUM(C14:V14)</f>
        <v>4</v>
      </c>
      <c r="C14" s="52" t="n">
        <f aca="false">SUMIF('Table G.6'!$C$5:$C$39,C4,'Table G.6'!$H$5:$H$39)</f>
        <v>0</v>
      </c>
      <c r="D14" s="52" t="n">
        <f aca="false">SUMIF('Table G.6'!$C$5:$C$39,D4,'Table G.6'!$H$5:$H$39)</f>
        <v>0</v>
      </c>
      <c r="E14" s="52" t="n">
        <f aca="false">SUMIF('Table G.6'!$C$5:$C$39,E4,'Table G.6'!$H$5:$H$39)</f>
        <v>0</v>
      </c>
      <c r="F14" s="52" t="n">
        <f aca="false">4</f>
        <v>4</v>
      </c>
      <c r="G14" s="52" t="n">
        <f aca="false">SUMIF('Table G.6'!$C$5:$C$39,G4,'Table G.6'!$H$5:$H$39)</f>
        <v>0</v>
      </c>
      <c r="H14" s="52" t="n">
        <f aca="false">SUMIF('Table G.6'!$C$5:$C$39,H4,'Table G.6'!$H$5:$H$39)</f>
        <v>0</v>
      </c>
      <c r="I14" s="52" t="n">
        <f aca="false">SUMIF('Table G.6'!$C$5:$C$39,I4,'Table G.6'!$H$5:$H$39)</f>
        <v>0</v>
      </c>
      <c r="J14" s="52" t="n">
        <f aca="false">SUMIF('Table G.6'!$C$5:$C$39,J4,'Table G.6'!$H$5:$H$39)</f>
        <v>0</v>
      </c>
      <c r="K14" s="52" t="n">
        <f aca="false">SUMIF('Table G.6'!$C$5:$C$39,K4,'Table G.6'!$H$5:$H$39)</f>
        <v>0</v>
      </c>
      <c r="L14" s="52" t="n">
        <f aca="false">SUMIF('Table G.6'!$C$5:$C$39,L4,'Table G.6'!$H$5:$H$39)</f>
        <v>0</v>
      </c>
      <c r="M14" s="52" t="n">
        <f aca="false">SUMIF('Table G.6'!$C$5:$C$39,M4,'Table G.6'!$H$5:$H$39)</f>
        <v>0</v>
      </c>
      <c r="N14" s="52" t="n">
        <f aca="false">SUMIF('Table G.6'!$C$5:$C$39,N4,'Table G.6'!$H$5:$H$39)</f>
        <v>0</v>
      </c>
      <c r="O14" s="52" t="n">
        <f aca="false">SUMIF('Table G.6'!$C$5:$C$39,O4,'Table G.6'!$H$5:$H$39)</f>
        <v>0</v>
      </c>
      <c r="P14" s="52" t="n">
        <f aca="false">SUMIF('Table G.6'!$C$5:$C$39,P4,'Table G.6'!$H$5:$H$39)</f>
        <v>0</v>
      </c>
      <c r="Q14" s="52" t="n">
        <f aca="false">SUMIF('Table G.6'!$C$5:$C$39,Q4,'Table G.6'!$H$5:$H$39)</f>
        <v>0</v>
      </c>
      <c r="R14" s="52" t="n">
        <f aca="false">SUMIF('Table G.6'!$C$5:$C$39,R4,'Table G.6'!$H$5:$H$39)</f>
        <v>0</v>
      </c>
      <c r="S14" s="52" t="n">
        <f aca="false">SUMIF('Table G.6'!$C$5:$C$39,S4,'Table G.6'!$H$5:$H$39)</f>
        <v>0</v>
      </c>
      <c r="T14" s="52" t="n">
        <f aca="false">SUMIF('Table G.6'!$C$5:$C$39,T4,'Table G.6'!$H$5:$H$39)</f>
        <v>0</v>
      </c>
      <c r="U14" s="52" t="n">
        <f aca="false">SUMIF('Table G.6'!$C$5:$C$39,U4,'Table G.6'!$H$5:$H$39)</f>
        <v>0</v>
      </c>
      <c r="V14" s="52" t="n">
        <f aca="false">SUMIF('Table G.6'!$C$5:$C$39,V4,'Table G.6'!$H$5:$H$39)</f>
        <v>0</v>
      </c>
    </row>
    <row r="15" customFormat="false" ht="12.75" hidden="false" customHeight="false" outlineLevel="0" collapsed="false">
      <c r="A15" s="13" t="s">
        <v>10</v>
      </c>
      <c r="B15" s="53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</row>
    <row r="16" customFormat="false" ht="13.5" hidden="false" customHeight="false" outlineLevel="0" collapsed="false">
      <c r="A16" s="13" t="s">
        <v>11</v>
      </c>
      <c r="B16" s="52" t="n">
        <f aca="false">SUM(C16:V16)</f>
        <v>0</v>
      </c>
      <c r="C16" s="52" t="n">
        <f aca="false">SUMIF('Table G.7'!$C$5:$C$39,C4,'Table G.7'!$H$5:$H$39)</f>
        <v>0</v>
      </c>
      <c r="D16" s="52" t="n">
        <f aca="false">SUMIF('Table G.7'!$C$5:$C$39,D4,'Table G.7'!$H$5:$H$39)</f>
        <v>0</v>
      </c>
      <c r="E16" s="52" t="n">
        <f aca="false">SUMIF('Table G.7'!$C$5:$C$39,E4,'Table G.7'!$H$5:$H$39)</f>
        <v>0</v>
      </c>
      <c r="F16" s="52" t="n">
        <f aca="false">SUMIF('Table G.7'!$C$5:$C$39,F4,'Table G.7'!$H$5:$H$39)</f>
        <v>0</v>
      </c>
      <c r="G16" s="52" t="n">
        <f aca="false">SUMIF('Table G.7'!$C$5:$C$39,G4,'Table G.7'!$H$5:$H$39)</f>
        <v>0</v>
      </c>
      <c r="H16" s="52" t="n">
        <f aca="false">SUMIF('Table G.7'!$C$5:$C$39,H4,'Table G.7'!$H$5:$H$39)</f>
        <v>0</v>
      </c>
      <c r="I16" s="52" t="n">
        <f aca="false">SUMIF('Table G.7'!$C$5:$C$39,I4,'Table G.7'!$H$5:$H$39)</f>
        <v>0</v>
      </c>
      <c r="J16" s="52" t="n">
        <f aca="false">SUMIF('Table G.7'!$C$5:$C$39,J4,'Table G.7'!$H$5:$H$39)</f>
        <v>0</v>
      </c>
      <c r="K16" s="52" t="n">
        <f aca="false">SUMIF('Table G.7'!$C$5:$C$39,K4,'Table G.7'!$H$5:$H$39)</f>
        <v>0</v>
      </c>
      <c r="L16" s="52" t="n">
        <f aca="false">SUMIF('Table G.7'!$C$5:$C$39,L4,'Table G.7'!$H$5:$H$39)</f>
        <v>0</v>
      </c>
      <c r="M16" s="52" t="n">
        <f aca="false">SUMIF('Table G.7'!$C$5:$C$39,M4,'Table G.7'!$H$5:$H$39)</f>
        <v>0</v>
      </c>
      <c r="N16" s="52" t="n">
        <f aca="false">SUMIF('Table G.7'!$C$5:$C$39,N4,'Table G.7'!$H$5:$H$39)</f>
        <v>0</v>
      </c>
      <c r="O16" s="52" t="n">
        <f aca="false">SUMIF('Table G.7'!$C$5:$C$39,O4,'Table G.7'!$H$5:$H$39)</f>
        <v>0</v>
      </c>
      <c r="P16" s="52" t="n">
        <f aca="false">SUMIF('Table G.7'!$C$5:$C$39,P4,'Table G.7'!$H$5:$H$39)</f>
        <v>0</v>
      </c>
      <c r="Q16" s="52" t="n">
        <f aca="false">SUMIF('Table G.7'!$C$5:$C$39,Q4,'Table G.7'!$H$5:$H$39)</f>
        <v>0</v>
      </c>
      <c r="R16" s="52" t="n">
        <f aca="false">SUMIF('Table G.7'!$C$5:$C$39,R4,'Table G.7'!$H$5:$H$39)</f>
        <v>0</v>
      </c>
      <c r="S16" s="52" t="n">
        <f aca="false">SUMIF('Table G.7'!$C$5:$C$39,S4,'Table G.7'!$H$5:$H$39)</f>
        <v>0</v>
      </c>
      <c r="T16" s="52" t="n">
        <f aca="false">SUMIF('Table G.7'!$C$5:$C$39,T4,'Table G.7'!$H$5:$H$39)</f>
        <v>0</v>
      </c>
      <c r="U16" s="52" t="n">
        <f aca="false">SUMIF('Table G.7'!$C$5:$C$39,U4,'Table G.7'!$H$5:$H$39)</f>
        <v>0</v>
      </c>
      <c r="V16" s="52" t="n">
        <f aca="false">SUMIF('Table G.7'!$C$5:$C$39,V4,'Table G.7'!$H$5:$H$39)</f>
        <v>0</v>
      </c>
    </row>
    <row r="17" customFormat="false" ht="13.5" hidden="false" customHeight="false" outlineLevel="0" collapsed="false">
      <c r="A17" s="21" t="s">
        <v>12</v>
      </c>
      <c r="B17" s="55" t="n">
        <f aca="false">SUM(B9,B13,B14,B16)</f>
        <v>4</v>
      </c>
      <c r="C17" s="55" t="n">
        <f aca="false">SUM(C9,C13,C14,C16)</f>
        <v>0</v>
      </c>
      <c r="D17" s="55" t="n">
        <f aca="false">SUM(D9,D13,D14,D16)</f>
        <v>0</v>
      </c>
      <c r="E17" s="55" t="n">
        <f aca="false">SUM(E9,E13,E14,E16)</f>
        <v>0</v>
      </c>
      <c r="F17" s="55" t="n">
        <f aca="false">SUM(F9,F13,F14,F16)</f>
        <v>4</v>
      </c>
      <c r="G17" s="55" t="n">
        <f aca="false">SUM(G9,G13,G14,G16)</f>
        <v>0</v>
      </c>
      <c r="H17" s="55" t="n">
        <f aca="false">SUM(H9,H13,H14,H16)</f>
        <v>0</v>
      </c>
      <c r="I17" s="55" t="n">
        <f aca="false">SUM(I9,I13,I14,I16)</f>
        <v>0</v>
      </c>
      <c r="J17" s="55" t="n">
        <f aca="false">SUM(J9,J13,J14,J16)</f>
        <v>0</v>
      </c>
      <c r="K17" s="55" t="n">
        <f aca="false">SUM(K9,K13,K14,K16)</f>
        <v>0</v>
      </c>
      <c r="L17" s="55" t="n">
        <f aca="false">SUM(L9,L13,L14,L16)</f>
        <v>0</v>
      </c>
      <c r="M17" s="55" t="n">
        <f aca="false">SUM(M9,M13,M14,M16)</f>
        <v>0</v>
      </c>
      <c r="N17" s="55" t="n">
        <f aca="false">SUM(N9,N13,N14,N16)</f>
        <v>0</v>
      </c>
      <c r="O17" s="55" t="n">
        <f aca="false">SUM(O9,O13,O14,O16)</f>
        <v>0</v>
      </c>
      <c r="P17" s="55" t="n">
        <f aca="false">SUM(P9,P13,P14,P16)</f>
        <v>0</v>
      </c>
      <c r="Q17" s="55" t="n">
        <f aca="false">SUM(Q9,Q13,Q14,Q16)</f>
        <v>0</v>
      </c>
      <c r="R17" s="55" t="n">
        <f aca="false">SUM(R9,R13,R14,R16)</f>
        <v>0</v>
      </c>
      <c r="S17" s="55" t="n">
        <f aca="false">SUM(S9,S13,S14,S16)</f>
        <v>0</v>
      </c>
      <c r="T17" s="55" t="n">
        <f aca="false">SUM(T9,T13,T14,T16)</f>
        <v>0</v>
      </c>
      <c r="U17" s="55" t="n">
        <f aca="false">SUM(U9,U13,U14,U16)</f>
        <v>0</v>
      </c>
      <c r="V17" s="55" t="n">
        <f aca="false">SUM(V9,V13,V14,V16)</f>
        <v>0</v>
      </c>
    </row>
    <row r="18" customFormat="false" ht="13.5" hidden="false" customHeight="false" outlineLevel="0" collapsed="false">
      <c r="A18" s="42" t="s">
        <v>13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7"/>
    </row>
    <row r="19" customFormat="false" ht="12.75" hidden="false" customHeight="false" outlineLevel="0" collapsed="false">
      <c r="A19" s="58" t="s">
        <v>14</v>
      </c>
      <c r="B19" s="52" t="n">
        <f aca="false">SUM(C19:V19)</f>
        <v>0</v>
      </c>
      <c r="C19" s="52" t="n">
        <f aca="false">SUMIF('Table G.8'!$C$5:$C$54,C$4,'Table G.8'!$I$5:$I$54)</f>
        <v>0</v>
      </c>
      <c r="D19" s="52" t="n">
        <f aca="false">SUMIF('Table G.8'!$C$5:$C$54,D$4,'Table G.8'!$I$5:$I$54)</f>
        <v>0</v>
      </c>
      <c r="E19" s="52" t="n">
        <f aca="false">SUMIF('Table G.8'!$C$5:$C$54,E$4,'Table G.8'!$I$5:$I$54)</f>
        <v>0</v>
      </c>
      <c r="F19" s="52" t="n">
        <f aca="false">SUMIF('Table G.8'!$C$5:$C$54,F$4,'Table G.8'!$I$5:$I$54)</f>
        <v>0</v>
      </c>
      <c r="G19" s="52" t="n">
        <f aca="false">SUMIF('Table G.8'!$C$5:$C$54,G$4,'Table G.8'!$I$5:$I$54)</f>
        <v>0</v>
      </c>
      <c r="H19" s="52" t="n">
        <f aca="false">SUMIF('Table G.8'!$C$5:$C$54,H$4,'Table G.8'!$I$5:$I$54)</f>
        <v>0</v>
      </c>
      <c r="I19" s="52" t="n">
        <f aca="false">SUMIF('Table G.8'!$C$5:$C$54,I$4,'Table G.8'!$I$5:$I$54)</f>
        <v>0</v>
      </c>
      <c r="J19" s="52" t="n">
        <f aca="false">SUMIF('Table G.8'!$C$5:$C$54,J$4,'Table G.8'!$I$5:$I$54)</f>
        <v>0</v>
      </c>
      <c r="K19" s="52" t="n">
        <f aca="false">SUMIF('Table G.8'!$C$5:$C$54,K$4,'Table G.8'!$I$5:$I$54)</f>
        <v>0</v>
      </c>
      <c r="L19" s="52" t="n">
        <f aca="false">SUMIF('Table G.8'!$C$5:$C$54,L$4,'Table G.8'!$I$5:$I$54)</f>
        <v>0</v>
      </c>
      <c r="M19" s="52" t="n">
        <f aca="false">SUMIF('Table G.8'!$C$5:$C$54,M$4,'Table G.8'!$I$5:$I$54)</f>
        <v>0</v>
      </c>
      <c r="N19" s="52" t="n">
        <f aca="false">SUMIF('Table G.8'!$C$5:$C$54,N$4,'Table G.8'!$I$5:$I$54)</f>
        <v>0</v>
      </c>
      <c r="O19" s="52" t="n">
        <f aca="false">SUMIF('Table G.8'!$C$5:$C$54,O$4,'Table G.8'!$I$5:$I$54)</f>
        <v>0</v>
      </c>
      <c r="P19" s="52" t="n">
        <f aca="false">SUMIF('Table G.8'!$C$5:$C$54,P$4,'Table G.8'!$I$5:$I$54)</f>
        <v>0</v>
      </c>
      <c r="Q19" s="52" t="n">
        <f aca="false">SUMIF('Table G.8'!$C$5:$C$54,Q$4,'Table G.8'!$I$5:$I$54)</f>
        <v>0</v>
      </c>
      <c r="R19" s="52" t="n">
        <f aca="false">SUMIF('Table G.8'!$C$5:$C$54,R$4,'Table G.8'!$I$5:$I$54)</f>
        <v>0</v>
      </c>
      <c r="S19" s="52" t="n">
        <f aca="false">SUMIF('Table G.8'!$C$5:$C$54,S$4,'Table G.8'!$I$5:$I$54)</f>
        <v>0</v>
      </c>
      <c r="T19" s="52" t="n">
        <f aca="false">SUMIF('Table G.8'!$C$5:$C$54,T$4,'Table G.8'!$I$5:$I$54)</f>
        <v>0</v>
      </c>
      <c r="U19" s="52" t="n">
        <f aca="false">SUMIF('Table G.8'!$C$5:$C$54,U$4,'Table G.8'!$I$5:$I$54)</f>
        <v>0</v>
      </c>
      <c r="V19" s="52" t="n">
        <f aca="false">SUMIF('Table G.8'!$C$5:$C$54,V$4,'Table G.8'!$I$5:$I$54)</f>
        <v>0</v>
      </c>
    </row>
    <row r="20" customFormat="false" ht="12.75" hidden="false" customHeight="false" outlineLevel="0" collapsed="false">
      <c r="A20" s="58" t="s">
        <v>15</v>
      </c>
      <c r="B20" s="52" t="n">
        <f aca="false">SUM(C20:V20)</f>
        <v>0</v>
      </c>
      <c r="C20" s="52" t="n">
        <f aca="false">SUMIF('Table G.8'!$C$5:$C$54,C$4,'Table G.8'!$J$5:$J$54)</f>
        <v>0</v>
      </c>
      <c r="D20" s="52" t="n">
        <f aca="false">SUMIF('Table G.8'!$C$5:$C$54,D$4,'Table G.8'!$J$5:$J$54)</f>
        <v>0</v>
      </c>
      <c r="E20" s="52" t="n">
        <f aca="false">SUMIF('Table G.8'!$C$5:$C$54,E$4,'Table G.8'!$J$5:$J$54)</f>
        <v>0</v>
      </c>
      <c r="F20" s="52" t="n">
        <f aca="false">SUMIF('Table G.8'!$C$5:$C$54,F$4,'Table G.8'!$J$5:$J$54)</f>
        <v>0</v>
      </c>
      <c r="G20" s="52" t="n">
        <f aca="false">SUMIF('Table G.8'!$C$5:$C$54,G$4,'Table G.8'!$J$5:$J$54)</f>
        <v>0</v>
      </c>
      <c r="H20" s="52" t="n">
        <f aca="false">SUMIF('Table G.8'!$C$5:$C$54,H$4,'Table G.8'!$J$5:$J$54)</f>
        <v>0</v>
      </c>
      <c r="I20" s="52" t="n">
        <f aca="false">SUMIF('Table G.8'!$C$5:$C$54,I$4,'Table G.8'!$J$5:$J$54)</f>
        <v>0</v>
      </c>
      <c r="J20" s="52" t="n">
        <f aca="false">SUMIF('Table G.8'!$C$5:$C$54,J$4,'Table G.8'!$J$5:$J$54)</f>
        <v>0</v>
      </c>
      <c r="K20" s="52" t="n">
        <f aca="false">SUMIF('Table G.8'!$C$5:$C$54,K$4,'Table G.8'!$J$5:$J$54)</f>
        <v>0</v>
      </c>
      <c r="L20" s="52" t="n">
        <f aca="false">SUMIF('Table G.8'!$C$5:$C$54,L$4,'Table G.8'!$J$5:$J$54)</f>
        <v>0</v>
      </c>
      <c r="M20" s="52" t="n">
        <f aca="false">SUMIF('Table G.8'!$C$5:$C$54,M$4,'Table G.8'!$J$5:$J$54)</f>
        <v>0</v>
      </c>
      <c r="N20" s="52" t="n">
        <f aca="false">SUMIF('Table G.8'!$C$5:$C$54,N$4,'Table G.8'!$J$5:$J$54)</f>
        <v>0</v>
      </c>
      <c r="O20" s="52" t="n">
        <f aca="false">SUMIF('Table G.8'!$C$5:$C$54,O$4,'Table G.8'!$J$5:$J$54)</f>
        <v>0</v>
      </c>
      <c r="P20" s="52" t="n">
        <f aca="false">SUMIF('Table G.8'!$C$5:$C$54,P$4,'Table G.8'!$J$5:$J$54)</f>
        <v>0</v>
      </c>
      <c r="Q20" s="52" t="n">
        <f aca="false">SUMIF('Table G.8'!$C$5:$C$54,Q$4,'Table G.8'!$J$5:$J$54)</f>
        <v>0</v>
      </c>
      <c r="R20" s="52" t="n">
        <f aca="false">SUMIF('Table G.8'!$C$5:$C$54,R$4,'Table G.8'!$J$5:$J$54)</f>
        <v>0</v>
      </c>
      <c r="S20" s="52" t="n">
        <f aca="false">SUMIF('Table G.8'!$C$5:$C$54,S$4,'Table G.8'!$J$5:$J$54)</f>
        <v>0</v>
      </c>
      <c r="T20" s="52" t="n">
        <f aca="false">SUMIF('Table G.8'!$C$5:$C$54,T$4,'Table G.8'!$J$5:$J$54)</f>
        <v>0</v>
      </c>
      <c r="U20" s="52" t="n">
        <f aca="false">SUMIF('Table G.8'!$C$5:$C$54,U$4,'Table G.8'!$J$5:$J$54)</f>
        <v>0</v>
      </c>
      <c r="V20" s="52" t="n">
        <f aca="false">SUMIF('Table G.8'!$C$5:$C$54,V$4,'Table G.8'!$J$5:$J$54)</f>
        <v>0</v>
      </c>
    </row>
    <row r="21" customFormat="false" ht="12.75" hidden="false" customHeight="false" outlineLevel="0" collapsed="false">
      <c r="A21" s="58" t="s">
        <v>16</v>
      </c>
      <c r="B21" s="52" t="n">
        <f aca="false">SUM(C21:V21)</f>
        <v>0</v>
      </c>
      <c r="C21" s="52" t="n">
        <f aca="false">SUMIF('Table G.8'!$C$5:$C$54,C$4,'Table G.8'!$K$5:$K$54)</f>
        <v>0</v>
      </c>
      <c r="D21" s="52" t="n">
        <f aca="false">SUMIF('Table G.8'!$C$5:$C$54,D$4,'Table G.8'!$K$5:$K$54)</f>
        <v>0</v>
      </c>
      <c r="E21" s="52" t="n">
        <f aca="false">SUMIF('Table G.8'!$C$5:$C$54,E$4,'Table G.8'!$K$5:$K$54)</f>
        <v>0</v>
      </c>
      <c r="F21" s="52" t="n">
        <f aca="false">SUMIF('Table G.8'!$C$5:$C$54,F$4,'Table G.8'!$K$5:$K$54)</f>
        <v>0</v>
      </c>
      <c r="G21" s="52" t="n">
        <f aca="false">SUMIF('Table G.8'!$C$5:$C$54,G$4,'Table G.8'!$K$5:$K$54)</f>
        <v>0</v>
      </c>
      <c r="H21" s="52" t="n">
        <f aca="false">SUMIF('Table G.8'!$C$5:$C$54,H$4,'Table G.8'!$K$5:$K$54)</f>
        <v>0</v>
      </c>
      <c r="I21" s="52" t="n">
        <f aca="false">SUMIF('Table G.8'!$C$5:$C$54,I$4,'Table G.8'!$K$5:$K$54)</f>
        <v>0</v>
      </c>
      <c r="J21" s="52" t="n">
        <f aca="false">SUMIF('Table G.8'!$C$5:$C$54,J$4,'Table G.8'!$K$5:$K$54)</f>
        <v>0</v>
      </c>
      <c r="K21" s="52" t="n">
        <f aca="false">SUMIF('Table G.8'!$C$5:$C$54,K$4,'Table G.8'!$K$5:$K$54)</f>
        <v>0</v>
      </c>
      <c r="L21" s="52" t="n">
        <f aca="false">SUMIF('Table G.8'!$C$5:$C$54,L$4,'Table G.8'!$K$5:$K$54)</f>
        <v>0</v>
      </c>
      <c r="M21" s="52" t="n">
        <f aca="false">SUMIF('Table G.8'!$C$5:$C$54,M$4,'Table G.8'!$K$5:$K$54)</f>
        <v>0</v>
      </c>
      <c r="N21" s="52" t="n">
        <f aca="false">SUMIF('Table G.8'!$C$5:$C$54,N$4,'Table G.8'!$K$5:$K$54)</f>
        <v>0</v>
      </c>
      <c r="O21" s="52" t="n">
        <f aca="false">SUMIF('Table G.8'!$C$5:$C$54,O$4,'Table G.8'!$K$5:$K$54)</f>
        <v>0</v>
      </c>
      <c r="P21" s="52" t="n">
        <f aca="false">SUMIF('Table G.8'!$C$5:$C$54,P$4,'Table G.8'!$K$5:$K$54)</f>
        <v>0</v>
      </c>
      <c r="Q21" s="52" t="n">
        <f aca="false">SUMIF('Table G.8'!$C$5:$C$54,Q$4,'Table G.8'!$K$5:$K$54)</f>
        <v>0</v>
      </c>
      <c r="R21" s="52" t="n">
        <f aca="false">SUMIF('Table G.8'!$C$5:$C$54,R$4,'Table G.8'!$K$5:$K$54)</f>
        <v>0</v>
      </c>
      <c r="S21" s="52" t="n">
        <f aca="false">SUMIF('Table G.8'!$C$5:$C$54,S$4,'Table G.8'!$K$5:$K$54)</f>
        <v>0</v>
      </c>
      <c r="T21" s="52" t="n">
        <f aca="false">SUMIF('Table G.8'!$C$5:$C$54,T$4,'Table G.8'!$K$5:$K$54)</f>
        <v>0</v>
      </c>
      <c r="U21" s="52" t="n">
        <f aca="false">SUMIF('Table G.8'!$C$5:$C$54,U$4,'Table G.8'!$K$5:$K$54)</f>
        <v>0</v>
      </c>
      <c r="V21" s="52" t="n">
        <f aca="false">SUMIF('Table G.8'!$C$5:$C$54,V$4,'Table G.8'!$K$5:$K$54)</f>
        <v>0</v>
      </c>
    </row>
    <row r="22" customFormat="false" ht="12.75" hidden="false" customHeight="false" outlineLevel="0" collapsed="false">
      <c r="A22" s="58" t="s">
        <v>17</v>
      </c>
      <c r="B22" s="52" t="n">
        <f aca="false">SUM(C22:V22)</f>
        <v>0</v>
      </c>
      <c r="C22" s="52" t="n">
        <f aca="false">SUMIF('Table G.8'!$C$5:$C$54,C$4,'Table G.8'!$L$5:$L$54)</f>
        <v>0</v>
      </c>
      <c r="D22" s="52" t="n">
        <f aca="false">SUMIF('Table G.8'!$C$5:$C$54,D$4,'Table G.8'!$L$5:$L$54)</f>
        <v>0</v>
      </c>
      <c r="E22" s="52" t="n">
        <f aca="false">SUMIF('Table G.8'!$C$5:$C$54,E$4,'Table G.8'!$L$5:$L$54)</f>
        <v>0</v>
      </c>
      <c r="F22" s="52" t="n">
        <f aca="false">SUMIF('Table G.8'!$C$5:$C$54,F$4,'Table G.8'!$L$5:$L$54)</f>
        <v>0</v>
      </c>
      <c r="G22" s="52" t="n">
        <f aca="false">SUMIF('Table G.8'!$C$5:$C$54,G$4,'Table G.8'!$L$5:$L$54)</f>
        <v>0</v>
      </c>
      <c r="H22" s="52" t="n">
        <f aca="false">SUMIF('Table G.8'!$C$5:$C$54,H$4,'Table G.8'!$L$5:$L$54)</f>
        <v>0</v>
      </c>
      <c r="I22" s="52" t="n">
        <f aca="false">SUMIF('Table G.8'!$C$5:$C$54,I$4,'Table G.8'!$L$5:$L$54)</f>
        <v>0</v>
      </c>
      <c r="J22" s="52" t="n">
        <f aca="false">SUMIF('Table G.8'!$C$5:$C$54,J$4,'Table G.8'!$L$5:$L$54)</f>
        <v>0</v>
      </c>
      <c r="K22" s="52" t="n">
        <f aca="false">SUMIF('Table G.8'!$C$5:$C$54,K$4,'Table G.8'!$L$5:$L$54)</f>
        <v>0</v>
      </c>
      <c r="L22" s="52" t="n">
        <f aca="false">SUMIF('Table G.8'!$C$5:$C$54,L$4,'Table G.8'!$L$5:$L$54)</f>
        <v>0</v>
      </c>
      <c r="M22" s="52" t="n">
        <f aca="false">SUMIF('Table G.8'!$C$5:$C$54,M$4,'Table G.8'!$L$5:$L$54)</f>
        <v>0</v>
      </c>
      <c r="N22" s="52" t="n">
        <f aca="false">SUMIF('Table G.8'!$C$5:$C$54,N$4,'Table G.8'!$L$5:$L$54)</f>
        <v>0</v>
      </c>
      <c r="O22" s="52" t="n">
        <f aca="false">SUMIF('Table G.8'!$C$5:$C$54,O$4,'Table G.8'!$L$5:$L$54)</f>
        <v>0</v>
      </c>
      <c r="P22" s="52" t="n">
        <f aca="false">SUMIF('Table G.8'!$C$5:$C$54,P$4,'Table G.8'!$L$5:$L$54)</f>
        <v>0</v>
      </c>
      <c r="Q22" s="52" t="n">
        <f aca="false">SUMIF('Table G.8'!$C$5:$C$54,Q$4,'Table G.8'!$L$5:$L$54)</f>
        <v>0</v>
      </c>
      <c r="R22" s="52" t="n">
        <f aca="false">SUMIF('Table G.8'!$C$5:$C$54,R$4,'Table G.8'!$L$5:$L$54)</f>
        <v>0</v>
      </c>
      <c r="S22" s="52" t="n">
        <f aca="false">SUMIF('Table G.8'!$C$5:$C$54,S$4,'Table G.8'!$L$5:$L$54)</f>
        <v>0</v>
      </c>
      <c r="T22" s="52" t="n">
        <f aca="false">SUMIF('Table G.8'!$C$5:$C$54,T$4,'Table G.8'!$L$5:$L$54)</f>
        <v>0</v>
      </c>
      <c r="U22" s="52" t="n">
        <f aca="false">SUMIF('Table G.8'!$C$5:$C$54,U$4,'Table G.8'!$L$5:$L$54)</f>
        <v>0</v>
      </c>
      <c r="V22" s="52" t="n">
        <f aca="false">SUMIF('Table G.8'!$C$5:$C$54,V$4,'Table G.8'!$L$5:$L$54)</f>
        <v>0</v>
      </c>
    </row>
    <row r="23" customFormat="false" ht="12.75" hidden="false" customHeight="false" outlineLevel="0" collapsed="false">
      <c r="A23" s="58" t="s">
        <v>18</v>
      </c>
      <c r="B23" s="52" t="n">
        <f aca="false">SUM(C23:V23)</f>
        <v>0</v>
      </c>
      <c r="C23" s="52" t="n">
        <f aca="false">SUMIF('Table G.8'!$C$5:$C$54,C$4,'Table G.8'!$M$5:$M$54)</f>
        <v>0</v>
      </c>
      <c r="D23" s="52" t="n">
        <f aca="false">SUMIF('Table G.8'!$C$5:$C$54,D$4,'Table G.8'!$M$5:$M$54)</f>
        <v>0</v>
      </c>
      <c r="E23" s="52" t="n">
        <f aca="false">SUMIF('Table G.8'!$C$5:$C$54,E$4,'Table G.8'!$M$5:$M$54)</f>
        <v>0</v>
      </c>
      <c r="F23" s="52" t="n">
        <f aca="false">SUMIF('Table G.8'!$C$5:$C$54,F$4,'Table G.8'!$M$5:$M$54)</f>
        <v>0</v>
      </c>
      <c r="G23" s="52" t="n">
        <f aca="false">SUMIF('Table G.8'!$C$5:$C$54,G$4,'Table G.8'!$M$5:$M$54)</f>
        <v>0</v>
      </c>
      <c r="H23" s="52" t="n">
        <f aca="false">SUMIF('Table G.8'!$C$5:$C$54,H$4,'Table G.8'!$M$5:$M$54)</f>
        <v>0</v>
      </c>
      <c r="I23" s="52" t="n">
        <f aca="false">SUMIF('Table G.8'!$C$5:$C$54,I$4,'Table G.8'!$M$5:$M$54)</f>
        <v>0</v>
      </c>
      <c r="J23" s="52" t="n">
        <f aca="false">SUMIF('Table G.8'!$C$5:$C$54,J$4,'Table G.8'!$M$5:$M$54)</f>
        <v>0</v>
      </c>
      <c r="K23" s="52" t="n">
        <f aca="false">SUMIF('Table G.8'!$C$5:$C$54,K$4,'Table G.8'!$M$5:$M$54)</f>
        <v>0</v>
      </c>
      <c r="L23" s="52" t="n">
        <f aca="false">SUMIF('Table G.8'!$C$5:$C$54,L$4,'Table G.8'!$M$5:$M$54)</f>
        <v>0</v>
      </c>
      <c r="M23" s="52" t="n">
        <f aca="false">SUMIF('Table G.8'!$C$5:$C$54,M$4,'Table G.8'!$M$5:$M$54)</f>
        <v>0</v>
      </c>
      <c r="N23" s="52" t="n">
        <f aca="false">SUMIF('Table G.8'!$C$5:$C$54,N$4,'Table G.8'!$M$5:$M$54)</f>
        <v>0</v>
      </c>
      <c r="O23" s="52" t="n">
        <f aca="false">SUMIF('Table G.8'!$C$5:$C$54,O$4,'Table G.8'!$M$5:$M$54)</f>
        <v>0</v>
      </c>
      <c r="P23" s="52" t="n">
        <f aca="false">SUMIF('Table G.8'!$C$5:$C$54,P$4,'Table G.8'!$M$5:$M$54)</f>
        <v>0</v>
      </c>
      <c r="Q23" s="52" t="n">
        <f aca="false">SUMIF('Table G.8'!$C$5:$C$54,Q$4,'Table G.8'!$M$5:$M$54)</f>
        <v>0</v>
      </c>
      <c r="R23" s="52" t="n">
        <f aca="false">SUMIF('Table G.8'!$C$5:$C$54,R$4,'Table G.8'!$M$5:$M$54)</f>
        <v>0</v>
      </c>
      <c r="S23" s="52" t="n">
        <f aca="false">SUMIF('Table G.8'!$C$5:$C$54,S$4,'Table G.8'!$M$5:$M$54)</f>
        <v>0</v>
      </c>
      <c r="T23" s="52" t="n">
        <f aca="false">SUMIF('Table G.8'!$C$5:$C$54,T$4,'Table G.8'!$M$5:$M$54)</f>
        <v>0</v>
      </c>
      <c r="U23" s="52" t="n">
        <f aca="false">SUMIF('Table G.8'!$C$5:$C$54,U$4,'Table G.8'!$M$5:$M$54)</f>
        <v>0</v>
      </c>
      <c r="V23" s="52" t="n">
        <f aca="false">SUMIF('Table G.8'!$C$5:$C$54,V$4,'Table G.8'!$M$5:$M$54)</f>
        <v>0</v>
      </c>
    </row>
    <row r="24" customFormat="false" ht="13.5" hidden="false" customHeight="false" outlineLevel="0" collapsed="false">
      <c r="A24" s="59" t="s">
        <v>19</v>
      </c>
      <c r="B24" s="52" t="n">
        <f aca="false">SUM(C24:V24)</f>
        <v>0</v>
      </c>
      <c r="C24" s="52" t="n">
        <f aca="false">SUMIF('Table G.8'!$C$5:$C$54,C$4,'Table G.8'!$N$5:$N$54)</f>
        <v>0</v>
      </c>
      <c r="D24" s="52" t="n">
        <f aca="false">SUMIF('Table G.8'!$C$5:$C$54,D$4,'Table G.8'!$N$5:$N$54)</f>
        <v>0</v>
      </c>
      <c r="E24" s="52" t="n">
        <f aca="false">SUMIF('Table G.8'!$C$5:$C$54,E$4,'Table G.8'!$N$5:$N$54)</f>
        <v>0</v>
      </c>
      <c r="F24" s="52" t="n">
        <f aca="false">SUMIF('Table G.8'!$C$5:$C$54,F$4,'Table G.8'!$N$5:$N$54)</f>
        <v>0</v>
      </c>
      <c r="G24" s="52" t="n">
        <f aca="false">SUMIF('Table G.8'!$C$5:$C$54,G$4,'Table G.8'!$N$5:$N$54)</f>
        <v>0</v>
      </c>
      <c r="H24" s="52" t="n">
        <f aca="false">SUMIF('Table G.8'!$C$5:$C$54,H$4,'Table G.8'!$N$5:$N$54)</f>
        <v>0</v>
      </c>
      <c r="I24" s="52" t="n">
        <f aca="false">SUMIF('Table G.8'!$C$5:$C$54,I$4,'Table G.8'!$N$5:$N$54)</f>
        <v>0</v>
      </c>
      <c r="J24" s="52" t="n">
        <f aca="false">SUMIF('Table G.8'!$C$5:$C$54,J$4,'Table G.8'!$N$5:$N$54)</f>
        <v>0</v>
      </c>
      <c r="K24" s="52" t="n">
        <f aca="false">SUMIF('Table G.8'!$C$5:$C$54,K$4,'Table G.8'!$N$5:$N$54)</f>
        <v>0</v>
      </c>
      <c r="L24" s="52" t="n">
        <f aca="false">SUMIF('Table G.8'!$C$5:$C$54,L$4,'Table G.8'!$N$5:$N$54)</f>
        <v>0</v>
      </c>
      <c r="M24" s="52" t="n">
        <f aca="false">SUMIF('Table G.8'!$C$5:$C$54,M$4,'Table G.8'!$N$5:$N$54)</f>
        <v>0</v>
      </c>
      <c r="N24" s="52" t="n">
        <f aca="false">SUMIF('Table G.8'!$C$5:$C$54,N$4,'Table G.8'!$N$5:$N$54)</f>
        <v>0</v>
      </c>
      <c r="O24" s="52" t="n">
        <f aca="false">SUMIF('Table G.8'!$C$5:$C$54,O$4,'Table G.8'!$N$5:$N$54)</f>
        <v>0</v>
      </c>
      <c r="P24" s="52" t="n">
        <f aca="false">SUMIF('Table G.8'!$C$5:$C$54,P$4,'Table G.8'!$N$5:$N$54)</f>
        <v>0</v>
      </c>
      <c r="Q24" s="52" t="n">
        <f aca="false">SUMIF('Table G.8'!$C$5:$C$54,Q$4,'Table G.8'!$N$5:$N$54)</f>
        <v>0</v>
      </c>
      <c r="R24" s="52" t="n">
        <f aca="false">SUMIF('Table G.8'!$C$5:$C$54,R$4,'Table G.8'!$N$5:$N$54)</f>
        <v>0</v>
      </c>
      <c r="S24" s="52" t="n">
        <f aca="false">SUMIF('Table G.8'!$C$5:$C$54,S$4,'Table G.8'!$N$5:$N$54)</f>
        <v>0</v>
      </c>
      <c r="T24" s="52" t="n">
        <f aca="false">SUMIF('Table G.8'!$C$5:$C$54,T$4,'Table G.8'!$N$5:$N$54)</f>
        <v>0</v>
      </c>
      <c r="U24" s="52" t="n">
        <f aca="false">SUMIF('Table G.8'!$C$5:$C$54,U$4,'Table G.8'!$N$5:$N$54)</f>
        <v>0</v>
      </c>
      <c r="V24" s="52" t="n">
        <f aca="false">SUMIF('Table G.8'!$C$5:$C$54,V$4,'Table G.8'!$N$5:$N$54)</f>
        <v>0</v>
      </c>
    </row>
    <row r="25" customFormat="false" ht="13.5" hidden="false" customHeight="false" outlineLevel="0" collapsed="false">
      <c r="A25" s="21" t="s">
        <v>20</v>
      </c>
      <c r="B25" s="55" t="n">
        <f aca="false">SUM(B19:B24)</f>
        <v>0</v>
      </c>
      <c r="C25" s="55" t="n">
        <f aca="false">SUM(C19:C24)</f>
        <v>0</v>
      </c>
      <c r="D25" s="55" t="n">
        <f aca="false">SUM(D19:D24)</f>
        <v>0</v>
      </c>
      <c r="E25" s="55" t="n">
        <f aca="false">SUM(E19:E24)</f>
        <v>0</v>
      </c>
      <c r="F25" s="55" t="n">
        <f aca="false">SUM(F19:F24)</f>
        <v>0</v>
      </c>
      <c r="G25" s="55" t="n">
        <f aca="false">SUM(G19:G24)</f>
        <v>0</v>
      </c>
      <c r="H25" s="55" t="n">
        <f aca="false">SUM(H19:H24)</f>
        <v>0</v>
      </c>
      <c r="I25" s="55" t="n">
        <f aca="false">SUM(I19:I24)</f>
        <v>0</v>
      </c>
      <c r="J25" s="55" t="n">
        <f aca="false">SUM(J19:J24)</f>
        <v>0</v>
      </c>
      <c r="K25" s="55" t="n">
        <f aca="false">SUM(K19:K24)</f>
        <v>0</v>
      </c>
      <c r="L25" s="55" t="n">
        <f aca="false">SUM(L19:L24)</f>
        <v>0</v>
      </c>
      <c r="M25" s="55" t="n">
        <f aca="false">SUM(M19:M24)</f>
        <v>0</v>
      </c>
      <c r="N25" s="55" t="n">
        <f aca="false">SUM(N19:N24)</f>
        <v>0</v>
      </c>
      <c r="O25" s="55" t="n">
        <f aca="false">SUM(O19:O24)</f>
        <v>0</v>
      </c>
      <c r="P25" s="55" t="n">
        <f aca="false">SUM(P19:P24)</f>
        <v>0</v>
      </c>
      <c r="Q25" s="55" t="n">
        <f aca="false">SUM(Q19:Q24)</f>
        <v>0</v>
      </c>
      <c r="R25" s="55" t="n">
        <f aca="false">SUM(R19:R24)</f>
        <v>0</v>
      </c>
      <c r="S25" s="55" t="n">
        <f aca="false">SUM(S19:S24)</f>
        <v>0</v>
      </c>
      <c r="T25" s="55" t="n">
        <f aca="false">SUM(T19:T24)</f>
        <v>0</v>
      </c>
      <c r="U25" s="55" t="n">
        <f aca="false">SUM(U19:U24)</f>
        <v>0</v>
      </c>
      <c r="V25" s="55" t="n">
        <f aca="false">SUM(V19:V24)</f>
        <v>0</v>
      </c>
    </row>
    <row r="26" customFormat="false" ht="15.75" hidden="false" customHeight="false" outlineLevel="0" collapsed="false">
      <c r="A26" s="60" t="s">
        <v>21</v>
      </c>
      <c r="B26" s="61" t="n">
        <f aca="false">SUM(B17,B25)</f>
        <v>4</v>
      </c>
      <c r="C26" s="61" t="n">
        <f aca="false">SUM(C17,C25)</f>
        <v>0</v>
      </c>
      <c r="D26" s="61" t="n">
        <f aca="false">SUM(D17,D25)</f>
        <v>0</v>
      </c>
      <c r="E26" s="61" t="n">
        <f aca="false">SUM(E17,E25)</f>
        <v>0</v>
      </c>
      <c r="F26" s="61" t="n">
        <f aca="false">SUM(F17,F25)</f>
        <v>4</v>
      </c>
      <c r="G26" s="61" t="n">
        <f aca="false">SUM(G17,G25)</f>
        <v>0</v>
      </c>
      <c r="H26" s="61" t="n">
        <f aca="false">SUM(H17,H25)</f>
        <v>0</v>
      </c>
      <c r="I26" s="61" t="n">
        <f aca="false">SUM(I17,I25)</f>
        <v>0</v>
      </c>
      <c r="J26" s="61" t="n">
        <f aca="false">SUM(J17,J25)</f>
        <v>0</v>
      </c>
      <c r="K26" s="61" t="n">
        <f aca="false">SUM(K17,K25)</f>
        <v>0</v>
      </c>
      <c r="L26" s="61" t="n">
        <f aca="false">SUM(L17,L25)</f>
        <v>0</v>
      </c>
      <c r="M26" s="61" t="n">
        <f aca="false">SUM(M17,M25)</f>
        <v>0</v>
      </c>
      <c r="N26" s="61" t="n">
        <f aca="false">SUM(N17,N25)</f>
        <v>0</v>
      </c>
      <c r="O26" s="61" t="n">
        <f aca="false">SUM(O17,O25)</f>
        <v>0</v>
      </c>
      <c r="P26" s="61" t="n">
        <f aca="false">SUM(P17,P25)</f>
        <v>0</v>
      </c>
      <c r="Q26" s="61" t="n">
        <f aca="false">SUM(Q17,Q25)</f>
        <v>0</v>
      </c>
      <c r="R26" s="61" t="n">
        <f aca="false">SUM(R17,R25)</f>
        <v>0</v>
      </c>
      <c r="S26" s="61" t="n">
        <f aca="false">SUM(S17,S25)</f>
        <v>0</v>
      </c>
      <c r="T26" s="61" t="n">
        <f aca="false">SUM(T17,T25)</f>
        <v>0</v>
      </c>
      <c r="U26" s="61" t="n">
        <f aca="false">SUM(U17,U25)</f>
        <v>0</v>
      </c>
      <c r="V26" s="61" t="n">
        <f aca="false">SUM(V17,V25)</f>
        <v>0</v>
      </c>
    </row>
    <row r="32" customFormat="false" ht="12.75" hidden="false" customHeight="false" outlineLevel="0" collapsed="false">
      <c r="A32" s="0" t="s">
        <v>32</v>
      </c>
    </row>
  </sheetData>
  <sheetProtection sheet="true" password="8737" objects="true" scenarios="true"/>
  <printOptions headings="false" gridLines="false" gridLinesSet="true" horizontalCentered="false" verticalCentered="false"/>
  <pageMargins left="0.747916666666667" right="0.747916666666667" top="0.984027777777778" bottom="0.7875" header="0.511805555555556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6.69"/>
    <col collapsed="false" customWidth="true" hidden="false" outlineLevel="0" max="2" min="2" style="0" width="25.53"/>
    <col collapsed="false" customWidth="true" hidden="false" outlineLevel="0" max="3" min="3" style="0" width="28.38"/>
    <col collapsed="false" customWidth="true" hidden="false" outlineLevel="0" max="4" min="4" style="0" width="27.11"/>
    <col collapsed="false" customWidth="true" hidden="false" outlineLevel="0" max="5" min="5" style="0" width="15.12"/>
  </cols>
  <sheetData>
    <row r="1" customFormat="false" ht="16.5" hidden="false" customHeight="false" outlineLevel="0" collapsed="false">
      <c r="A1" s="62" t="s">
        <v>33</v>
      </c>
      <c r="B1" s="63"/>
      <c r="C1" s="63"/>
      <c r="D1" s="64"/>
      <c r="E1" s="65"/>
    </row>
    <row r="2" s="68" customFormat="true" ht="13.5" hidden="false" customHeight="false" outlineLevel="0" collapsed="false">
      <c r="A2" s="66"/>
      <c r="B2" s="65"/>
      <c r="C2" s="65"/>
      <c r="D2" s="65"/>
      <c r="E2" s="67"/>
    </row>
    <row r="3" customFormat="false" ht="26.25" hidden="false" customHeight="false" outlineLevel="0" collapsed="false">
      <c r="A3" s="5" t="s">
        <v>34</v>
      </c>
      <c r="B3" s="69" t="s">
        <v>35</v>
      </c>
      <c r="C3" s="69" t="s">
        <v>36</v>
      </c>
      <c r="D3" s="69" t="s">
        <v>37</v>
      </c>
      <c r="E3" s="70" t="s">
        <v>38</v>
      </c>
    </row>
    <row r="4" customFormat="false" ht="12.75" hidden="false" customHeight="false" outlineLevel="0" collapsed="false">
      <c r="A4" s="71"/>
      <c r="B4" s="72"/>
      <c r="C4" s="73"/>
      <c r="D4" s="74"/>
      <c r="E4" s="75"/>
    </row>
    <row r="5" customFormat="false" ht="12.75" hidden="false" customHeight="false" outlineLevel="0" collapsed="false">
      <c r="A5" s="76"/>
      <c r="B5" s="77"/>
      <c r="C5" s="78"/>
      <c r="D5" s="79"/>
      <c r="E5" s="80"/>
    </row>
    <row r="6" customFormat="false" ht="12.75" hidden="false" customHeight="false" outlineLevel="0" collapsed="false">
      <c r="A6" s="76"/>
      <c r="B6" s="77"/>
      <c r="C6" s="81"/>
      <c r="D6" s="79"/>
      <c r="E6" s="80"/>
    </row>
    <row r="7" customFormat="false" ht="12.75" hidden="false" customHeight="false" outlineLevel="0" collapsed="false">
      <c r="A7" s="76"/>
      <c r="B7" s="77"/>
      <c r="C7" s="78"/>
      <c r="D7" s="79"/>
      <c r="E7" s="80"/>
    </row>
    <row r="8" customFormat="false" ht="12.75" hidden="false" customHeight="false" outlineLevel="0" collapsed="false">
      <c r="A8" s="76"/>
      <c r="B8" s="77"/>
      <c r="C8" s="81"/>
      <c r="D8" s="79"/>
      <c r="E8" s="80"/>
    </row>
    <row r="9" customFormat="false" ht="12.75" hidden="false" customHeight="false" outlineLevel="0" collapsed="false">
      <c r="A9" s="76"/>
      <c r="B9" s="77"/>
      <c r="C9" s="78"/>
      <c r="D9" s="79"/>
      <c r="E9" s="80"/>
    </row>
    <row r="10" customFormat="false" ht="12.75" hidden="false" customHeight="false" outlineLevel="0" collapsed="false">
      <c r="A10" s="76"/>
      <c r="B10" s="77"/>
      <c r="C10" s="81"/>
      <c r="D10" s="79"/>
      <c r="E10" s="80"/>
    </row>
    <row r="11" customFormat="false" ht="12.75" hidden="false" customHeight="false" outlineLevel="0" collapsed="false">
      <c r="A11" s="76"/>
      <c r="B11" s="77"/>
      <c r="C11" s="78"/>
      <c r="D11" s="79"/>
      <c r="E11" s="80"/>
    </row>
    <row r="12" customFormat="false" ht="12.75" hidden="false" customHeight="false" outlineLevel="0" collapsed="false">
      <c r="A12" s="76"/>
      <c r="B12" s="77"/>
      <c r="C12" s="81"/>
      <c r="D12" s="79"/>
      <c r="E12" s="80"/>
    </row>
    <row r="13" customFormat="false" ht="12.75" hidden="false" customHeight="false" outlineLevel="0" collapsed="false">
      <c r="A13" s="76"/>
      <c r="B13" s="77"/>
      <c r="C13" s="78"/>
      <c r="D13" s="79"/>
      <c r="E13" s="80"/>
    </row>
    <row r="14" customFormat="false" ht="12.75" hidden="false" customHeight="false" outlineLevel="0" collapsed="false">
      <c r="A14" s="76"/>
      <c r="B14" s="77"/>
      <c r="C14" s="81"/>
      <c r="D14" s="79"/>
      <c r="E14" s="80"/>
    </row>
    <row r="15" customFormat="false" ht="12.75" hidden="false" customHeight="false" outlineLevel="0" collapsed="false">
      <c r="A15" s="76"/>
      <c r="B15" s="77"/>
      <c r="C15" s="78"/>
      <c r="D15" s="79"/>
      <c r="E15" s="80"/>
    </row>
    <row r="16" customFormat="false" ht="12.75" hidden="false" customHeight="false" outlineLevel="0" collapsed="false">
      <c r="A16" s="76"/>
      <c r="B16" s="77"/>
      <c r="C16" s="81"/>
      <c r="D16" s="79"/>
      <c r="E16" s="80"/>
    </row>
    <row r="17" customFormat="false" ht="12.75" hidden="false" customHeight="false" outlineLevel="0" collapsed="false">
      <c r="A17" s="76"/>
      <c r="B17" s="77"/>
      <c r="C17" s="78"/>
      <c r="D17" s="79"/>
      <c r="E17" s="80"/>
    </row>
    <row r="18" customFormat="false" ht="12.75" hidden="false" customHeight="false" outlineLevel="0" collapsed="false">
      <c r="A18" s="76"/>
      <c r="B18" s="77"/>
      <c r="C18" s="81"/>
      <c r="D18" s="79"/>
      <c r="E18" s="80"/>
    </row>
    <row r="19" customFormat="false" ht="12.75" hidden="false" customHeight="false" outlineLevel="0" collapsed="false">
      <c r="A19" s="76"/>
      <c r="B19" s="77"/>
      <c r="C19" s="78"/>
      <c r="D19" s="79"/>
      <c r="E19" s="80"/>
    </row>
    <row r="20" customFormat="false" ht="12.75" hidden="false" customHeight="false" outlineLevel="0" collapsed="false">
      <c r="A20" s="76"/>
      <c r="B20" s="77"/>
      <c r="C20" s="81"/>
      <c r="D20" s="79"/>
      <c r="E20" s="80"/>
    </row>
    <row r="21" customFormat="false" ht="12.75" hidden="false" customHeight="false" outlineLevel="0" collapsed="false">
      <c r="A21" s="76"/>
      <c r="B21" s="77"/>
      <c r="C21" s="78"/>
      <c r="D21" s="79"/>
      <c r="E21" s="80"/>
    </row>
    <row r="22" customFormat="false" ht="12.75" hidden="false" customHeight="false" outlineLevel="0" collapsed="false">
      <c r="A22" s="76"/>
      <c r="B22" s="77"/>
      <c r="C22" s="78"/>
      <c r="D22" s="79"/>
      <c r="E22" s="80"/>
    </row>
    <row r="23" customFormat="false" ht="13.5" hidden="false" customHeight="false" outlineLevel="0" collapsed="false">
      <c r="A23" s="82"/>
      <c r="B23" s="83"/>
      <c r="C23" s="84"/>
      <c r="D23" s="85"/>
      <c r="E23" s="86"/>
    </row>
  </sheetData>
  <sheetProtection sheet="true" password="8737" objects="true" scenarios="true"/>
  <printOptions headings="false" gridLines="false" gridLinesSet="true" horizontalCentered="false" verticalCentered="false"/>
  <pageMargins left="0.747916666666667" right="0.747916666666667" top="0.984027777777778" bottom="0.7875" header="0.511805555555556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6.41"/>
    <col collapsed="false" customWidth="true" hidden="false" outlineLevel="0" max="2" min="2" style="0" width="19.12"/>
    <col collapsed="false" customWidth="true" hidden="false" outlineLevel="0" max="3" min="3" style="0" width="7.55"/>
    <col collapsed="false" customWidth="true" hidden="false" outlineLevel="0" max="4" min="4" style="0" width="16.83"/>
    <col collapsed="false" customWidth="true" hidden="false" outlineLevel="0" max="5" min="5" style="87" width="13.12"/>
    <col collapsed="false" customWidth="true" hidden="false" outlineLevel="0" max="6" min="6" style="87" width="12.4"/>
    <col collapsed="false" customWidth="true" hidden="false" outlineLevel="0" max="7" min="7" style="87" width="8.13"/>
    <col collapsed="false" customWidth="true" hidden="false" outlineLevel="0" max="8" min="8" style="87" width="14.12"/>
    <col collapsed="false" customWidth="true" hidden="false" outlineLevel="0" max="9" min="9" style="87" width="9.13"/>
    <col collapsed="false" customWidth="true" hidden="false" outlineLevel="0" max="10" min="10" style="87" width="14.12"/>
    <col collapsed="false" customWidth="true" hidden="false" outlineLevel="0" max="11" min="11" style="87" width="8.69"/>
    <col collapsed="false" customWidth="true" hidden="false" outlineLevel="0" max="12" min="12" style="87" width="18.68"/>
    <col collapsed="false" customWidth="true" hidden="false" outlineLevel="0" max="13" min="13" style="87" width="15.97"/>
    <col collapsed="false" customWidth="true" hidden="false" outlineLevel="0" max="14" min="14" style="87" width="11.84"/>
    <col collapsed="false" customWidth="true" hidden="false" outlineLevel="0" max="15" min="15" style="87" width="13.27"/>
    <col collapsed="false" customWidth="true" hidden="false" outlineLevel="0" max="16" min="16" style="87" width="20.68"/>
  </cols>
  <sheetData>
    <row r="1" customFormat="false" ht="16.5" hidden="false" customHeight="false" outlineLevel="0" collapsed="false">
      <c r="A1" s="88" t="s">
        <v>39</v>
      </c>
      <c r="B1" s="89"/>
      <c r="C1" s="89"/>
      <c r="D1" s="90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customFormat="false" ht="16.5" hidden="false" customHeight="false" outlineLevel="0" collapsed="false">
      <c r="A2" s="88" t="s">
        <v>40</v>
      </c>
      <c r="B2" s="92" t="n">
        <f aca="false">SUM(P5:P142)</f>
        <v>0</v>
      </c>
      <c r="C2" s="93"/>
      <c r="D2" s="94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customFormat="false" ht="13.5" hidden="false" customHeight="false" outlineLevel="0" collapsed="false">
      <c r="A3" s="29"/>
      <c r="B3" s="95"/>
      <c r="C3" s="95"/>
      <c r="D3" s="29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</row>
    <row r="4" customFormat="false" ht="34.5" hidden="false" customHeight="false" outlineLevel="0" collapsed="false">
      <c r="A4" s="5" t="s">
        <v>41</v>
      </c>
      <c r="B4" s="96" t="s">
        <v>42</v>
      </c>
      <c r="C4" s="5" t="s">
        <v>34</v>
      </c>
      <c r="D4" s="96" t="s">
        <v>43</v>
      </c>
      <c r="E4" s="5" t="s">
        <v>44</v>
      </c>
      <c r="F4" s="5" t="s">
        <v>45</v>
      </c>
      <c r="G4" s="5" t="s">
        <v>46</v>
      </c>
      <c r="H4" s="5" t="s">
        <v>47</v>
      </c>
      <c r="I4" s="5" t="s">
        <v>48</v>
      </c>
      <c r="J4" s="5" t="s">
        <v>47</v>
      </c>
      <c r="K4" s="5" t="s">
        <v>48</v>
      </c>
      <c r="L4" s="97" t="s">
        <v>49</v>
      </c>
      <c r="M4" s="5" t="s">
        <v>50</v>
      </c>
      <c r="N4" s="98" t="s">
        <v>51</v>
      </c>
      <c r="O4" s="98" t="s">
        <v>52</v>
      </c>
      <c r="P4" s="98" t="s">
        <v>53</v>
      </c>
    </row>
    <row r="5" customFormat="false" ht="12.75" hidden="false" customHeight="false" outlineLevel="0" collapsed="false">
      <c r="A5" s="99"/>
      <c r="B5" s="72"/>
      <c r="C5" s="100"/>
      <c r="D5" s="100"/>
      <c r="E5" s="101"/>
      <c r="F5" s="101"/>
      <c r="G5" s="102"/>
      <c r="H5" s="103"/>
      <c r="I5" s="103"/>
      <c r="J5" s="103"/>
      <c r="K5" s="103"/>
      <c r="L5" s="103"/>
      <c r="M5" s="103"/>
      <c r="N5" s="104"/>
      <c r="O5" s="104"/>
      <c r="P5" s="105" t="n">
        <f aca="false">N5+O5</f>
        <v>0</v>
      </c>
    </row>
    <row r="6" customFormat="false" ht="12.75" hidden="false" customHeight="false" outlineLevel="0" collapsed="false">
      <c r="A6" s="106"/>
      <c r="B6" s="77"/>
      <c r="C6" s="107"/>
      <c r="D6" s="107"/>
      <c r="E6" s="101"/>
      <c r="F6" s="101"/>
      <c r="G6" s="102"/>
      <c r="H6" s="108"/>
      <c r="I6" s="108"/>
      <c r="J6" s="103"/>
      <c r="K6" s="103"/>
      <c r="L6" s="103"/>
      <c r="M6" s="103"/>
      <c r="N6" s="109"/>
      <c r="O6" s="109"/>
      <c r="P6" s="110" t="n">
        <f aca="false">N6+O6</f>
        <v>0</v>
      </c>
    </row>
    <row r="7" customFormat="false" ht="12.75" hidden="false" customHeight="false" outlineLevel="0" collapsed="false">
      <c r="A7" s="106"/>
      <c r="B7" s="77"/>
      <c r="C7" s="107"/>
      <c r="D7" s="107"/>
      <c r="E7" s="101"/>
      <c r="F7" s="101"/>
      <c r="G7" s="102"/>
      <c r="H7" s="108"/>
      <c r="I7" s="108"/>
      <c r="J7" s="103"/>
      <c r="K7" s="103"/>
      <c r="L7" s="103"/>
      <c r="M7" s="103"/>
      <c r="N7" s="109"/>
      <c r="O7" s="109"/>
      <c r="P7" s="110" t="n">
        <f aca="false">N7+O7</f>
        <v>0</v>
      </c>
    </row>
    <row r="8" customFormat="false" ht="12.75" hidden="false" customHeight="false" outlineLevel="0" collapsed="false">
      <c r="A8" s="106"/>
      <c r="B8" s="77"/>
      <c r="C8" s="107"/>
      <c r="D8" s="107"/>
      <c r="E8" s="101"/>
      <c r="F8" s="101"/>
      <c r="G8" s="102"/>
      <c r="H8" s="108"/>
      <c r="I8" s="108"/>
      <c r="J8" s="103"/>
      <c r="K8" s="103"/>
      <c r="L8" s="103"/>
      <c r="M8" s="103"/>
      <c r="N8" s="109"/>
      <c r="O8" s="109"/>
      <c r="P8" s="110" t="n">
        <f aca="false">N8+O8</f>
        <v>0</v>
      </c>
    </row>
    <row r="9" customFormat="false" ht="12.75" hidden="false" customHeight="false" outlineLevel="0" collapsed="false">
      <c r="A9" s="106"/>
      <c r="B9" s="111"/>
      <c r="C9" s="107"/>
      <c r="D9" s="107"/>
      <c r="E9" s="79"/>
      <c r="F9" s="79"/>
      <c r="G9" s="112"/>
      <c r="H9" s="108"/>
      <c r="I9" s="108"/>
      <c r="J9" s="108"/>
      <c r="K9" s="108"/>
      <c r="L9" s="108"/>
      <c r="M9" s="108"/>
      <c r="N9" s="109"/>
      <c r="O9" s="109"/>
      <c r="P9" s="110" t="n">
        <f aca="false">N9+O9</f>
        <v>0</v>
      </c>
    </row>
    <row r="10" customFormat="false" ht="12.75" hidden="false" customHeight="false" outlineLevel="0" collapsed="false">
      <c r="A10" s="106"/>
      <c r="B10" s="111"/>
      <c r="C10" s="107"/>
      <c r="D10" s="107"/>
      <c r="E10" s="79"/>
      <c r="F10" s="79"/>
      <c r="G10" s="112"/>
      <c r="H10" s="108"/>
      <c r="I10" s="108"/>
      <c r="J10" s="108"/>
      <c r="K10" s="108"/>
      <c r="L10" s="108"/>
      <c r="M10" s="108"/>
      <c r="N10" s="109"/>
      <c r="O10" s="109"/>
      <c r="P10" s="110" t="n">
        <f aca="false">N10+O10</f>
        <v>0</v>
      </c>
    </row>
    <row r="11" customFormat="false" ht="12.75" hidden="false" customHeight="false" outlineLevel="0" collapsed="false">
      <c r="A11" s="106"/>
      <c r="B11" s="111"/>
      <c r="C11" s="107"/>
      <c r="D11" s="107"/>
      <c r="E11" s="79"/>
      <c r="F11" s="79"/>
      <c r="G11" s="112"/>
      <c r="H11" s="108"/>
      <c r="I11" s="108"/>
      <c r="J11" s="108"/>
      <c r="K11" s="108"/>
      <c r="L11" s="108"/>
      <c r="M11" s="108"/>
      <c r="N11" s="109"/>
      <c r="O11" s="109"/>
      <c r="P11" s="110" t="n">
        <f aca="false">N11+O11</f>
        <v>0</v>
      </c>
    </row>
    <row r="12" customFormat="false" ht="12.75" hidden="false" customHeight="false" outlineLevel="0" collapsed="false">
      <c r="A12" s="106"/>
      <c r="B12" s="111"/>
      <c r="C12" s="107"/>
      <c r="D12" s="107"/>
      <c r="E12" s="79"/>
      <c r="F12" s="79"/>
      <c r="G12" s="112"/>
      <c r="H12" s="108"/>
      <c r="I12" s="108"/>
      <c r="J12" s="108"/>
      <c r="K12" s="108"/>
      <c r="L12" s="108"/>
      <c r="M12" s="108"/>
      <c r="N12" s="109"/>
      <c r="O12" s="109"/>
      <c r="P12" s="110" t="n">
        <f aca="false">N12+O12</f>
        <v>0</v>
      </c>
    </row>
    <row r="13" customFormat="false" ht="12.75" hidden="false" customHeight="false" outlineLevel="0" collapsed="false">
      <c r="A13" s="106"/>
      <c r="B13" s="111"/>
      <c r="C13" s="107"/>
      <c r="D13" s="107"/>
      <c r="E13" s="79"/>
      <c r="F13" s="79"/>
      <c r="G13" s="112"/>
      <c r="H13" s="108"/>
      <c r="I13" s="108"/>
      <c r="J13" s="108"/>
      <c r="K13" s="108"/>
      <c r="L13" s="108"/>
      <c r="M13" s="108"/>
      <c r="N13" s="109"/>
      <c r="O13" s="109"/>
      <c r="P13" s="110" t="n">
        <f aca="false">N13+O13</f>
        <v>0</v>
      </c>
    </row>
    <row r="14" customFormat="false" ht="12.75" hidden="false" customHeight="false" outlineLevel="0" collapsed="false">
      <c r="A14" s="106"/>
      <c r="B14" s="111"/>
      <c r="C14" s="107"/>
      <c r="D14" s="107"/>
      <c r="E14" s="79"/>
      <c r="F14" s="79"/>
      <c r="G14" s="112"/>
      <c r="H14" s="108"/>
      <c r="I14" s="108"/>
      <c r="J14" s="108"/>
      <c r="K14" s="108"/>
      <c r="L14" s="108"/>
      <c r="M14" s="108"/>
      <c r="N14" s="109"/>
      <c r="O14" s="109"/>
      <c r="P14" s="110" t="n">
        <f aca="false">N14+O14</f>
        <v>0</v>
      </c>
    </row>
    <row r="15" customFormat="false" ht="12.75" hidden="false" customHeight="false" outlineLevel="0" collapsed="false">
      <c r="A15" s="106"/>
      <c r="B15" s="111"/>
      <c r="C15" s="107"/>
      <c r="D15" s="107"/>
      <c r="E15" s="79"/>
      <c r="F15" s="79"/>
      <c r="G15" s="112"/>
      <c r="H15" s="108"/>
      <c r="I15" s="108"/>
      <c r="J15" s="108"/>
      <c r="K15" s="108"/>
      <c r="L15" s="108"/>
      <c r="M15" s="108"/>
      <c r="N15" s="109"/>
      <c r="O15" s="109"/>
      <c r="P15" s="110" t="n">
        <f aca="false">N15+O15</f>
        <v>0</v>
      </c>
    </row>
    <row r="16" customFormat="false" ht="12.75" hidden="false" customHeight="false" outlineLevel="0" collapsed="false">
      <c r="A16" s="106"/>
      <c r="B16" s="111"/>
      <c r="C16" s="107"/>
      <c r="D16" s="107"/>
      <c r="E16" s="79"/>
      <c r="F16" s="79"/>
      <c r="G16" s="112"/>
      <c r="H16" s="108"/>
      <c r="I16" s="108"/>
      <c r="J16" s="108"/>
      <c r="K16" s="108"/>
      <c r="L16" s="108"/>
      <c r="M16" s="108"/>
      <c r="N16" s="109"/>
      <c r="O16" s="109"/>
      <c r="P16" s="110" t="n">
        <f aca="false">N16+O16</f>
        <v>0</v>
      </c>
    </row>
    <row r="17" customFormat="false" ht="12.75" hidden="false" customHeight="false" outlineLevel="0" collapsed="false">
      <c r="A17" s="106"/>
      <c r="B17" s="111"/>
      <c r="C17" s="107"/>
      <c r="D17" s="107"/>
      <c r="E17" s="79"/>
      <c r="F17" s="79"/>
      <c r="G17" s="112"/>
      <c r="H17" s="108"/>
      <c r="I17" s="108"/>
      <c r="J17" s="108"/>
      <c r="K17" s="108"/>
      <c r="L17" s="108"/>
      <c r="M17" s="108"/>
      <c r="N17" s="109"/>
      <c r="O17" s="109"/>
      <c r="P17" s="110" t="n">
        <f aca="false">N17+O17</f>
        <v>0</v>
      </c>
    </row>
    <row r="18" customFormat="false" ht="12.75" hidden="false" customHeight="false" outlineLevel="0" collapsed="false">
      <c r="A18" s="106"/>
      <c r="B18" s="111"/>
      <c r="C18" s="107"/>
      <c r="D18" s="107"/>
      <c r="E18" s="79"/>
      <c r="F18" s="79"/>
      <c r="G18" s="112"/>
      <c r="H18" s="108"/>
      <c r="I18" s="108"/>
      <c r="J18" s="108"/>
      <c r="K18" s="108"/>
      <c r="L18" s="108"/>
      <c r="M18" s="108"/>
      <c r="N18" s="109"/>
      <c r="O18" s="109"/>
      <c r="P18" s="110" t="n">
        <f aca="false">N18+O18</f>
        <v>0</v>
      </c>
    </row>
    <row r="19" customFormat="false" ht="12.75" hidden="false" customHeight="false" outlineLevel="0" collapsed="false">
      <c r="A19" s="106"/>
      <c r="B19" s="111"/>
      <c r="C19" s="107"/>
      <c r="D19" s="107"/>
      <c r="E19" s="79"/>
      <c r="F19" s="79"/>
      <c r="G19" s="112"/>
      <c r="H19" s="108"/>
      <c r="I19" s="108"/>
      <c r="J19" s="108"/>
      <c r="K19" s="108"/>
      <c r="L19" s="108"/>
      <c r="M19" s="108"/>
      <c r="N19" s="109"/>
      <c r="O19" s="109"/>
      <c r="P19" s="110" t="n">
        <f aca="false">N19+O19</f>
        <v>0</v>
      </c>
    </row>
    <row r="20" customFormat="false" ht="12.75" hidden="false" customHeight="false" outlineLevel="0" collapsed="false">
      <c r="A20" s="106"/>
      <c r="B20" s="111"/>
      <c r="C20" s="107"/>
      <c r="D20" s="107"/>
      <c r="E20" s="79"/>
      <c r="F20" s="79"/>
      <c r="G20" s="112"/>
      <c r="H20" s="108"/>
      <c r="I20" s="108"/>
      <c r="J20" s="108"/>
      <c r="K20" s="108"/>
      <c r="L20" s="108"/>
      <c r="M20" s="108"/>
      <c r="N20" s="109"/>
      <c r="O20" s="109"/>
      <c r="P20" s="110" t="n">
        <f aca="false">N20+O20</f>
        <v>0</v>
      </c>
    </row>
    <row r="21" customFormat="false" ht="12.75" hidden="false" customHeight="false" outlineLevel="0" collapsed="false">
      <c r="A21" s="106"/>
      <c r="B21" s="111"/>
      <c r="C21" s="107"/>
      <c r="D21" s="107"/>
      <c r="E21" s="79"/>
      <c r="F21" s="79"/>
      <c r="G21" s="112"/>
      <c r="H21" s="108"/>
      <c r="I21" s="108"/>
      <c r="J21" s="108"/>
      <c r="K21" s="108"/>
      <c r="L21" s="108"/>
      <c r="M21" s="108"/>
      <c r="N21" s="109"/>
      <c r="O21" s="109"/>
      <c r="P21" s="110" t="n">
        <f aca="false">N21+O21</f>
        <v>0</v>
      </c>
    </row>
    <row r="22" customFormat="false" ht="12.75" hidden="false" customHeight="false" outlineLevel="0" collapsed="false">
      <c r="A22" s="106"/>
      <c r="B22" s="111"/>
      <c r="C22" s="107"/>
      <c r="D22" s="107"/>
      <c r="E22" s="79"/>
      <c r="F22" s="79"/>
      <c r="G22" s="112"/>
      <c r="H22" s="108"/>
      <c r="I22" s="108"/>
      <c r="J22" s="108"/>
      <c r="K22" s="108"/>
      <c r="L22" s="108"/>
      <c r="M22" s="108"/>
      <c r="N22" s="109"/>
      <c r="O22" s="109"/>
      <c r="P22" s="110" t="n">
        <f aca="false">N22+O22</f>
        <v>0</v>
      </c>
    </row>
    <row r="23" customFormat="false" ht="12.75" hidden="false" customHeight="false" outlineLevel="0" collapsed="false">
      <c r="A23" s="106"/>
      <c r="B23" s="111"/>
      <c r="C23" s="107"/>
      <c r="D23" s="107"/>
      <c r="E23" s="79"/>
      <c r="F23" s="79"/>
      <c r="G23" s="112"/>
      <c r="H23" s="108"/>
      <c r="I23" s="108"/>
      <c r="J23" s="108"/>
      <c r="K23" s="108"/>
      <c r="L23" s="108"/>
      <c r="M23" s="108"/>
      <c r="N23" s="109"/>
      <c r="O23" s="109"/>
      <c r="P23" s="110" t="n">
        <f aca="false">N23+O23</f>
        <v>0</v>
      </c>
    </row>
    <row r="24" customFormat="false" ht="12.75" hidden="false" customHeight="false" outlineLevel="0" collapsed="false">
      <c r="A24" s="106"/>
      <c r="B24" s="111"/>
      <c r="C24" s="107"/>
      <c r="D24" s="107"/>
      <c r="E24" s="79"/>
      <c r="F24" s="79"/>
      <c r="G24" s="112"/>
      <c r="H24" s="108"/>
      <c r="I24" s="108"/>
      <c r="J24" s="108"/>
      <c r="K24" s="108"/>
      <c r="L24" s="108"/>
      <c r="M24" s="108"/>
      <c r="N24" s="109"/>
      <c r="O24" s="109"/>
      <c r="P24" s="110" t="n">
        <f aca="false">N24+O24</f>
        <v>0</v>
      </c>
    </row>
    <row r="25" customFormat="false" ht="12.75" hidden="false" customHeight="false" outlineLevel="0" collapsed="false">
      <c r="A25" s="106"/>
      <c r="B25" s="111"/>
      <c r="C25" s="107"/>
      <c r="D25" s="107"/>
      <c r="E25" s="79"/>
      <c r="F25" s="79"/>
      <c r="G25" s="112"/>
      <c r="H25" s="108"/>
      <c r="I25" s="108"/>
      <c r="J25" s="108"/>
      <c r="K25" s="108"/>
      <c r="L25" s="108"/>
      <c r="M25" s="108"/>
      <c r="N25" s="109"/>
      <c r="O25" s="109"/>
      <c r="P25" s="110" t="n">
        <f aca="false">N25+O25</f>
        <v>0</v>
      </c>
    </row>
    <row r="26" customFormat="false" ht="12.75" hidden="false" customHeight="false" outlineLevel="0" collapsed="false">
      <c r="A26" s="106"/>
      <c r="B26" s="111"/>
      <c r="C26" s="107"/>
      <c r="D26" s="107"/>
      <c r="E26" s="79"/>
      <c r="F26" s="79"/>
      <c r="G26" s="112"/>
      <c r="H26" s="108"/>
      <c r="I26" s="108"/>
      <c r="J26" s="108"/>
      <c r="K26" s="108"/>
      <c r="L26" s="108"/>
      <c r="M26" s="108"/>
      <c r="N26" s="109"/>
      <c r="O26" s="109"/>
      <c r="P26" s="110" t="n">
        <f aca="false">N26+O26</f>
        <v>0</v>
      </c>
    </row>
    <row r="27" customFormat="false" ht="12.75" hidden="false" customHeight="false" outlineLevel="0" collapsed="false">
      <c r="A27" s="106"/>
      <c r="B27" s="111"/>
      <c r="C27" s="107"/>
      <c r="D27" s="107"/>
      <c r="E27" s="79"/>
      <c r="F27" s="79"/>
      <c r="G27" s="112"/>
      <c r="H27" s="108"/>
      <c r="I27" s="108"/>
      <c r="J27" s="108"/>
      <c r="K27" s="108"/>
      <c r="L27" s="108"/>
      <c r="M27" s="108"/>
      <c r="N27" s="109"/>
      <c r="O27" s="109"/>
      <c r="P27" s="110" t="n">
        <f aca="false">N27+O27</f>
        <v>0</v>
      </c>
    </row>
    <row r="28" customFormat="false" ht="12.75" hidden="false" customHeight="false" outlineLevel="0" collapsed="false">
      <c r="A28" s="106"/>
      <c r="B28" s="111"/>
      <c r="C28" s="107"/>
      <c r="D28" s="107"/>
      <c r="E28" s="79"/>
      <c r="F28" s="79"/>
      <c r="G28" s="112"/>
      <c r="H28" s="108"/>
      <c r="I28" s="108"/>
      <c r="J28" s="108"/>
      <c r="K28" s="108"/>
      <c r="L28" s="108"/>
      <c r="M28" s="108"/>
      <c r="N28" s="109"/>
      <c r="O28" s="109"/>
      <c r="P28" s="110" t="n">
        <f aca="false">N28+O28</f>
        <v>0</v>
      </c>
    </row>
    <row r="29" customFormat="false" ht="12.75" hidden="false" customHeight="false" outlineLevel="0" collapsed="false">
      <c r="A29" s="106"/>
      <c r="B29" s="111"/>
      <c r="C29" s="107"/>
      <c r="D29" s="107"/>
      <c r="E29" s="79"/>
      <c r="F29" s="79"/>
      <c r="G29" s="112"/>
      <c r="H29" s="108"/>
      <c r="I29" s="108"/>
      <c r="J29" s="108"/>
      <c r="K29" s="108"/>
      <c r="L29" s="108"/>
      <c r="M29" s="108"/>
      <c r="N29" s="109"/>
      <c r="O29" s="109"/>
      <c r="P29" s="110" t="n">
        <f aca="false">N29+O29</f>
        <v>0</v>
      </c>
    </row>
    <row r="30" customFormat="false" ht="12.75" hidden="false" customHeight="false" outlineLevel="0" collapsed="false">
      <c r="A30" s="106"/>
      <c r="B30" s="111"/>
      <c r="C30" s="107"/>
      <c r="D30" s="107"/>
      <c r="E30" s="79"/>
      <c r="F30" s="79"/>
      <c r="G30" s="112"/>
      <c r="H30" s="108"/>
      <c r="I30" s="108"/>
      <c r="J30" s="108"/>
      <c r="K30" s="108"/>
      <c r="L30" s="108"/>
      <c r="M30" s="108"/>
      <c r="N30" s="109"/>
      <c r="O30" s="109"/>
      <c r="P30" s="110" t="n">
        <f aca="false">N30+O30</f>
        <v>0</v>
      </c>
    </row>
    <row r="31" customFormat="false" ht="12.75" hidden="false" customHeight="false" outlineLevel="0" collapsed="false">
      <c r="A31" s="106"/>
      <c r="B31" s="111"/>
      <c r="C31" s="107"/>
      <c r="D31" s="107"/>
      <c r="E31" s="79"/>
      <c r="F31" s="79"/>
      <c r="G31" s="112"/>
      <c r="H31" s="108"/>
      <c r="I31" s="108"/>
      <c r="J31" s="108"/>
      <c r="K31" s="108"/>
      <c r="L31" s="108"/>
      <c r="M31" s="108"/>
      <c r="N31" s="109"/>
      <c r="O31" s="109"/>
      <c r="P31" s="110" t="n">
        <f aca="false">N31+O31</f>
        <v>0</v>
      </c>
    </row>
    <row r="32" customFormat="false" ht="12.75" hidden="false" customHeight="false" outlineLevel="0" collapsed="false">
      <c r="A32" s="106"/>
      <c r="B32" s="111"/>
      <c r="C32" s="107"/>
      <c r="D32" s="107"/>
      <c r="E32" s="79"/>
      <c r="F32" s="79"/>
      <c r="G32" s="112"/>
      <c r="H32" s="108"/>
      <c r="I32" s="108"/>
      <c r="J32" s="108"/>
      <c r="K32" s="108"/>
      <c r="L32" s="108"/>
      <c r="M32" s="108"/>
      <c r="N32" s="109"/>
      <c r="O32" s="109"/>
      <c r="P32" s="110" t="n">
        <f aca="false">N32+O32</f>
        <v>0</v>
      </c>
    </row>
    <row r="33" customFormat="false" ht="12.75" hidden="false" customHeight="false" outlineLevel="0" collapsed="false">
      <c r="A33" s="106"/>
      <c r="B33" s="111"/>
      <c r="C33" s="107"/>
      <c r="D33" s="107"/>
      <c r="E33" s="79"/>
      <c r="F33" s="79"/>
      <c r="G33" s="112"/>
      <c r="H33" s="108"/>
      <c r="I33" s="108"/>
      <c r="J33" s="108"/>
      <c r="K33" s="108"/>
      <c r="L33" s="108"/>
      <c r="M33" s="108"/>
      <c r="N33" s="109"/>
      <c r="O33" s="109"/>
      <c r="P33" s="110" t="n">
        <f aca="false">N33+O33</f>
        <v>0</v>
      </c>
    </row>
    <row r="34" customFormat="false" ht="12.75" hidden="false" customHeight="false" outlineLevel="0" collapsed="false">
      <c r="A34" s="106"/>
      <c r="B34" s="111"/>
      <c r="C34" s="107"/>
      <c r="D34" s="107"/>
      <c r="E34" s="79"/>
      <c r="F34" s="79"/>
      <c r="G34" s="112"/>
      <c r="H34" s="108"/>
      <c r="I34" s="108"/>
      <c r="J34" s="108"/>
      <c r="K34" s="108"/>
      <c r="L34" s="108"/>
      <c r="M34" s="108"/>
      <c r="N34" s="109"/>
      <c r="O34" s="109"/>
      <c r="P34" s="110" t="n">
        <f aca="false">N34+O34</f>
        <v>0</v>
      </c>
    </row>
    <row r="35" customFormat="false" ht="12.75" hidden="false" customHeight="false" outlineLevel="0" collapsed="false">
      <c r="A35" s="106"/>
      <c r="B35" s="111"/>
      <c r="C35" s="107"/>
      <c r="D35" s="107"/>
      <c r="E35" s="79"/>
      <c r="F35" s="79"/>
      <c r="G35" s="112"/>
      <c r="H35" s="108"/>
      <c r="I35" s="108"/>
      <c r="J35" s="108"/>
      <c r="K35" s="108"/>
      <c r="L35" s="108"/>
      <c r="M35" s="108"/>
      <c r="N35" s="109"/>
      <c r="O35" s="109"/>
      <c r="P35" s="110" t="n">
        <f aca="false">N35+O35</f>
        <v>0</v>
      </c>
    </row>
    <row r="36" customFormat="false" ht="12.75" hidden="false" customHeight="false" outlineLevel="0" collapsed="false">
      <c r="A36" s="106"/>
      <c r="B36" s="111"/>
      <c r="C36" s="107"/>
      <c r="D36" s="107"/>
      <c r="E36" s="79"/>
      <c r="F36" s="79"/>
      <c r="G36" s="112"/>
      <c r="H36" s="108"/>
      <c r="I36" s="108"/>
      <c r="J36" s="108"/>
      <c r="K36" s="108"/>
      <c r="L36" s="108"/>
      <c r="M36" s="108"/>
      <c r="N36" s="109"/>
      <c r="O36" s="109"/>
      <c r="P36" s="110" t="n">
        <f aca="false">N36+O36</f>
        <v>0</v>
      </c>
    </row>
    <row r="37" customFormat="false" ht="12.75" hidden="false" customHeight="false" outlineLevel="0" collapsed="false">
      <c r="A37" s="106"/>
      <c r="B37" s="111"/>
      <c r="C37" s="107"/>
      <c r="D37" s="107"/>
      <c r="E37" s="79"/>
      <c r="F37" s="79"/>
      <c r="G37" s="112"/>
      <c r="H37" s="108"/>
      <c r="I37" s="108"/>
      <c r="J37" s="108"/>
      <c r="K37" s="108"/>
      <c r="L37" s="108"/>
      <c r="M37" s="108"/>
      <c r="N37" s="109"/>
      <c r="O37" s="109"/>
      <c r="P37" s="110" t="n">
        <f aca="false">N37+O37</f>
        <v>0</v>
      </c>
    </row>
    <row r="38" customFormat="false" ht="12.75" hidden="false" customHeight="false" outlineLevel="0" collapsed="false">
      <c r="A38" s="106"/>
      <c r="B38" s="111"/>
      <c r="C38" s="107"/>
      <c r="D38" s="107"/>
      <c r="E38" s="79"/>
      <c r="F38" s="79"/>
      <c r="G38" s="112"/>
      <c r="H38" s="108"/>
      <c r="I38" s="108"/>
      <c r="J38" s="108"/>
      <c r="K38" s="108"/>
      <c r="L38" s="108"/>
      <c r="M38" s="108"/>
      <c r="N38" s="109"/>
      <c r="O38" s="109"/>
      <c r="P38" s="110" t="n">
        <f aca="false">N38+O38</f>
        <v>0</v>
      </c>
    </row>
    <row r="39" customFormat="false" ht="12.75" hidden="false" customHeight="false" outlineLevel="0" collapsed="false">
      <c r="A39" s="106"/>
      <c r="B39" s="111"/>
      <c r="C39" s="107"/>
      <c r="D39" s="107"/>
      <c r="E39" s="79"/>
      <c r="F39" s="79"/>
      <c r="G39" s="112"/>
      <c r="H39" s="108"/>
      <c r="I39" s="108"/>
      <c r="J39" s="108"/>
      <c r="K39" s="108"/>
      <c r="L39" s="108"/>
      <c r="M39" s="108"/>
      <c r="N39" s="109"/>
      <c r="O39" s="109"/>
      <c r="P39" s="110" t="n">
        <f aca="false">N39+O39</f>
        <v>0</v>
      </c>
    </row>
    <row r="40" customFormat="false" ht="12.75" hidden="false" customHeight="false" outlineLevel="0" collapsed="false">
      <c r="A40" s="113"/>
      <c r="B40" s="107"/>
      <c r="C40" s="107"/>
      <c r="D40" s="107"/>
      <c r="E40" s="79"/>
      <c r="F40" s="79"/>
      <c r="G40" s="112"/>
      <c r="H40" s="108"/>
      <c r="I40" s="108"/>
      <c r="J40" s="108"/>
      <c r="K40" s="108"/>
      <c r="L40" s="108"/>
      <c r="M40" s="108"/>
      <c r="N40" s="109"/>
      <c r="O40" s="109"/>
      <c r="P40" s="110" t="n">
        <f aca="false">N40+O40</f>
        <v>0</v>
      </c>
    </row>
    <row r="41" customFormat="false" ht="12.75" hidden="false" customHeight="false" outlineLevel="0" collapsed="false">
      <c r="A41" s="113"/>
      <c r="B41" s="107"/>
      <c r="C41" s="107"/>
      <c r="D41" s="107"/>
      <c r="E41" s="79"/>
      <c r="F41" s="79"/>
      <c r="G41" s="112"/>
      <c r="H41" s="108"/>
      <c r="I41" s="108"/>
      <c r="J41" s="108"/>
      <c r="K41" s="108"/>
      <c r="L41" s="108"/>
      <c r="M41" s="108"/>
      <c r="N41" s="109"/>
      <c r="O41" s="109"/>
      <c r="P41" s="110" t="n">
        <f aca="false">N41+O41</f>
        <v>0</v>
      </c>
    </row>
    <row r="42" customFormat="false" ht="12.75" hidden="false" customHeight="false" outlineLevel="0" collapsed="false">
      <c r="A42" s="113"/>
      <c r="B42" s="107"/>
      <c r="C42" s="107"/>
      <c r="D42" s="107"/>
      <c r="E42" s="79"/>
      <c r="F42" s="79"/>
      <c r="G42" s="112"/>
      <c r="H42" s="108"/>
      <c r="I42" s="108"/>
      <c r="J42" s="108"/>
      <c r="K42" s="108"/>
      <c r="L42" s="108"/>
      <c r="M42" s="108"/>
      <c r="N42" s="109"/>
      <c r="O42" s="109"/>
      <c r="P42" s="110" t="n">
        <f aca="false">N42+O42</f>
        <v>0</v>
      </c>
    </row>
    <row r="43" customFormat="false" ht="12.75" hidden="false" customHeight="false" outlineLevel="0" collapsed="false">
      <c r="A43" s="113"/>
      <c r="B43" s="107"/>
      <c r="C43" s="107"/>
      <c r="D43" s="107"/>
      <c r="E43" s="79"/>
      <c r="F43" s="79"/>
      <c r="G43" s="112"/>
      <c r="H43" s="108"/>
      <c r="I43" s="108"/>
      <c r="J43" s="108"/>
      <c r="K43" s="108"/>
      <c r="L43" s="108"/>
      <c r="M43" s="108"/>
      <c r="N43" s="109"/>
      <c r="O43" s="109"/>
      <c r="P43" s="110" t="n">
        <f aca="false">N43+O43</f>
        <v>0</v>
      </c>
    </row>
    <row r="44" customFormat="false" ht="12.75" hidden="false" customHeight="false" outlineLevel="0" collapsed="false">
      <c r="A44" s="113"/>
      <c r="B44" s="107"/>
      <c r="C44" s="107"/>
      <c r="D44" s="107"/>
      <c r="E44" s="79"/>
      <c r="F44" s="79"/>
      <c r="G44" s="112"/>
      <c r="H44" s="108"/>
      <c r="I44" s="108"/>
      <c r="J44" s="108"/>
      <c r="K44" s="108"/>
      <c r="L44" s="108"/>
      <c r="M44" s="108"/>
      <c r="N44" s="109"/>
      <c r="O44" s="109"/>
      <c r="P44" s="110" t="n">
        <f aca="false">N44+O44</f>
        <v>0</v>
      </c>
    </row>
    <row r="45" customFormat="false" ht="12.75" hidden="false" customHeight="false" outlineLevel="0" collapsed="false">
      <c r="A45" s="113"/>
      <c r="B45" s="107"/>
      <c r="C45" s="107"/>
      <c r="D45" s="107"/>
      <c r="E45" s="79"/>
      <c r="F45" s="79"/>
      <c r="G45" s="112"/>
      <c r="H45" s="108"/>
      <c r="I45" s="108"/>
      <c r="J45" s="108"/>
      <c r="K45" s="108"/>
      <c r="L45" s="108"/>
      <c r="M45" s="108"/>
      <c r="N45" s="109"/>
      <c r="O45" s="109"/>
      <c r="P45" s="110" t="n">
        <f aca="false">N45+O45</f>
        <v>0</v>
      </c>
    </row>
    <row r="46" customFormat="false" ht="12.75" hidden="false" customHeight="false" outlineLevel="0" collapsed="false">
      <c r="A46" s="113"/>
      <c r="B46" s="107"/>
      <c r="C46" s="107"/>
      <c r="D46" s="107"/>
      <c r="E46" s="79"/>
      <c r="F46" s="79"/>
      <c r="G46" s="112"/>
      <c r="H46" s="108"/>
      <c r="I46" s="108"/>
      <c r="J46" s="108"/>
      <c r="K46" s="108"/>
      <c r="L46" s="108"/>
      <c r="M46" s="108"/>
      <c r="N46" s="109"/>
      <c r="O46" s="109"/>
      <c r="P46" s="110" t="n">
        <f aca="false">N46+O46</f>
        <v>0</v>
      </c>
    </row>
    <row r="47" customFormat="false" ht="12.75" hidden="false" customHeight="false" outlineLevel="0" collapsed="false">
      <c r="A47" s="113"/>
      <c r="B47" s="107"/>
      <c r="C47" s="107"/>
      <c r="D47" s="107"/>
      <c r="E47" s="79"/>
      <c r="F47" s="79"/>
      <c r="G47" s="112"/>
      <c r="H47" s="108"/>
      <c r="I47" s="108"/>
      <c r="J47" s="108"/>
      <c r="K47" s="108"/>
      <c r="L47" s="108"/>
      <c r="M47" s="108"/>
      <c r="N47" s="109"/>
      <c r="O47" s="109"/>
      <c r="P47" s="110" t="n">
        <f aca="false">N47+O47</f>
        <v>0</v>
      </c>
    </row>
    <row r="48" customFormat="false" ht="12.75" hidden="false" customHeight="false" outlineLevel="0" collapsed="false">
      <c r="A48" s="113"/>
      <c r="B48" s="107"/>
      <c r="C48" s="107"/>
      <c r="D48" s="107"/>
      <c r="E48" s="79"/>
      <c r="F48" s="79"/>
      <c r="G48" s="112"/>
      <c r="H48" s="108"/>
      <c r="I48" s="108"/>
      <c r="J48" s="108"/>
      <c r="K48" s="108"/>
      <c r="L48" s="108"/>
      <c r="M48" s="108"/>
      <c r="N48" s="109"/>
      <c r="O48" s="109"/>
      <c r="P48" s="110" t="n">
        <f aca="false">N48+O48</f>
        <v>0</v>
      </c>
    </row>
    <row r="49" customFormat="false" ht="12.75" hidden="false" customHeight="false" outlineLevel="0" collapsed="false">
      <c r="A49" s="113"/>
      <c r="B49" s="107"/>
      <c r="C49" s="107"/>
      <c r="D49" s="107"/>
      <c r="E49" s="79"/>
      <c r="F49" s="79"/>
      <c r="G49" s="112"/>
      <c r="H49" s="108"/>
      <c r="I49" s="108"/>
      <c r="J49" s="108"/>
      <c r="K49" s="108"/>
      <c r="L49" s="108"/>
      <c r="M49" s="108"/>
      <c r="N49" s="109"/>
      <c r="O49" s="109"/>
      <c r="P49" s="110" t="n">
        <f aca="false">N49+O49</f>
        <v>0</v>
      </c>
    </row>
    <row r="50" customFormat="false" ht="12.75" hidden="false" customHeight="false" outlineLevel="0" collapsed="false">
      <c r="A50" s="113"/>
      <c r="B50" s="107"/>
      <c r="C50" s="107"/>
      <c r="D50" s="107"/>
      <c r="E50" s="79"/>
      <c r="F50" s="79"/>
      <c r="G50" s="112"/>
      <c r="H50" s="108"/>
      <c r="I50" s="108"/>
      <c r="J50" s="108"/>
      <c r="K50" s="108"/>
      <c r="L50" s="108"/>
      <c r="M50" s="108"/>
      <c r="N50" s="109"/>
      <c r="O50" s="109"/>
      <c r="P50" s="110" t="n">
        <f aca="false">N50+O50</f>
        <v>0</v>
      </c>
    </row>
    <row r="51" customFormat="false" ht="12.75" hidden="false" customHeight="false" outlineLevel="0" collapsed="false">
      <c r="A51" s="113"/>
      <c r="B51" s="107"/>
      <c r="C51" s="107"/>
      <c r="D51" s="107"/>
      <c r="E51" s="79"/>
      <c r="F51" s="79"/>
      <c r="G51" s="112"/>
      <c r="H51" s="108"/>
      <c r="I51" s="108"/>
      <c r="J51" s="108"/>
      <c r="K51" s="108"/>
      <c r="L51" s="108"/>
      <c r="M51" s="108"/>
      <c r="N51" s="109"/>
      <c r="O51" s="109"/>
      <c r="P51" s="110" t="n">
        <f aca="false">N51+O51</f>
        <v>0</v>
      </c>
    </row>
    <row r="52" customFormat="false" ht="12.75" hidden="false" customHeight="false" outlineLevel="0" collapsed="false">
      <c r="A52" s="113"/>
      <c r="B52" s="107"/>
      <c r="C52" s="107"/>
      <c r="D52" s="107"/>
      <c r="E52" s="79"/>
      <c r="F52" s="79"/>
      <c r="G52" s="112"/>
      <c r="H52" s="108"/>
      <c r="I52" s="108"/>
      <c r="J52" s="108"/>
      <c r="K52" s="108"/>
      <c r="L52" s="108"/>
      <c r="M52" s="108"/>
      <c r="N52" s="109"/>
      <c r="O52" s="109"/>
      <c r="P52" s="110" t="n">
        <f aca="false">N52+O52</f>
        <v>0</v>
      </c>
    </row>
    <row r="53" customFormat="false" ht="12.75" hidden="false" customHeight="false" outlineLevel="0" collapsed="false">
      <c r="A53" s="113"/>
      <c r="B53" s="107"/>
      <c r="C53" s="107"/>
      <c r="D53" s="107"/>
      <c r="E53" s="79"/>
      <c r="F53" s="79"/>
      <c r="G53" s="112"/>
      <c r="H53" s="108"/>
      <c r="I53" s="108"/>
      <c r="J53" s="108"/>
      <c r="K53" s="108"/>
      <c r="L53" s="108"/>
      <c r="M53" s="108"/>
      <c r="N53" s="109"/>
      <c r="O53" s="109"/>
      <c r="P53" s="110" t="n">
        <f aca="false">N53+O53</f>
        <v>0</v>
      </c>
    </row>
    <row r="54" customFormat="false" ht="12.75" hidden="false" customHeight="false" outlineLevel="0" collapsed="false">
      <c r="A54" s="113"/>
      <c r="B54" s="107"/>
      <c r="C54" s="107"/>
      <c r="D54" s="107"/>
      <c r="E54" s="79"/>
      <c r="F54" s="79"/>
      <c r="G54" s="112"/>
      <c r="H54" s="108"/>
      <c r="I54" s="108"/>
      <c r="J54" s="108"/>
      <c r="K54" s="108"/>
      <c r="L54" s="108"/>
      <c r="M54" s="108"/>
      <c r="N54" s="109"/>
      <c r="O54" s="109"/>
      <c r="P54" s="110" t="n">
        <f aca="false">N54+O54</f>
        <v>0</v>
      </c>
    </row>
    <row r="55" customFormat="false" ht="12.75" hidden="false" customHeight="false" outlineLevel="0" collapsed="false">
      <c r="A55" s="113"/>
      <c r="B55" s="106"/>
      <c r="C55" s="106"/>
      <c r="D55" s="106"/>
      <c r="E55" s="79"/>
      <c r="F55" s="79"/>
      <c r="G55" s="112"/>
      <c r="H55" s="108"/>
      <c r="I55" s="108"/>
      <c r="J55" s="108"/>
      <c r="K55" s="108"/>
      <c r="L55" s="108"/>
      <c r="M55" s="108"/>
      <c r="N55" s="109"/>
      <c r="O55" s="109"/>
      <c r="P55" s="110" t="n">
        <f aca="false">N55+O55</f>
        <v>0</v>
      </c>
    </row>
    <row r="56" customFormat="false" ht="12.75" hidden="false" customHeight="false" outlineLevel="0" collapsed="false">
      <c r="A56" s="113"/>
      <c r="B56" s="106"/>
      <c r="C56" s="106"/>
      <c r="D56" s="106"/>
      <c r="E56" s="79"/>
      <c r="F56" s="79"/>
      <c r="G56" s="112"/>
      <c r="H56" s="108"/>
      <c r="I56" s="108"/>
      <c r="J56" s="108"/>
      <c r="K56" s="108"/>
      <c r="L56" s="108"/>
      <c r="M56" s="108"/>
      <c r="N56" s="109"/>
      <c r="O56" s="109"/>
      <c r="P56" s="110" t="n">
        <f aca="false">N56+O56</f>
        <v>0</v>
      </c>
    </row>
    <row r="57" customFormat="false" ht="12.75" hidden="false" customHeight="false" outlineLevel="0" collapsed="false">
      <c r="A57" s="113"/>
      <c r="B57" s="106"/>
      <c r="C57" s="106"/>
      <c r="D57" s="106"/>
      <c r="E57" s="79"/>
      <c r="F57" s="79"/>
      <c r="G57" s="112"/>
      <c r="H57" s="108"/>
      <c r="I57" s="108"/>
      <c r="J57" s="108"/>
      <c r="K57" s="108"/>
      <c r="L57" s="108"/>
      <c r="M57" s="108"/>
      <c r="N57" s="109"/>
      <c r="O57" s="109"/>
      <c r="P57" s="110" t="n">
        <f aca="false">N57+O57</f>
        <v>0</v>
      </c>
    </row>
    <row r="58" customFormat="false" ht="12.75" hidden="false" customHeight="false" outlineLevel="0" collapsed="false">
      <c r="A58" s="113"/>
      <c r="B58" s="106"/>
      <c r="C58" s="106"/>
      <c r="D58" s="106"/>
      <c r="E58" s="79"/>
      <c r="F58" s="79"/>
      <c r="G58" s="112"/>
      <c r="H58" s="108"/>
      <c r="I58" s="108"/>
      <c r="J58" s="108"/>
      <c r="K58" s="108"/>
      <c r="L58" s="108"/>
      <c r="M58" s="108"/>
      <c r="N58" s="109"/>
      <c r="O58" s="109"/>
      <c r="P58" s="110" t="n">
        <f aca="false">N58+O58</f>
        <v>0</v>
      </c>
    </row>
    <row r="59" customFormat="false" ht="12.75" hidden="false" customHeight="false" outlineLevel="0" collapsed="false">
      <c r="A59" s="113"/>
      <c r="B59" s="106"/>
      <c r="C59" s="106"/>
      <c r="D59" s="106"/>
      <c r="E59" s="79"/>
      <c r="F59" s="79"/>
      <c r="G59" s="112"/>
      <c r="H59" s="108"/>
      <c r="I59" s="108"/>
      <c r="J59" s="108"/>
      <c r="K59" s="108"/>
      <c r="L59" s="108"/>
      <c r="M59" s="108"/>
      <c r="N59" s="109"/>
      <c r="O59" s="109"/>
      <c r="P59" s="110" t="n">
        <f aca="false">N59+O59</f>
        <v>0</v>
      </c>
    </row>
    <row r="60" customFormat="false" ht="12.75" hidden="false" customHeight="false" outlineLevel="0" collapsed="false">
      <c r="A60" s="113"/>
      <c r="B60" s="106"/>
      <c r="C60" s="106"/>
      <c r="D60" s="106"/>
      <c r="E60" s="79"/>
      <c r="F60" s="79"/>
      <c r="G60" s="112"/>
      <c r="H60" s="108"/>
      <c r="I60" s="108"/>
      <c r="J60" s="108"/>
      <c r="K60" s="108"/>
      <c r="L60" s="108"/>
      <c r="M60" s="108"/>
      <c r="N60" s="109"/>
      <c r="O60" s="109"/>
      <c r="P60" s="110" t="n">
        <f aca="false">N60+O60</f>
        <v>0</v>
      </c>
    </row>
    <row r="61" customFormat="false" ht="12.75" hidden="false" customHeight="false" outlineLevel="0" collapsed="false">
      <c r="A61" s="113"/>
      <c r="B61" s="106"/>
      <c r="C61" s="106"/>
      <c r="D61" s="106"/>
      <c r="E61" s="79"/>
      <c r="F61" s="79"/>
      <c r="G61" s="112"/>
      <c r="H61" s="108"/>
      <c r="I61" s="108"/>
      <c r="J61" s="108"/>
      <c r="K61" s="108"/>
      <c r="L61" s="108"/>
      <c r="M61" s="108"/>
      <c r="N61" s="109"/>
      <c r="O61" s="109"/>
      <c r="P61" s="110" t="n">
        <f aca="false">N61+O61</f>
        <v>0</v>
      </c>
    </row>
    <row r="62" customFormat="false" ht="12.75" hidden="false" customHeight="false" outlineLevel="0" collapsed="false">
      <c r="A62" s="113"/>
      <c r="B62" s="106"/>
      <c r="C62" s="106"/>
      <c r="D62" s="106"/>
      <c r="E62" s="79"/>
      <c r="F62" s="79"/>
      <c r="G62" s="112"/>
      <c r="H62" s="108"/>
      <c r="I62" s="108"/>
      <c r="J62" s="108"/>
      <c r="K62" s="108"/>
      <c r="L62" s="108"/>
      <c r="M62" s="108"/>
      <c r="N62" s="109"/>
      <c r="O62" s="109"/>
      <c r="P62" s="110" t="n">
        <f aca="false">N62+O62</f>
        <v>0</v>
      </c>
    </row>
    <row r="63" customFormat="false" ht="12.75" hidden="false" customHeight="false" outlineLevel="0" collapsed="false">
      <c r="A63" s="113"/>
      <c r="B63" s="106"/>
      <c r="C63" s="106"/>
      <c r="D63" s="106"/>
      <c r="E63" s="79"/>
      <c r="F63" s="79"/>
      <c r="G63" s="112"/>
      <c r="H63" s="108"/>
      <c r="I63" s="108"/>
      <c r="J63" s="108"/>
      <c r="K63" s="108"/>
      <c r="L63" s="108"/>
      <c r="M63" s="108"/>
      <c r="N63" s="109"/>
      <c r="O63" s="109"/>
      <c r="P63" s="110" t="n">
        <f aca="false">N63+O63</f>
        <v>0</v>
      </c>
    </row>
    <row r="64" customFormat="false" ht="12.75" hidden="false" customHeight="false" outlineLevel="0" collapsed="false">
      <c r="A64" s="113"/>
      <c r="B64" s="106"/>
      <c r="C64" s="106"/>
      <c r="D64" s="106"/>
      <c r="E64" s="79"/>
      <c r="F64" s="79"/>
      <c r="G64" s="112"/>
      <c r="H64" s="108"/>
      <c r="I64" s="108"/>
      <c r="J64" s="108"/>
      <c r="K64" s="108"/>
      <c r="L64" s="108"/>
      <c r="M64" s="108"/>
      <c r="N64" s="109"/>
      <c r="O64" s="109"/>
      <c r="P64" s="110" t="n">
        <f aca="false">N64+O64</f>
        <v>0</v>
      </c>
    </row>
    <row r="65" customFormat="false" ht="12.75" hidden="false" customHeight="false" outlineLevel="0" collapsed="false">
      <c r="A65" s="113"/>
      <c r="B65" s="106"/>
      <c r="C65" s="106"/>
      <c r="D65" s="106"/>
      <c r="E65" s="79"/>
      <c r="F65" s="79"/>
      <c r="G65" s="112"/>
      <c r="H65" s="108"/>
      <c r="I65" s="108"/>
      <c r="J65" s="108"/>
      <c r="K65" s="108"/>
      <c r="L65" s="108"/>
      <c r="M65" s="108"/>
      <c r="N65" s="109"/>
      <c r="O65" s="109"/>
      <c r="P65" s="110" t="n">
        <f aca="false">N65+O65</f>
        <v>0</v>
      </c>
    </row>
    <row r="66" customFormat="false" ht="12.75" hidden="false" customHeight="false" outlineLevel="0" collapsed="false">
      <c r="A66" s="113"/>
      <c r="B66" s="106"/>
      <c r="C66" s="106"/>
      <c r="D66" s="106"/>
      <c r="E66" s="79"/>
      <c r="F66" s="79"/>
      <c r="G66" s="112"/>
      <c r="H66" s="108"/>
      <c r="I66" s="108"/>
      <c r="J66" s="108"/>
      <c r="K66" s="108"/>
      <c r="L66" s="108"/>
      <c r="M66" s="108"/>
      <c r="N66" s="109"/>
      <c r="O66" s="109"/>
      <c r="P66" s="110" t="n">
        <f aca="false">N66+O66</f>
        <v>0</v>
      </c>
    </row>
    <row r="67" customFormat="false" ht="12.75" hidden="false" customHeight="false" outlineLevel="0" collapsed="false">
      <c r="A67" s="113"/>
      <c r="B67" s="106"/>
      <c r="C67" s="106"/>
      <c r="D67" s="106"/>
      <c r="E67" s="79"/>
      <c r="F67" s="79"/>
      <c r="G67" s="112"/>
      <c r="H67" s="108"/>
      <c r="I67" s="108"/>
      <c r="J67" s="108"/>
      <c r="K67" s="108"/>
      <c r="L67" s="108"/>
      <c r="M67" s="108"/>
      <c r="N67" s="109"/>
      <c r="O67" s="109"/>
      <c r="P67" s="110" t="n">
        <f aca="false">N67+O67</f>
        <v>0</v>
      </c>
    </row>
    <row r="68" customFormat="false" ht="12.75" hidden="false" customHeight="false" outlineLevel="0" collapsed="false">
      <c r="A68" s="113"/>
      <c r="B68" s="106"/>
      <c r="C68" s="106"/>
      <c r="D68" s="106"/>
      <c r="E68" s="79"/>
      <c r="F68" s="79"/>
      <c r="G68" s="112"/>
      <c r="H68" s="108"/>
      <c r="I68" s="108"/>
      <c r="J68" s="108"/>
      <c r="K68" s="108"/>
      <c r="L68" s="108"/>
      <c r="M68" s="108"/>
      <c r="N68" s="109"/>
      <c r="O68" s="109"/>
      <c r="P68" s="110" t="n">
        <f aca="false">N68+O68</f>
        <v>0</v>
      </c>
    </row>
    <row r="69" customFormat="false" ht="12.75" hidden="false" customHeight="false" outlineLevel="0" collapsed="false">
      <c r="A69" s="113"/>
      <c r="B69" s="106"/>
      <c r="C69" s="106"/>
      <c r="D69" s="106"/>
      <c r="E69" s="79"/>
      <c r="F69" s="79"/>
      <c r="G69" s="112"/>
      <c r="H69" s="108"/>
      <c r="I69" s="108"/>
      <c r="J69" s="108"/>
      <c r="K69" s="108"/>
      <c r="L69" s="108"/>
      <c r="M69" s="108"/>
      <c r="N69" s="109"/>
      <c r="O69" s="109"/>
      <c r="P69" s="110" t="n">
        <f aca="false">N69+O69</f>
        <v>0</v>
      </c>
    </row>
    <row r="70" customFormat="false" ht="12.75" hidden="false" customHeight="false" outlineLevel="0" collapsed="false">
      <c r="A70" s="113"/>
      <c r="B70" s="106"/>
      <c r="C70" s="106"/>
      <c r="D70" s="106"/>
      <c r="E70" s="79"/>
      <c r="F70" s="79"/>
      <c r="G70" s="112"/>
      <c r="H70" s="108"/>
      <c r="I70" s="108"/>
      <c r="J70" s="108"/>
      <c r="K70" s="108"/>
      <c r="L70" s="108"/>
      <c r="M70" s="108"/>
      <c r="N70" s="109"/>
      <c r="O70" s="109"/>
      <c r="P70" s="110" t="n">
        <f aca="false">N70+O70</f>
        <v>0</v>
      </c>
    </row>
    <row r="71" customFormat="false" ht="12.75" hidden="false" customHeight="false" outlineLevel="0" collapsed="false">
      <c r="A71" s="113"/>
      <c r="B71" s="106"/>
      <c r="C71" s="106"/>
      <c r="D71" s="106"/>
      <c r="E71" s="79"/>
      <c r="F71" s="79"/>
      <c r="G71" s="112"/>
      <c r="H71" s="108"/>
      <c r="I71" s="108"/>
      <c r="J71" s="108"/>
      <c r="K71" s="108"/>
      <c r="L71" s="108"/>
      <c r="M71" s="108"/>
      <c r="N71" s="109"/>
      <c r="O71" s="109"/>
      <c r="P71" s="110" t="n">
        <f aca="false">N71+O71</f>
        <v>0</v>
      </c>
    </row>
    <row r="72" customFormat="false" ht="12.75" hidden="false" customHeight="false" outlineLevel="0" collapsed="false">
      <c r="A72" s="113"/>
      <c r="B72" s="106"/>
      <c r="C72" s="106"/>
      <c r="D72" s="106"/>
      <c r="E72" s="79"/>
      <c r="F72" s="79"/>
      <c r="G72" s="112"/>
      <c r="H72" s="108"/>
      <c r="I72" s="108"/>
      <c r="J72" s="108"/>
      <c r="K72" s="108"/>
      <c r="L72" s="108"/>
      <c r="M72" s="108"/>
      <c r="N72" s="109"/>
      <c r="O72" s="109"/>
      <c r="P72" s="110" t="n">
        <f aca="false">N72+O72</f>
        <v>0</v>
      </c>
    </row>
    <row r="73" customFormat="false" ht="12.75" hidden="false" customHeight="false" outlineLevel="0" collapsed="false">
      <c r="A73" s="113"/>
      <c r="B73" s="106"/>
      <c r="C73" s="106"/>
      <c r="D73" s="106"/>
      <c r="E73" s="79"/>
      <c r="F73" s="79"/>
      <c r="G73" s="112"/>
      <c r="H73" s="108"/>
      <c r="I73" s="108"/>
      <c r="J73" s="108"/>
      <c r="K73" s="108"/>
      <c r="L73" s="108"/>
      <c r="M73" s="108"/>
      <c r="N73" s="109"/>
      <c r="O73" s="109"/>
      <c r="P73" s="110" t="n">
        <f aca="false">N73+O73</f>
        <v>0</v>
      </c>
    </row>
    <row r="74" customFormat="false" ht="12.75" hidden="false" customHeight="false" outlineLevel="0" collapsed="false">
      <c r="A74" s="113"/>
      <c r="B74" s="106"/>
      <c r="C74" s="106"/>
      <c r="D74" s="106"/>
      <c r="E74" s="79"/>
      <c r="F74" s="79"/>
      <c r="G74" s="112"/>
      <c r="H74" s="108"/>
      <c r="I74" s="108"/>
      <c r="J74" s="108"/>
      <c r="K74" s="108"/>
      <c r="L74" s="108"/>
      <c r="M74" s="108"/>
      <c r="N74" s="109"/>
      <c r="O74" s="109"/>
      <c r="P74" s="110" t="n">
        <f aca="false">N74+O74</f>
        <v>0</v>
      </c>
    </row>
    <row r="75" customFormat="false" ht="12.75" hidden="false" customHeight="false" outlineLevel="0" collapsed="false">
      <c r="A75" s="113"/>
      <c r="B75" s="106"/>
      <c r="C75" s="106"/>
      <c r="D75" s="106"/>
      <c r="E75" s="79"/>
      <c r="F75" s="79"/>
      <c r="G75" s="112"/>
      <c r="H75" s="108"/>
      <c r="I75" s="108"/>
      <c r="J75" s="108"/>
      <c r="K75" s="108"/>
      <c r="L75" s="108"/>
      <c r="M75" s="108"/>
      <c r="N75" s="109"/>
      <c r="O75" s="109"/>
      <c r="P75" s="110" t="n">
        <f aca="false">N75+O75</f>
        <v>0</v>
      </c>
    </row>
    <row r="76" customFormat="false" ht="12.75" hidden="false" customHeight="false" outlineLevel="0" collapsed="false">
      <c r="A76" s="113"/>
      <c r="B76" s="106"/>
      <c r="C76" s="106"/>
      <c r="D76" s="106"/>
      <c r="E76" s="79"/>
      <c r="F76" s="79"/>
      <c r="G76" s="112"/>
      <c r="H76" s="108"/>
      <c r="I76" s="108"/>
      <c r="J76" s="108"/>
      <c r="K76" s="108"/>
      <c r="L76" s="108"/>
      <c r="M76" s="108"/>
      <c r="N76" s="109"/>
      <c r="O76" s="109"/>
      <c r="P76" s="110" t="n">
        <f aca="false">N76+O76</f>
        <v>0</v>
      </c>
    </row>
    <row r="77" customFormat="false" ht="12.75" hidden="false" customHeight="false" outlineLevel="0" collapsed="false">
      <c r="A77" s="113"/>
      <c r="B77" s="106"/>
      <c r="C77" s="106"/>
      <c r="D77" s="106"/>
      <c r="E77" s="79"/>
      <c r="F77" s="79"/>
      <c r="G77" s="112"/>
      <c r="H77" s="108"/>
      <c r="I77" s="108"/>
      <c r="J77" s="108"/>
      <c r="K77" s="108"/>
      <c r="L77" s="108"/>
      <c r="M77" s="108"/>
      <c r="N77" s="109"/>
      <c r="O77" s="109"/>
      <c r="P77" s="110" t="n">
        <f aca="false">N77+O77</f>
        <v>0</v>
      </c>
    </row>
    <row r="78" customFormat="false" ht="12.75" hidden="false" customHeight="false" outlineLevel="0" collapsed="false">
      <c r="A78" s="113"/>
      <c r="B78" s="106"/>
      <c r="C78" s="106"/>
      <c r="D78" s="106"/>
      <c r="E78" s="79"/>
      <c r="F78" s="79"/>
      <c r="G78" s="112"/>
      <c r="H78" s="108"/>
      <c r="I78" s="108"/>
      <c r="J78" s="108"/>
      <c r="K78" s="108"/>
      <c r="L78" s="108"/>
      <c r="M78" s="108"/>
      <c r="N78" s="109"/>
      <c r="O78" s="109"/>
      <c r="P78" s="110" t="n">
        <f aca="false">N78+O78</f>
        <v>0</v>
      </c>
    </row>
    <row r="79" customFormat="false" ht="12.75" hidden="false" customHeight="false" outlineLevel="0" collapsed="false">
      <c r="A79" s="113"/>
      <c r="B79" s="106"/>
      <c r="C79" s="106"/>
      <c r="D79" s="106"/>
      <c r="E79" s="79"/>
      <c r="F79" s="79"/>
      <c r="G79" s="112"/>
      <c r="H79" s="108"/>
      <c r="I79" s="108"/>
      <c r="J79" s="108"/>
      <c r="K79" s="108"/>
      <c r="L79" s="108"/>
      <c r="M79" s="108"/>
      <c r="N79" s="109"/>
      <c r="O79" s="109"/>
      <c r="P79" s="110" t="n">
        <f aca="false">N79+O79</f>
        <v>0</v>
      </c>
    </row>
    <row r="80" customFormat="false" ht="12.75" hidden="false" customHeight="false" outlineLevel="0" collapsed="false">
      <c r="A80" s="113"/>
      <c r="B80" s="106"/>
      <c r="C80" s="106"/>
      <c r="D80" s="106"/>
      <c r="E80" s="79"/>
      <c r="F80" s="79"/>
      <c r="G80" s="112"/>
      <c r="H80" s="108"/>
      <c r="I80" s="108"/>
      <c r="J80" s="108"/>
      <c r="K80" s="108"/>
      <c r="L80" s="108"/>
      <c r="M80" s="108"/>
      <c r="N80" s="109"/>
      <c r="O80" s="109"/>
      <c r="P80" s="110" t="n">
        <f aca="false">N80+O80</f>
        <v>0</v>
      </c>
    </row>
    <row r="81" customFormat="false" ht="12.75" hidden="false" customHeight="false" outlineLevel="0" collapsed="false">
      <c r="A81" s="113"/>
      <c r="B81" s="106"/>
      <c r="C81" s="106"/>
      <c r="D81" s="106"/>
      <c r="E81" s="79"/>
      <c r="F81" s="79"/>
      <c r="G81" s="112"/>
      <c r="H81" s="108"/>
      <c r="I81" s="108"/>
      <c r="J81" s="108"/>
      <c r="K81" s="108"/>
      <c r="L81" s="108"/>
      <c r="M81" s="108"/>
      <c r="N81" s="109"/>
      <c r="O81" s="109"/>
      <c r="P81" s="110" t="n">
        <f aca="false">N81+O81</f>
        <v>0</v>
      </c>
    </row>
    <row r="82" customFormat="false" ht="12.75" hidden="false" customHeight="false" outlineLevel="0" collapsed="false">
      <c r="A82" s="113"/>
      <c r="B82" s="106"/>
      <c r="C82" s="106"/>
      <c r="D82" s="106"/>
      <c r="E82" s="79"/>
      <c r="F82" s="79"/>
      <c r="G82" s="112"/>
      <c r="H82" s="108"/>
      <c r="I82" s="108"/>
      <c r="J82" s="108"/>
      <c r="K82" s="108"/>
      <c r="L82" s="108"/>
      <c r="M82" s="108"/>
      <c r="N82" s="109"/>
      <c r="O82" s="109"/>
      <c r="P82" s="110" t="n">
        <f aca="false">N82+O82</f>
        <v>0</v>
      </c>
    </row>
    <row r="83" customFormat="false" ht="12.75" hidden="false" customHeight="false" outlineLevel="0" collapsed="false">
      <c r="A83" s="113"/>
      <c r="B83" s="106"/>
      <c r="C83" s="106"/>
      <c r="D83" s="106"/>
      <c r="E83" s="79"/>
      <c r="F83" s="79"/>
      <c r="G83" s="112"/>
      <c r="H83" s="108"/>
      <c r="I83" s="108"/>
      <c r="J83" s="108"/>
      <c r="K83" s="108"/>
      <c r="L83" s="108"/>
      <c r="M83" s="108"/>
      <c r="N83" s="109"/>
      <c r="O83" s="109"/>
      <c r="P83" s="110" t="n">
        <f aca="false">N83+O83</f>
        <v>0</v>
      </c>
    </row>
    <row r="84" customFormat="false" ht="12.75" hidden="false" customHeight="false" outlineLevel="0" collapsed="false">
      <c r="A84" s="113"/>
      <c r="B84" s="106"/>
      <c r="C84" s="106"/>
      <c r="D84" s="106"/>
      <c r="E84" s="79"/>
      <c r="F84" s="79"/>
      <c r="G84" s="112"/>
      <c r="H84" s="108"/>
      <c r="I84" s="108"/>
      <c r="J84" s="108"/>
      <c r="K84" s="108"/>
      <c r="L84" s="108"/>
      <c r="M84" s="108"/>
      <c r="N84" s="109"/>
      <c r="O84" s="109"/>
      <c r="P84" s="110" t="n">
        <f aca="false">N84+O84</f>
        <v>0</v>
      </c>
    </row>
    <row r="85" customFormat="false" ht="12.75" hidden="false" customHeight="false" outlineLevel="0" collapsed="false">
      <c r="A85" s="113"/>
      <c r="B85" s="106"/>
      <c r="C85" s="106"/>
      <c r="D85" s="106"/>
      <c r="E85" s="79"/>
      <c r="F85" s="79"/>
      <c r="G85" s="112"/>
      <c r="H85" s="108"/>
      <c r="I85" s="108"/>
      <c r="J85" s="108"/>
      <c r="K85" s="108"/>
      <c r="L85" s="108"/>
      <c r="M85" s="108"/>
      <c r="N85" s="109"/>
      <c r="O85" s="109"/>
      <c r="P85" s="110" t="n">
        <f aca="false">N85+O85</f>
        <v>0</v>
      </c>
    </row>
    <row r="86" customFormat="false" ht="12.75" hidden="false" customHeight="false" outlineLevel="0" collapsed="false">
      <c r="A86" s="113"/>
      <c r="B86" s="106"/>
      <c r="C86" s="106"/>
      <c r="D86" s="106"/>
      <c r="E86" s="79"/>
      <c r="F86" s="79"/>
      <c r="G86" s="112"/>
      <c r="H86" s="108"/>
      <c r="I86" s="108"/>
      <c r="J86" s="108"/>
      <c r="K86" s="108"/>
      <c r="L86" s="108"/>
      <c r="M86" s="108"/>
      <c r="N86" s="109"/>
      <c r="O86" s="109"/>
      <c r="P86" s="110" t="n">
        <f aca="false">N86+O86</f>
        <v>0</v>
      </c>
    </row>
    <row r="87" customFormat="false" ht="12.75" hidden="false" customHeight="false" outlineLevel="0" collapsed="false">
      <c r="A87" s="113"/>
      <c r="B87" s="106"/>
      <c r="C87" s="106"/>
      <c r="D87" s="106"/>
      <c r="E87" s="79"/>
      <c r="F87" s="79"/>
      <c r="G87" s="112"/>
      <c r="H87" s="108"/>
      <c r="I87" s="108"/>
      <c r="J87" s="108"/>
      <c r="K87" s="108"/>
      <c r="L87" s="108"/>
      <c r="M87" s="108"/>
      <c r="N87" s="109"/>
      <c r="O87" s="109"/>
      <c r="P87" s="110" t="n">
        <f aca="false">N87+O87</f>
        <v>0</v>
      </c>
    </row>
    <row r="88" customFormat="false" ht="12.75" hidden="false" customHeight="false" outlineLevel="0" collapsed="false">
      <c r="A88" s="113"/>
      <c r="B88" s="106"/>
      <c r="C88" s="106"/>
      <c r="D88" s="106"/>
      <c r="E88" s="79"/>
      <c r="F88" s="79"/>
      <c r="G88" s="112"/>
      <c r="H88" s="108"/>
      <c r="I88" s="108"/>
      <c r="J88" s="108"/>
      <c r="K88" s="108"/>
      <c r="L88" s="108"/>
      <c r="M88" s="108"/>
      <c r="N88" s="109"/>
      <c r="O88" s="109"/>
      <c r="P88" s="110" t="n">
        <f aca="false">N88+O88</f>
        <v>0</v>
      </c>
    </row>
    <row r="89" customFormat="false" ht="12.75" hidden="false" customHeight="false" outlineLevel="0" collapsed="false">
      <c r="A89" s="113"/>
      <c r="B89" s="106"/>
      <c r="C89" s="106"/>
      <c r="D89" s="106"/>
      <c r="E89" s="79"/>
      <c r="F89" s="79"/>
      <c r="G89" s="112"/>
      <c r="H89" s="108"/>
      <c r="I89" s="108"/>
      <c r="J89" s="108"/>
      <c r="K89" s="108"/>
      <c r="L89" s="108"/>
      <c r="M89" s="108"/>
      <c r="N89" s="109"/>
      <c r="O89" s="109"/>
      <c r="P89" s="110" t="n">
        <f aca="false">N89+O89</f>
        <v>0</v>
      </c>
    </row>
    <row r="90" customFormat="false" ht="12.75" hidden="false" customHeight="false" outlineLevel="0" collapsed="false">
      <c r="A90" s="113"/>
      <c r="B90" s="106"/>
      <c r="C90" s="106"/>
      <c r="D90" s="106"/>
      <c r="E90" s="79"/>
      <c r="F90" s="79"/>
      <c r="G90" s="112"/>
      <c r="H90" s="108"/>
      <c r="I90" s="108"/>
      <c r="J90" s="108"/>
      <c r="K90" s="108"/>
      <c r="L90" s="108"/>
      <c r="M90" s="108"/>
      <c r="N90" s="109"/>
      <c r="O90" s="109"/>
      <c r="P90" s="110" t="n">
        <f aca="false">N90+O90</f>
        <v>0</v>
      </c>
    </row>
    <row r="91" customFormat="false" ht="12.75" hidden="false" customHeight="false" outlineLevel="0" collapsed="false">
      <c r="A91" s="113"/>
      <c r="B91" s="106"/>
      <c r="C91" s="106"/>
      <c r="D91" s="106"/>
      <c r="E91" s="79"/>
      <c r="F91" s="79"/>
      <c r="G91" s="112"/>
      <c r="H91" s="108"/>
      <c r="I91" s="108"/>
      <c r="J91" s="108"/>
      <c r="K91" s="108"/>
      <c r="L91" s="108"/>
      <c r="M91" s="108"/>
      <c r="N91" s="109"/>
      <c r="O91" s="109"/>
      <c r="P91" s="110" t="n">
        <f aca="false">N91+O91</f>
        <v>0</v>
      </c>
    </row>
    <row r="92" customFormat="false" ht="12.75" hidden="false" customHeight="false" outlineLevel="0" collapsed="false">
      <c r="A92" s="113"/>
      <c r="B92" s="106"/>
      <c r="C92" s="106"/>
      <c r="D92" s="106"/>
      <c r="E92" s="79"/>
      <c r="F92" s="79"/>
      <c r="G92" s="112"/>
      <c r="H92" s="108"/>
      <c r="I92" s="108"/>
      <c r="J92" s="108"/>
      <c r="K92" s="108"/>
      <c r="L92" s="108"/>
      <c r="M92" s="108"/>
      <c r="N92" s="109"/>
      <c r="O92" s="109"/>
      <c r="P92" s="110" t="n">
        <f aca="false">N92+O92</f>
        <v>0</v>
      </c>
    </row>
    <row r="93" customFormat="false" ht="12.75" hidden="false" customHeight="false" outlineLevel="0" collapsed="false">
      <c r="A93" s="113"/>
      <c r="B93" s="106"/>
      <c r="C93" s="106"/>
      <c r="D93" s="106"/>
      <c r="E93" s="79"/>
      <c r="F93" s="79"/>
      <c r="G93" s="112"/>
      <c r="H93" s="108"/>
      <c r="I93" s="108"/>
      <c r="J93" s="108"/>
      <c r="K93" s="108"/>
      <c r="L93" s="108"/>
      <c r="M93" s="108"/>
      <c r="N93" s="109"/>
      <c r="O93" s="109"/>
      <c r="P93" s="110" t="n">
        <f aca="false">N93+O93</f>
        <v>0</v>
      </c>
    </row>
    <row r="94" customFormat="false" ht="12.75" hidden="false" customHeight="false" outlineLevel="0" collapsed="false">
      <c r="A94" s="113"/>
      <c r="B94" s="106"/>
      <c r="C94" s="106"/>
      <c r="D94" s="106"/>
      <c r="E94" s="79"/>
      <c r="F94" s="79"/>
      <c r="G94" s="112"/>
      <c r="H94" s="108"/>
      <c r="I94" s="108"/>
      <c r="J94" s="108"/>
      <c r="K94" s="108"/>
      <c r="L94" s="108"/>
      <c r="M94" s="108"/>
      <c r="N94" s="109"/>
      <c r="O94" s="109"/>
      <c r="P94" s="110" t="n">
        <f aca="false">N94+O94</f>
        <v>0</v>
      </c>
    </row>
    <row r="95" customFormat="false" ht="12.75" hidden="false" customHeight="false" outlineLevel="0" collapsed="false">
      <c r="A95" s="113"/>
      <c r="B95" s="106"/>
      <c r="C95" s="106"/>
      <c r="D95" s="106"/>
      <c r="E95" s="79"/>
      <c r="F95" s="79"/>
      <c r="G95" s="112"/>
      <c r="H95" s="108"/>
      <c r="I95" s="108"/>
      <c r="J95" s="108"/>
      <c r="K95" s="108"/>
      <c r="L95" s="108"/>
      <c r="M95" s="108"/>
      <c r="N95" s="109"/>
      <c r="O95" s="109"/>
      <c r="P95" s="110" t="n">
        <f aca="false">N95+O95</f>
        <v>0</v>
      </c>
    </row>
    <row r="96" customFormat="false" ht="12.75" hidden="false" customHeight="false" outlineLevel="0" collapsed="false">
      <c r="A96" s="113"/>
      <c r="B96" s="106"/>
      <c r="C96" s="106"/>
      <c r="D96" s="106"/>
      <c r="E96" s="79"/>
      <c r="F96" s="79"/>
      <c r="G96" s="112"/>
      <c r="H96" s="108"/>
      <c r="I96" s="108"/>
      <c r="J96" s="108"/>
      <c r="K96" s="108"/>
      <c r="L96" s="108"/>
      <c r="M96" s="108"/>
      <c r="N96" s="109"/>
      <c r="O96" s="109"/>
      <c r="P96" s="110" t="n">
        <f aca="false">N96+O96</f>
        <v>0</v>
      </c>
    </row>
    <row r="97" customFormat="false" ht="12.75" hidden="false" customHeight="false" outlineLevel="0" collapsed="false">
      <c r="A97" s="113"/>
      <c r="B97" s="106"/>
      <c r="C97" s="106"/>
      <c r="D97" s="106"/>
      <c r="E97" s="79"/>
      <c r="F97" s="79"/>
      <c r="G97" s="112"/>
      <c r="H97" s="108"/>
      <c r="I97" s="108"/>
      <c r="J97" s="108"/>
      <c r="K97" s="108"/>
      <c r="L97" s="108"/>
      <c r="M97" s="108"/>
      <c r="N97" s="109"/>
      <c r="O97" s="109"/>
      <c r="P97" s="110" t="n">
        <f aca="false">N97+O97</f>
        <v>0</v>
      </c>
    </row>
    <row r="98" customFormat="false" ht="12.75" hidden="false" customHeight="false" outlineLevel="0" collapsed="false">
      <c r="A98" s="113"/>
      <c r="B98" s="106"/>
      <c r="C98" s="106"/>
      <c r="D98" s="106"/>
      <c r="E98" s="79"/>
      <c r="F98" s="79"/>
      <c r="G98" s="112"/>
      <c r="H98" s="108"/>
      <c r="I98" s="108"/>
      <c r="J98" s="108"/>
      <c r="K98" s="108"/>
      <c r="L98" s="108"/>
      <c r="M98" s="108"/>
      <c r="N98" s="109"/>
      <c r="O98" s="109"/>
      <c r="P98" s="110" t="n">
        <f aca="false">N98+O98</f>
        <v>0</v>
      </c>
    </row>
    <row r="99" customFormat="false" ht="12.75" hidden="false" customHeight="false" outlineLevel="0" collapsed="false">
      <c r="A99" s="113"/>
      <c r="B99" s="106"/>
      <c r="C99" s="106"/>
      <c r="D99" s="106"/>
      <c r="E99" s="79"/>
      <c r="F99" s="79"/>
      <c r="G99" s="112"/>
      <c r="H99" s="108"/>
      <c r="I99" s="108"/>
      <c r="J99" s="108"/>
      <c r="K99" s="108"/>
      <c r="L99" s="108"/>
      <c r="M99" s="108"/>
      <c r="N99" s="109"/>
      <c r="O99" s="109"/>
      <c r="P99" s="110" t="n">
        <f aca="false">N99+O99</f>
        <v>0</v>
      </c>
    </row>
    <row r="100" customFormat="false" ht="12.75" hidden="false" customHeight="false" outlineLevel="0" collapsed="false">
      <c r="A100" s="113"/>
      <c r="B100" s="106"/>
      <c r="C100" s="106"/>
      <c r="D100" s="106"/>
      <c r="E100" s="79"/>
      <c r="F100" s="79"/>
      <c r="G100" s="112"/>
      <c r="H100" s="108"/>
      <c r="I100" s="108"/>
      <c r="J100" s="108"/>
      <c r="K100" s="108"/>
      <c r="L100" s="108"/>
      <c r="M100" s="108"/>
      <c r="N100" s="109"/>
      <c r="O100" s="109"/>
      <c r="P100" s="110" t="n">
        <f aca="false">N100+O100</f>
        <v>0</v>
      </c>
    </row>
    <row r="101" customFormat="false" ht="12.75" hidden="false" customHeight="false" outlineLevel="0" collapsed="false">
      <c r="A101" s="113"/>
      <c r="B101" s="106"/>
      <c r="C101" s="106"/>
      <c r="D101" s="106"/>
      <c r="E101" s="79"/>
      <c r="F101" s="79"/>
      <c r="G101" s="112"/>
      <c r="H101" s="108"/>
      <c r="I101" s="108"/>
      <c r="J101" s="108"/>
      <c r="K101" s="108"/>
      <c r="L101" s="108"/>
      <c r="M101" s="108"/>
      <c r="N101" s="109"/>
      <c r="O101" s="109"/>
      <c r="P101" s="110" t="n">
        <f aca="false">N101+O101</f>
        <v>0</v>
      </c>
    </row>
    <row r="102" customFormat="false" ht="12.75" hidden="false" customHeight="false" outlineLevel="0" collapsed="false">
      <c r="A102" s="113"/>
      <c r="B102" s="106"/>
      <c r="C102" s="106"/>
      <c r="D102" s="106"/>
      <c r="E102" s="79"/>
      <c r="F102" s="79"/>
      <c r="G102" s="112"/>
      <c r="H102" s="108"/>
      <c r="I102" s="108"/>
      <c r="J102" s="108"/>
      <c r="K102" s="108"/>
      <c r="L102" s="108"/>
      <c r="M102" s="108"/>
      <c r="N102" s="109"/>
      <c r="O102" s="109"/>
      <c r="P102" s="110" t="n">
        <f aca="false">N102+O102</f>
        <v>0</v>
      </c>
    </row>
    <row r="103" customFormat="false" ht="12.75" hidden="false" customHeight="false" outlineLevel="0" collapsed="false">
      <c r="A103" s="113"/>
      <c r="B103" s="106"/>
      <c r="C103" s="106"/>
      <c r="D103" s="106"/>
      <c r="E103" s="79"/>
      <c r="F103" s="79"/>
      <c r="G103" s="112"/>
      <c r="H103" s="108"/>
      <c r="I103" s="108"/>
      <c r="J103" s="108"/>
      <c r="K103" s="108"/>
      <c r="L103" s="108"/>
      <c r="M103" s="108"/>
      <c r="N103" s="109"/>
      <c r="O103" s="109"/>
      <c r="P103" s="110" t="n">
        <f aca="false">N103+O103</f>
        <v>0</v>
      </c>
    </row>
    <row r="104" customFormat="false" ht="12.75" hidden="false" customHeight="false" outlineLevel="0" collapsed="false">
      <c r="A104" s="113"/>
      <c r="B104" s="106"/>
      <c r="C104" s="106"/>
      <c r="D104" s="106"/>
      <c r="E104" s="79"/>
      <c r="F104" s="79"/>
      <c r="G104" s="112"/>
      <c r="H104" s="108"/>
      <c r="I104" s="108"/>
      <c r="J104" s="108"/>
      <c r="K104" s="108"/>
      <c r="L104" s="108"/>
      <c r="M104" s="108"/>
      <c r="N104" s="109"/>
      <c r="O104" s="109"/>
      <c r="P104" s="110" t="n">
        <f aca="false">N104+O104</f>
        <v>0</v>
      </c>
    </row>
    <row r="105" customFormat="false" ht="12.75" hidden="false" customHeight="false" outlineLevel="0" collapsed="false">
      <c r="A105" s="113"/>
      <c r="B105" s="106"/>
      <c r="C105" s="106"/>
      <c r="D105" s="106"/>
      <c r="E105" s="79"/>
      <c r="F105" s="79"/>
      <c r="G105" s="112"/>
      <c r="H105" s="108"/>
      <c r="I105" s="108"/>
      <c r="J105" s="108"/>
      <c r="K105" s="108"/>
      <c r="L105" s="108"/>
      <c r="M105" s="108"/>
      <c r="N105" s="109"/>
      <c r="O105" s="109"/>
      <c r="P105" s="110" t="n">
        <f aca="false">N105+O105</f>
        <v>0</v>
      </c>
    </row>
    <row r="106" customFormat="false" ht="12.75" hidden="false" customHeight="false" outlineLevel="0" collapsed="false">
      <c r="A106" s="113"/>
      <c r="B106" s="106"/>
      <c r="C106" s="106"/>
      <c r="D106" s="106"/>
      <c r="E106" s="79"/>
      <c r="F106" s="79"/>
      <c r="G106" s="112"/>
      <c r="H106" s="108"/>
      <c r="I106" s="108"/>
      <c r="J106" s="108"/>
      <c r="K106" s="108"/>
      <c r="L106" s="108"/>
      <c r="M106" s="108"/>
      <c r="N106" s="109"/>
      <c r="O106" s="109"/>
      <c r="P106" s="110" t="n">
        <f aca="false">N106+O106</f>
        <v>0</v>
      </c>
    </row>
    <row r="107" customFormat="false" ht="12.75" hidden="false" customHeight="false" outlineLevel="0" collapsed="false">
      <c r="A107" s="113"/>
      <c r="B107" s="106"/>
      <c r="C107" s="106"/>
      <c r="D107" s="106"/>
      <c r="E107" s="79"/>
      <c r="F107" s="79"/>
      <c r="G107" s="112"/>
      <c r="H107" s="108"/>
      <c r="I107" s="108"/>
      <c r="J107" s="108"/>
      <c r="K107" s="108"/>
      <c r="L107" s="108"/>
      <c r="M107" s="108"/>
      <c r="N107" s="109"/>
      <c r="O107" s="109"/>
      <c r="P107" s="110" t="n">
        <f aca="false">N107+O107</f>
        <v>0</v>
      </c>
    </row>
    <row r="108" customFormat="false" ht="12.75" hidden="false" customHeight="false" outlineLevel="0" collapsed="false">
      <c r="A108" s="113"/>
      <c r="B108" s="106"/>
      <c r="C108" s="106"/>
      <c r="D108" s="106"/>
      <c r="E108" s="79"/>
      <c r="F108" s="79"/>
      <c r="G108" s="112"/>
      <c r="H108" s="108"/>
      <c r="I108" s="108"/>
      <c r="J108" s="108"/>
      <c r="K108" s="108"/>
      <c r="L108" s="108"/>
      <c r="M108" s="108"/>
      <c r="N108" s="109"/>
      <c r="O108" s="109"/>
      <c r="P108" s="110" t="n">
        <f aca="false">N108+O108</f>
        <v>0</v>
      </c>
    </row>
    <row r="109" customFormat="false" ht="12.75" hidden="false" customHeight="false" outlineLevel="0" collapsed="false">
      <c r="A109" s="113"/>
      <c r="B109" s="106"/>
      <c r="C109" s="106"/>
      <c r="D109" s="106"/>
      <c r="E109" s="79"/>
      <c r="F109" s="79"/>
      <c r="G109" s="112"/>
      <c r="H109" s="108"/>
      <c r="I109" s="108"/>
      <c r="J109" s="108"/>
      <c r="K109" s="108"/>
      <c r="L109" s="108"/>
      <c r="M109" s="108"/>
      <c r="N109" s="109"/>
      <c r="O109" s="109"/>
      <c r="P109" s="110" t="n">
        <f aca="false">N109+O109</f>
        <v>0</v>
      </c>
    </row>
    <row r="110" customFormat="false" ht="12.75" hidden="false" customHeight="false" outlineLevel="0" collapsed="false">
      <c r="A110" s="113"/>
      <c r="B110" s="106"/>
      <c r="C110" s="106"/>
      <c r="D110" s="106"/>
      <c r="E110" s="79"/>
      <c r="F110" s="79"/>
      <c r="G110" s="112"/>
      <c r="H110" s="108"/>
      <c r="I110" s="108"/>
      <c r="J110" s="108"/>
      <c r="K110" s="108"/>
      <c r="L110" s="108"/>
      <c r="M110" s="108"/>
      <c r="N110" s="109"/>
      <c r="O110" s="109"/>
      <c r="P110" s="110" t="n">
        <f aca="false">N110+O110</f>
        <v>0</v>
      </c>
    </row>
    <row r="111" customFormat="false" ht="12.75" hidden="false" customHeight="false" outlineLevel="0" collapsed="false">
      <c r="A111" s="113"/>
      <c r="B111" s="106"/>
      <c r="C111" s="106"/>
      <c r="D111" s="106"/>
      <c r="E111" s="79"/>
      <c r="F111" s="79"/>
      <c r="G111" s="112"/>
      <c r="H111" s="108"/>
      <c r="I111" s="108"/>
      <c r="J111" s="108"/>
      <c r="K111" s="108"/>
      <c r="L111" s="108"/>
      <c r="M111" s="108"/>
      <c r="N111" s="109"/>
      <c r="O111" s="109"/>
      <c r="P111" s="110" t="n">
        <f aca="false">N111+O111</f>
        <v>0</v>
      </c>
    </row>
    <row r="112" customFormat="false" ht="12.75" hidden="false" customHeight="false" outlineLevel="0" collapsed="false">
      <c r="A112" s="113"/>
      <c r="B112" s="106"/>
      <c r="C112" s="106"/>
      <c r="D112" s="106"/>
      <c r="E112" s="79"/>
      <c r="F112" s="79"/>
      <c r="G112" s="112"/>
      <c r="H112" s="108"/>
      <c r="I112" s="108"/>
      <c r="J112" s="108"/>
      <c r="K112" s="108"/>
      <c r="L112" s="108"/>
      <c r="M112" s="108"/>
      <c r="N112" s="109"/>
      <c r="O112" s="109"/>
      <c r="P112" s="110" t="n">
        <f aca="false">N112+O112</f>
        <v>0</v>
      </c>
    </row>
    <row r="113" customFormat="false" ht="12.75" hidden="false" customHeight="false" outlineLevel="0" collapsed="false">
      <c r="A113" s="113"/>
      <c r="B113" s="106"/>
      <c r="C113" s="106"/>
      <c r="D113" s="106"/>
      <c r="E113" s="79"/>
      <c r="F113" s="79"/>
      <c r="G113" s="112"/>
      <c r="H113" s="108"/>
      <c r="I113" s="108"/>
      <c r="J113" s="108"/>
      <c r="K113" s="108"/>
      <c r="L113" s="108"/>
      <c r="M113" s="108"/>
      <c r="N113" s="109"/>
      <c r="O113" s="109"/>
      <c r="P113" s="110" t="n">
        <f aca="false">N113+O113</f>
        <v>0</v>
      </c>
    </row>
    <row r="114" customFormat="false" ht="12.75" hidden="false" customHeight="false" outlineLevel="0" collapsed="false">
      <c r="A114" s="113"/>
      <c r="B114" s="106"/>
      <c r="C114" s="106"/>
      <c r="D114" s="106"/>
      <c r="E114" s="79"/>
      <c r="F114" s="79"/>
      <c r="G114" s="112"/>
      <c r="H114" s="108"/>
      <c r="I114" s="108"/>
      <c r="J114" s="108"/>
      <c r="K114" s="108"/>
      <c r="L114" s="108"/>
      <c r="M114" s="108"/>
      <c r="N114" s="109"/>
      <c r="O114" s="109"/>
      <c r="P114" s="110" t="n">
        <f aca="false">N114+O114</f>
        <v>0</v>
      </c>
    </row>
    <row r="115" customFormat="false" ht="12.75" hidden="false" customHeight="false" outlineLevel="0" collapsed="false">
      <c r="A115" s="113"/>
      <c r="B115" s="106"/>
      <c r="C115" s="106"/>
      <c r="D115" s="106"/>
      <c r="E115" s="79"/>
      <c r="F115" s="79"/>
      <c r="G115" s="112"/>
      <c r="H115" s="108"/>
      <c r="I115" s="108"/>
      <c r="J115" s="108"/>
      <c r="K115" s="108"/>
      <c r="L115" s="108"/>
      <c r="M115" s="108"/>
      <c r="N115" s="109"/>
      <c r="O115" s="109"/>
      <c r="P115" s="110" t="n">
        <f aca="false">N115+O115</f>
        <v>0</v>
      </c>
    </row>
    <row r="116" customFormat="false" ht="12.75" hidden="false" customHeight="false" outlineLevel="0" collapsed="false">
      <c r="A116" s="113"/>
      <c r="B116" s="106"/>
      <c r="C116" s="106"/>
      <c r="D116" s="106"/>
      <c r="E116" s="79"/>
      <c r="F116" s="79"/>
      <c r="G116" s="112"/>
      <c r="H116" s="108"/>
      <c r="I116" s="108"/>
      <c r="J116" s="108"/>
      <c r="K116" s="108"/>
      <c r="L116" s="108"/>
      <c r="M116" s="108"/>
      <c r="N116" s="109"/>
      <c r="O116" s="109"/>
      <c r="P116" s="110" t="n">
        <f aca="false">N116+O116</f>
        <v>0</v>
      </c>
    </row>
    <row r="117" customFormat="false" ht="12.75" hidden="false" customHeight="false" outlineLevel="0" collapsed="false">
      <c r="A117" s="113"/>
      <c r="B117" s="106"/>
      <c r="C117" s="106"/>
      <c r="D117" s="106"/>
      <c r="E117" s="79"/>
      <c r="F117" s="79"/>
      <c r="G117" s="112"/>
      <c r="H117" s="108"/>
      <c r="I117" s="108"/>
      <c r="J117" s="108"/>
      <c r="K117" s="108"/>
      <c r="L117" s="108"/>
      <c r="M117" s="108"/>
      <c r="N117" s="109"/>
      <c r="O117" s="109"/>
      <c r="P117" s="110" t="n">
        <f aca="false">N117+O117</f>
        <v>0</v>
      </c>
    </row>
    <row r="118" customFormat="false" ht="12.75" hidden="false" customHeight="false" outlineLevel="0" collapsed="false">
      <c r="A118" s="113"/>
      <c r="B118" s="106"/>
      <c r="C118" s="106"/>
      <c r="D118" s="106"/>
      <c r="E118" s="79"/>
      <c r="F118" s="79"/>
      <c r="G118" s="112"/>
      <c r="H118" s="108"/>
      <c r="I118" s="108"/>
      <c r="J118" s="108"/>
      <c r="K118" s="108"/>
      <c r="L118" s="108"/>
      <c r="M118" s="108"/>
      <c r="N118" s="109"/>
      <c r="O118" s="109"/>
      <c r="P118" s="110" t="n">
        <f aca="false">N118+O118</f>
        <v>0</v>
      </c>
    </row>
    <row r="119" customFormat="false" ht="12.75" hidden="false" customHeight="false" outlineLevel="0" collapsed="false">
      <c r="A119" s="113"/>
      <c r="B119" s="106"/>
      <c r="C119" s="106"/>
      <c r="D119" s="106"/>
      <c r="E119" s="79"/>
      <c r="F119" s="79"/>
      <c r="G119" s="112"/>
      <c r="H119" s="108"/>
      <c r="I119" s="108"/>
      <c r="J119" s="108"/>
      <c r="K119" s="108"/>
      <c r="L119" s="108"/>
      <c r="M119" s="108"/>
      <c r="N119" s="109"/>
      <c r="O119" s="109"/>
      <c r="P119" s="110" t="n">
        <f aca="false">N119+O119</f>
        <v>0</v>
      </c>
    </row>
    <row r="120" customFormat="false" ht="12.75" hidden="false" customHeight="false" outlineLevel="0" collapsed="false">
      <c r="A120" s="113"/>
      <c r="B120" s="106"/>
      <c r="C120" s="106"/>
      <c r="D120" s="106"/>
      <c r="E120" s="79"/>
      <c r="F120" s="79"/>
      <c r="G120" s="112"/>
      <c r="H120" s="108"/>
      <c r="I120" s="108"/>
      <c r="J120" s="108"/>
      <c r="K120" s="108"/>
      <c r="L120" s="108"/>
      <c r="M120" s="108"/>
      <c r="N120" s="109"/>
      <c r="O120" s="109"/>
      <c r="P120" s="110" t="n">
        <f aca="false">N120+O120</f>
        <v>0</v>
      </c>
    </row>
    <row r="121" customFormat="false" ht="12.75" hidden="false" customHeight="false" outlineLevel="0" collapsed="false">
      <c r="A121" s="113"/>
      <c r="B121" s="106"/>
      <c r="C121" s="106"/>
      <c r="D121" s="106"/>
      <c r="E121" s="79"/>
      <c r="F121" s="79"/>
      <c r="G121" s="112"/>
      <c r="H121" s="108"/>
      <c r="I121" s="108"/>
      <c r="J121" s="108"/>
      <c r="K121" s="108"/>
      <c r="L121" s="108"/>
      <c r="M121" s="108"/>
      <c r="N121" s="109"/>
      <c r="O121" s="109"/>
      <c r="P121" s="110" t="n">
        <f aca="false">N121+O121</f>
        <v>0</v>
      </c>
    </row>
    <row r="122" customFormat="false" ht="12.75" hidden="false" customHeight="false" outlineLevel="0" collapsed="false">
      <c r="A122" s="113"/>
      <c r="B122" s="106"/>
      <c r="C122" s="106"/>
      <c r="D122" s="106"/>
      <c r="E122" s="79"/>
      <c r="F122" s="79"/>
      <c r="G122" s="112"/>
      <c r="H122" s="108"/>
      <c r="I122" s="108"/>
      <c r="J122" s="108"/>
      <c r="K122" s="108"/>
      <c r="L122" s="108"/>
      <c r="M122" s="108"/>
      <c r="N122" s="109"/>
      <c r="O122" s="109"/>
      <c r="P122" s="110" t="n">
        <f aca="false">N122+O122</f>
        <v>0</v>
      </c>
    </row>
    <row r="123" customFormat="false" ht="12.75" hidden="false" customHeight="false" outlineLevel="0" collapsed="false">
      <c r="A123" s="113"/>
      <c r="B123" s="106"/>
      <c r="C123" s="106"/>
      <c r="D123" s="106"/>
      <c r="E123" s="79"/>
      <c r="F123" s="79"/>
      <c r="G123" s="112"/>
      <c r="H123" s="108"/>
      <c r="I123" s="108"/>
      <c r="J123" s="108"/>
      <c r="K123" s="108"/>
      <c r="L123" s="108"/>
      <c r="M123" s="108"/>
      <c r="N123" s="109"/>
      <c r="O123" s="109"/>
      <c r="P123" s="110" t="n">
        <f aca="false">N123+O123</f>
        <v>0</v>
      </c>
    </row>
    <row r="124" customFormat="false" ht="12.75" hidden="false" customHeight="false" outlineLevel="0" collapsed="false">
      <c r="A124" s="113"/>
      <c r="B124" s="106"/>
      <c r="C124" s="106"/>
      <c r="D124" s="106"/>
      <c r="E124" s="79"/>
      <c r="F124" s="79"/>
      <c r="G124" s="112"/>
      <c r="H124" s="108"/>
      <c r="I124" s="108"/>
      <c r="J124" s="108"/>
      <c r="K124" s="108"/>
      <c r="L124" s="108"/>
      <c r="M124" s="108"/>
      <c r="N124" s="109"/>
      <c r="O124" s="109"/>
      <c r="P124" s="110" t="n">
        <f aca="false">N124+O124</f>
        <v>0</v>
      </c>
    </row>
    <row r="125" customFormat="false" ht="12.75" hidden="false" customHeight="false" outlineLevel="0" collapsed="false">
      <c r="A125" s="113"/>
      <c r="B125" s="106"/>
      <c r="C125" s="106"/>
      <c r="D125" s="106"/>
      <c r="E125" s="79"/>
      <c r="F125" s="79"/>
      <c r="G125" s="112"/>
      <c r="H125" s="108"/>
      <c r="I125" s="108"/>
      <c r="J125" s="108"/>
      <c r="K125" s="108"/>
      <c r="L125" s="108"/>
      <c r="M125" s="108"/>
      <c r="N125" s="109"/>
      <c r="O125" s="109"/>
      <c r="P125" s="110" t="n">
        <f aca="false">N125+O125</f>
        <v>0</v>
      </c>
    </row>
    <row r="126" customFormat="false" ht="12.75" hidden="false" customHeight="false" outlineLevel="0" collapsed="false">
      <c r="A126" s="113"/>
      <c r="B126" s="106"/>
      <c r="C126" s="106"/>
      <c r="D126" s="106"/>
      <c r="E126" s="79"/>
      <c r="F126" s="79"/>
      <c r="G126" s="112"/>
      <c r="H126" s="108"/>
      <c r="I126" s="108"/>
      <c r="J126" s="108"/>
      <c r="K126" s="108"/>
      <c r="L126" s="108"/>
      <c r="M126" s="108"/>
      <c r="N126" s="109"/>
      <c r="O126" s="109"/>
      <c r="P126" s="110" t="n">
        <f aca="false">N126+O126</f>
        <v>0</v>
      </c>
    </row>
    <row r="127" customFormat="false" ht="12.75" hidden="false" customHeight="false" outlineLevel="0" collapsed="false">
      <c r="A127" s="113"/>
      <c r="B127" s="106"/>
      <c r="C127" s="106"/>
      <c r="D127" s="106"/>
      <c r="E127" s="79"/>
      <c r="F127" s="79"/>
      <c r="G127" s="112"/>
      <c r="H127" s="108"/>
      <c r="I127" s="108"/>
      <c r="J127" s="108"/>
      <c r="K127" s="108"/>
      <c r="L127" s="108"/>
      <c r="M127" s="108"/>
      <c r="N127" s="109"/>
      <c r="O127" s="109"/>
      <c r="P127" s="110" t="n">
        <f aca="false">N127+O127</f>
        <v>0</v>
      </c>
    </row>
    <row r="128" customFormat="false" ht="12.75" hidden="false" customHeight="false" outlineLevel="0" collapsed="false">
      <c r="A128" s="113"/>
      <c r="B128" s="106"/>
      <c r="C128" s="106"/>
      <c r="D128" s="106"/>
      <c r="E128" s="79"/>
      <c r="F128" s="79"/>
      <c r="G128" s="112"/>
      <c r="H128" s="108"/>
      <c r="I128" s="108"/>
      <c r="J128" s="108"/>
      <c r="K128" s="108"/>
      <c r="L128" s="108"/>
      <c r="M128" s="108"/>
      <c r="N128" s="109"/>
      <c r="O128" s="109"/>
      <c r="P128" s="110" t="n">
        <f aca="false">N128+O128</f>
        <v>0</v>
      </c>
    </row>
    <row r="129" customFormat="false" ht="12.75" hidden="false" customHeight="false" outlineLevel="0" collapsed="false">
      <c r="A129" s="113"/>
      <c r="B129" s="106"/>
      <c r="C129" s="106"/>
      <c r="D129" s="106"/>
      <c r="E129" s="79"/>
      <c r="F129" s="79"/>
      <c r="G129" s="112"/>
      <c r="H129" s="108"/>
      <c r="I129" s="108"/>
      <c r="J129" s="108"/>
      <c r="K129" s="108"/>
      <c r="L129" s="108"/>
      <c r="M129" s="108"/>
      <c r="N129" s="109"/>
      <c r="O129" s="109"/>
      <c r="P129" s="110" t="n">
        <f aca="false">N129+O129</f>
        <v>0</v>
      </c>
    </row>
    <row r="130" customFormat="false" ht="12.75" hidden="false" customHeight="false" outlineLevel="0" collapsed="false">
      <c r="A130" s="113"/>
      <c r="B130" s="106"/>
      <c r="C130" s="106"/>
      <c r="D130" s="106"/>
      <c r="E130" s="79"/>
      <c r="F130" s="79"/>
      <c r="G130" s="112"/>
      <c r="H130" s="108"/>
      <c r="I130" s="108"/>
      <c r="J130" s="108"/>
      <c r="K130" s="108"/>
      <c r="L130" s="108"/>
      <c r="M130" s="108"/>
      <c r="N130" s="109"/>
      <c r="O130" s="109"/>
      <c r="P130" s="110" t="n">
        <f aca="false">N130+O130</f>
        <v>0</v>
      </c>
    </row>
    <row r="131" customFormat="false" ht="12.75" hidden="false" customHeight="false" outlineLevel="0" collapsed="false">
      <c r="A131" s="113"/>
      <c r="B131" s="106"/>
      <c r="C131" s="106"/>
      <c r="D131" s="106"/>
      <c r="E131" s="79"/>
      <c r="F131" s="79"/>
      <c r="G131" s="112"/>
      <c r="H131" s="108"/>
      <c r="I131" s="108"/>
      <c r="J131" s="108"/>
      <c r="K131" s="108"/>
      <c r="L131" s="108"/>
      <c r="M131" s="108"/>
      <c r="N131" s="109"/>
      <c r="O131" s="109"/>
      <c r="P131" s="110" t="n">
        <f aca="false">N131+O131</f>
        <v>0</v>
      </c>
    </row>
    <row r="132" customFormat="false" ht="12.75" hidden="false" customHeight="false" outlineLevel="0" collapsed="false">
      <c r="A132" s="113"/>
      <c r="B132" s="106"/>
      <c r="C132" s="106"/>
      <c r="D132" s="106"/>
      <c r="E132" s="79"/>
      <c r="F132" s="79"/>
      <c r="G132" s="112"/>
      <c r="H132" s="108"/>
      <c r="I132" s="108"/>
      <c r="J132" s="108"/>
      <c r="K132" s="108"/>
      <c r="L132" s="108"/>
      <c r="M132" s="108"/>
      <c r="N132" s="109"/>
      <c r="O132" s="109"/>
      <c r="P132" s="110" t="n">
        <f aca="false">N132+O132</f>
        <v>0</v>
      </c>
    </row>
    <row r="133" customFormat="false" ht="12.75" hidden="false" customHeight="false" outlineLevel="0" collapsed="false">
      <c r="A133" s="113"/>
      <c r="B133" s="106"/>
      <c r="C133" s="106"/>
      <c r="D133" s="106"/>
      <c r="E133" s="79"/>
      <c r="F133" s="79"/>
      <c r="G133" s="112"/>
      <c r="H133" s="108"/>
      <c r="I133" s="108"/>
      <c r="J133" s="108"/>
      <c r="K133" s="108"/>
      <c r="L133" s="108"/>
      <c r="M133" s="108"/>
      <c r="N133" s="109"/>
      <c r="O133" s="109"/>
      <c r="P133" s="110" t="n">
        <f aca="false">N133+O133</f>
        <v>0</v>
      </c>
    </row>
    <row r="134" customFormat="false" ht="12.75" hidden="false" customHeight="false" outlineLevel="0" collapsed="false">
      <c r="A134" s="113"/>
      <c r="B134" s="106"/>
      <c r="C134" s="106"/>
      <c r="D134" s="106"/>
      <c r="E134" s="79"/>
      <c r="F134" s="79"/>
      <c r="G134" s="112"/>
      <c r="H134" s="108"/>
      <c r="I134" s="108"/>
      <c r="J134" s="108"/>
      <c r="K134" s="108"/>
      <c r="L134" s="108"/>
      <c r="M134" s="108"/>
      <c r="N134" s="109"/>
      <c r="O134" s="109"/>
      <c r="P134" s="110" t="n">
        <f aca="false">N134+O134</f>
        <v>0</v>
      </c>
    </row>
    <row r="135" customFormat="false" ht="12.75" hidden="false" customHeight="false" outlineLevel="0" collapsed="false">
      <c r="A135" s="113"/>
      <c r="B135" s="106"/>
      <c r="C135" s="106"/>
      <c r="D135" s="106"/>
      <c r="E135" s="79"/>
      <c r="F135" s="79"/>
      <c r="G135" s="112"/>
      <c r="H135" s="108"/>
      <c r="I135" s="108"/>
      <c r="J135" s="108"/>
      <c r="K135" s="108"/>
      <c r="L135" s="108"/>
      <c r="M135" s="108"/>
      <c r="N135" s="109"/>
      <c r="O135" s="109"/>
      <c r="P135" s="110" t="n">
        <f aca="false">N135+O135</f>
        <v>0</v>
      </c>
    </row>
    <row r="136" customFormat="false" ht="12.75" hidden="false" customHeight="false" outlineLevel="0" collapsed="false">
      <c r="A136" s="113"/>
      <c r="B136" s="106"/>
      <c r="C136" s="106"/>
      <c r="D136" s="106"/>
      <c r="E136" s="79"/>
      <c r="F136" s="79"/>
      <c r="G136" s="112"/>
      <c r="H136" s="108"/>
      <c r="I136" s="108"/>
      <c r="J136" s="108"/>
      <c r="K136" s="108"/>
      <c r="L136" s="108"/>
      <c r="M136" s="108"/>
      <c r="N136" s="109"/>
      <c r="O136" s="109"/>
      <c r="P136" s="110" t="n">
        <f aca="false">N136+O136</f>
        <v>0</v>
      </c>
    </row>
    <row r="137" customFormat="false" ht="12.75" hidden="false" customHeight="false" outlineLevel="0" collapsed="false">
      <c r="A137" s="113"/>
      <c r="B137" s="106"/>
      <c r="C137" s="106"/>
      <c r="D137" s="106"/>
      <c r="E137" s="79"/>
      <c r="F137" s="79"/>
      <c r="G137" s="112"/>
      <c r="H137" s="108"/>
      <c r="I137" s="108"/>
      <c r="J137" s="108"/>
      <c r="K137" s="108"/>
      <c r="L137" s="108"/>
      <c r="M137" s="108"/>
      <c r="N137" s="109"/>
      <c r="O137" s="109"/>
      <c r="P137" s="110" t="n">
        <f aca="false">N137+O137</f>
        <v>0</v>
      </c>
    </row>
    <row r="138" customFormat="false" ht="12.75" hidden="false" customHeight="false" outlineLevel="0" collapsed="false">
      <c r="A138" s="113"/>
      <c r="B138" s="106"/>
      <c r="C138" s="106"/>
      <c r="D138" s="106"/>
      <c r="E138" s="79"/>
      <c r="F138" s="79"/>
      <c r="G138" s="112"/>
      <c r="H138" s="108"/>
      <c r="I138" s="108"/>
      <c r="J138" s="108"/>
      <c r="K138" s="108"/>
      <c r="L138" s="108"/>
      <c r="M138" s="108"/>
      <c r="N138" s="109"/>
      <c r="O138" s="109"/>
      <c r="P138" s="110" t="n">
        <f aca="false">N138+O138</f>
        <v>0</v>
      </c>
    </row>
    <row r="139" customFormat="false" ht="12.75" hidden="false" customHeight="false" outlineLevel="0" collapsed="false">
      <c r="A139" s="113"/>
      <c r="B139" s="106"/>
      <c r="C139" s="106"/>
      <c r="D139" s="106"/>
      <c r="E139" s="79"/>
      <c r="F139" s="79"/>
      <c r="G139" s="112"/>
      <c r="H139" s="108"/>
      <c r="I139" s="108"/>
      <c r="J139" s="108"/>
      <c r="K139" s="108"/>
      <c r="L139" s="108"/>
      <c r="M139" s="108"/>
      <c r="N139" s="109"/>
      <c r="O139" s="109"/>
      <c r="P139" s="110" t="n">
        <f aca="false">N139+O139</f>
        <v>0</v>
      </c>
    </row>
    <row r="140" customFormat="false" ht="12.75" hidden="false" customHeight="false" outlineLevel="0" collapsed="false">
      <c r="A140" s="113"/>
      <c r="B140" s="106"/>
      <c r="C140" s="106"/>
      <c r="D140" s="106"/>
      <c r="E140" s="79"/>
      <c r="F140" s="79"/>
      <c r="G140" s="112"/>
      <c r="H140" s="108"/>
      <c r="I140" s="108"/>
      <c r="J140" s="108"/>
      <c r="K140" s="108"/>
      <c r="L140" s="108"/>
      <c r="M140" s="108"/>
      <c r="N140" s="109"/>
      <c r="O140" s="109"/>
      <c r="P140" s="110" t="n">
        <f aca="false">N140+O140</f>
        <v>0</v>
      </c>
    </row>
    <row r="141" customFormat="false" ht="12.75" hidden="false" customHeight="false" outlineLevel="0" collapsed="false">
      <c r="A141" s="113"/>
      <c r="B141" s="106"/>
      <c r="C141" s="106"/>
      <c r="D141" s="106"/>
      <c r="E141" s="79"/>
      <c r="F141" s="79"/>
      <c r="G141" s="112"/>
      <c r="H141" s="108"/>
      <c r="I141" s="108"/>
      <c r="J141" s="108"/>
      <c r="K141" s="108"/>
      <c r="L141" s="108"/>
      <c r="M141" s="108"/>
      <c r="N141" s="109"/>
      <c r="O141" s="109"/>
      <c r="P141" s="110" t="n">
        <f aca="false">N141+O141</f>
        <v>0</v>
      </c>
    </row>
    <row r="142" customFormat="false" ht="12.75" hidden="false" customHeight="false" outlineLevel="0" collapsed="false">
      <c r="A142" s="113"/>
      <c r="B142" s="106"/>
      <c r="C142" s="106"/>
      <c r="D142" s="106"/>
      <c r="E142" s="79"/>
      <c r="F142" s="79"/>
      <c r="G142" s="112"/>
      <c r="H142" s="108"/>
      <c r="I142" s="108"/>
      <c r="J142" s="108"/>
      <c r="K142" s="108"/>
      <c r="L142" s="108"/>
      <c r="M142" s="108"/>
      <c r="N142" s="109"/>
      <c r="O142" s="109"/>
      <c r="P142" s="110" t="n">
        <f aca="false">N142+O142</f>
        <v>0</v>
      </c>
    </row>
  </sheetData>
  <sheetProtection sheet="true" password="8737" objects="true" scenarios="true"/>
  <printOptions headings="false" gridLines="false" gridLinesSet="true" horizontalCentered="false" verticalCentered="false"/>
  <pageMargins left="0.747916666666667" right="0.747916666666667" top="0.984027777777778" bottom="0.7875" header="0.511805555555556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/>
  </headerFooter>
  <colBreaks count="1" manualBreakCount="1">
    <brk id="9" man="true" max="65535" min="0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6.98"/>
    <col collapsed="false" customWidth="true" hidden="false" outlineLevel="0" max="2" min="2" style="0" width="22.82"/>
    <col collapsed="false" customWidth="true" hidden="false" outlineLevel="0" max="3" min="3" style="0" width="7.55"/>
    <col collapsed="false" customWidth="true" hidden="false" outlineLevel="0" max="4" min="4" style="0" width="22.68"/>
    <col collapsed="false" customWidth="true" hidden="false" outlineLevel="0" max="5" min="5" style="0" width="13.69"/>
    <col collapsed="false" customWidth="true" hidden="false" outlineLevel="0" max="6" min="6" style="0" width="20.97"/>
    <col collapsed="false" customWidth="true" hidden="false" outlineLevel="0" max="7" min="7" style="87" width="18.26"/>
    <col collapsed="false" customWidth="true" hidden="false" outlineLevel="0" max="8" min="8" style="87" width="13.27"/>
    <col collapsed="false" customWidth="true" hidden="false" outlineLevel="0" max="9" min="9" style="0" width="15.68"/>
  </cols>
  <sheetData>
    <row r="1" customFormat="false" ht="16.5" hidden="false" customHeight="false" outlineLevel="0" collapsed="false">
      <c r="A1" s="88" t="s">
        <v>54</v>
      </c>
      <c r="B1" s="89"/>
      <c r="C1" s="89"/>
      <c r="D1" s="114"/>
      <c r="E1" s="115"/>
      <c r="F1" s="91"/>
      <c r="G1" s="29"/>
      <c r="H1" s="91"/>
    </row>
    <row r="2" customFormat="false" ht="15.75" hidden="false" customHeight="false" outlineLevel="0" collapsed="false">
      <c r="A2" s="116" t="s">
        <v>55</v>
      </c>
      <c r="B2" s="117"/>
      <c r="C2" s="89"/>
      <c r="D2" s="114"/>
      <c r="E2" s="115"/>
      <c r="F2" s="91"/>
      <c r="G2" s="29"/>
      <c r="H2" s="91"/>
    </row>
    <row r="3" customFormat="false" ht="16.5" hidden="false" customHeight="false" outlineLevel="0" collapsed="false">
      <c r="A3" s="88" t="s">
        <v>40</v>
      </c>
      <c r="B3" s="118" t="n">
        <f aca="false">SUM(H6:H40)</f>
        <v>0</v>
      </c>
      <c r="C3" s="93"/>
      <c r="D3" s="94"/>
      <c r="E3" s="91"/>
      <c r="F3" s="91"/>
      <c r="G3" s="29"/>
      <c r="H3" s="91"/>
    </row>
    <row r="4" customFormat="false" ht="13.5" hidden="false" customHeight="false" outlineLevel="0" collapsed="false">
      <c r="A4" s="29"/>
      <c r="B4" s="95"/>
      <c r="C4" s="95"/>
      <c r="D4" s="29"/>
      <c r="E4" s="29"/>
      <c r="F4" s="29"/>
      <c r="G4" s="91"/>
      <c r="H4" s="91"/>
    </row>
    <row r="5" customFormat="false" ht="26.25" hidden="false" customHeight="false" outlineLevel="0" collapsed="false">
      <c r="A5" s="5" t="s">
        <v>41</v>
      </c>
      <c r="B5" s="96" t="s">
        <v>42</v>
      </c>
      <c r="C5" s="5" t="s">
        <v>34</v>
      </c>
      <c r="D5" s="98" t="s">
        <v>56</v>
      </c>
      <c r="E5" s="96" t="s">
        <v>57</v>
      </c>
      <c r="F5" s="98" t="s">
        <v>58</v>
      </c>
      <c r="G5" s="98" t="s">
        <v>59</v>
      </c>
      <c r="H5" s="98" t="s">
        <v>60</v>
      </c>
    </row>
    <row r="6" customFormat="false" ht="12.75" hidden="false" customHeight="false" outlineLevel="0" collapsed="false">
      <c r="A6" s="119"/>
      <c r="B6" s="72"/>
      <c r="C6" s="120"/>
      <c r="D6" s="121"/>
      <c r="E6" s="122"/>
      <c r="F6" s="123"/>
      <c r="G6" s="124"/>
      <c r="H6" s="125" t="n">
        <f aca="false">E6*G6</f>
        <v>0</v>
      </c>
    </row>
    <row r="7" customFormat="false" ht="12.75" hidden="false" customHeight="false" outlineLevel="0" collapsed="false">
      <c r="A7" s="126"/>
      <c r="B7" s="77"/>
      <c r="C7" s="111"/>
      <c r="D7" s="127"/>
      <c r="E7" s="128"/>
      <c r="F7" s="129"/>
      <c r="G7" s="130"/>
      <c r="H7" s="125" t="n">
        <f aca="false">E7*G7</f>
        <v>0</v>
      </c>
    </row>
    <row r="8" customFormat="false" ht="12.75" hidden="false" customHeight="false" outlineLevel="0" collapsed="false">
      <c r="A8" s="126"/>
      <c r="B8" s="77"/>
      <c r="C8" s="111"/>
      <c r="D8" s="127"/>
      <c r="E8" s="128"/>
      <c r="F8" s="129"/>
      <c r="G8" s="130"/>
      <c r="H8" s="125" t="n">
        <f aca="false">E8*G8</f>
        <v>0</v>
      </c>
    </row>
    <row r="9" customFormat="false" ht="12.75" hidden="false" customHeight="false" outlineLevel="0" collapsed="false">
      <c r="A9" s="126"/>
      <c r="B9" s="77"/>
      <c r="C9" s="111"/>
      <c r="D9" s="127"/>
      <c r="E9" s="128"/>
      <c r="F9" s="129"/>
      <c r="G9" s="130"/>
      <c r="H9" s="125" t="n">
        <f aca="false">E9*G9</f>
        <v>0</v>
      </c>
    </row>
    <row r="10" customFormat="false" ht="12.75" hidden="false" customHeight="false" outlineLevel="0" collapsed="false">
      <c r="A10" s="126"/>
      <c r="B10" s="127"/>
      <c r="C10" s="111"/>
      <c r="D10" s="127"/>
      <c r="E10" s="128"/>
      <c r="F10" s="129"/>
      <c r="G10" s="130"/>
      <c r="H10" s="125" t="n">
        <f aca="false">E10*G10</f>
        <v>0</v>
      </c>
    </row>
    <row r="11" customFormat="false" ht="12.75" hidden="false" customHeight="false" outlineLevel="0" collapsed="false">
      <c r="A11" s="126"/>
      <c r="B11" s="127"/>
      <c r="C11" s="111"/>
      <c r="D11" s="127"/>
      <c r="E11" s="128"/>
      <c r="F11" s="129"/>
      <c r="G11" s="130"/>
      <c r="H11" s="125" t="n">
        <f aca="false">E11*G11</f>
        <v>0</v>
      </c>
    </row>
    <row r="12" customFormat="false" ht="12.75" hidden="false" customHeight="false" outlineLevel="0" collapsed="false">
      <c r="A12" s="126"/>
      <c r="B12" s="127"/>
      <c r="C12" s="111"/>
      <c r="D12" s="127"/>
      <c r="E12" s="128"/>
      <c r="F12" s="129"/>
      <c r="G12" s="130"/>
      <c r="H12" s="125" t="n">
        <f aca="false">E12*G12</f>
        <v>0</v>
      </c>
    </row>
    <row r="13" customFormat="false" ht="12.75" hidden="false" customHeight="false" outlineLevel="0" collapsed="false">
      <c r="A13" s="126"/>
      <c r="B13" s="127"/>
      <c r="C13" s="111"/>
      <c r="D13" s="127"/>
      <c r="E13" s="128"/>
      <c r="F13" s="129"/>
      <c r="G13" s="130"/>
      <c r="H13" s="125" t="n">
        <f aca="false">E13*G13</f>
        <v>0</v>
      </c>
    </row>
    <row r="14" customFormat="false" ht="12.75" hidden="false" customHeight="false" outlineLevel="0" collapsed="false">
      <c r="A14" s="126"/>
      <c r="B14" s="127"/>
      <c r="C14" s="111"/>
      <c r="D14" s="127"/>
      <c r="E14" s="128"/>
      <c r="F14" s="129"/>
      <c r="G14" s="130"/>
      <c r="H14" s="125" t="n">
        <f aca="false">E14*G14</f>
        <v>0</v>
      </c>
    </row>
    <row r="15" customFormat="false" ht="12.75" hidden="false" customHeight="false" outlineLevel="0" collapsed="false">
      <c r="A15" s="126"/>
      <c r="B15" s="127"/>
      <c r="C15" s="111"/>
      <c r="D15" s="127"/>
      <c r="E15" s="128"/>
      <c r="F15" s="129"/>
      <c r="G15" s="130"/>
      <c r="H15" s="125" t="n">
        <f aca="false">E15*G15</f>
        <v>0</v>
      </c>
    </row>
    <row r="16" customFormat="false" ht="12.75" hidden="false" customHeight="false" outlineLevel="0" collapsed="false">
      <c r="A16" s="126"/>
      <c r="B16" s="127"/>
      <c r="C16" s="111"/>
      <c r="D16" s="127"/>
      <c r="E16" s="128"/>
      <c r="F16" s="129"/>
      <c r="G16" s="130"/>
      <c r="H16" s="125" t="n">
        <f aca="false">E16*G16</f>
        <v>0</v>
      </c>
    </row>
    <row r="17" customFormat="false" ht="12.75" hidden="false" customHeight="false" outlineLevel="0" collapsed="false">
      <c r="A17" s="126"/>
      <c r="B17" s="127"/>
      <c r="C17" s="111"/>
      <c r="D17" s="127"/>
      <c r="E17" s="128"/>
      <c r="F17" s="129"/>
      <c r="G17" s="130"/>
      <c r="H17" s="125" t="n">
        <f aca="false">E17*G17</f>
        <v>0</v>
      </c>
    </row>
    <row r="18" customFormat="false" ht="12.75" hidden="false" customHeight="false" outlineLevel="0" collapsed="false">
      <c r="A18" s="126"/>
      <c r="B18" s="127"/>
      <c r="C18" s="111"/>
      <c r="D18" s="127"/>
      <c r="E18" s="128"/>
      <c r="F18" s="129"/>
      <c r="G18" s="130"/>
      <c r="H18" s="125" t="n">
        <f aca="false">E18*G18</f>
        <v>0</v>
      </c>
    </row>
    <row r="19" customFormat="false" ht="12.75" hidden="false" customHeight="false" outlineLevel="0" collapsed="false">
      <c r="A19" s="126"/>
      <c r="B19" s="127"/>
      <c r="C19" s="111"/>
      <c r="D19" s="127"/>
      <c r="E19" s="128"/>
      <c r="F19" s="129"/>
      <c r="G19" s="130"/>
      <c r="H19" s="125" t="n">
        <f aca="false">E19*G19</f>
        <v>0</v>
      </c>
    </row>
    <row r="20" customFormat="false" ht="12.75" hidden="false" customHeight="false" outlineLevel="0" collapsed="false">
      <c r="A20" s="126"/>
      <c r="B20" s="127"/>
      <c r="C20" s="111"/>
      <c r="D20" s="127"/>
      <c r="E20" s="128"/>
      <c r="F20" s="129"/>
      <c r="G20" s="130"/>
      <c r="H20" s="125" t="n">
        <f aca="false">E20*G20</f>
        <v>0</v>
      </c>
    </row>
    <row r="21" customFormat="false" ht="12.75" hidden="false" customHeight="false" outlineLevel="0" collapsed="false">
      <c r="A21" s="126"/>
      <c r="B21" s="127"/>
      <c r="C21" s="111"/>
      <c r="D21" s="127"/>
      <c r="E21" s="128"/>
      <c r="F21" s="129"/>
      <c r="G21" s="130"/>
      <c r="H21" s="125" t="n">
        <f aca="false">E21*G21</f>
        <v>0</v>
      </c>
    </row>
    <row r="22" customFormat="false" ht="12.75" hidden="false" customHeight="false" outlineLevel="0" collapsed="false">
      <c r="A22" s="126"/>
      <c r="B22" s="127"/>
      <c r="C22" s="111"/>
      <c r="D22" s="127"/>
      <c r="E22" s="128"/>
      <c r="F22" s="129"/>
      <c r="G22" s="130"/>
      <c r="H22" s="125" t="n">
        <f aca="false">E22*G22</f>
        <v>0</v>
      </c>
    </row>
    <row r="23" customFormat="false" ht="12.75" hidden="false" customHeight="false" outlineLevel="0" collapsed="false">
      <c r="A23" s="126"/>
      <c r="B23" s="127"/>
      <c r="C23" s="111"/>
      <c r="D23" s="127"/>
      <c r="E23" s="128"/>
      <c r="F23" s="129"/>
      <c r="G23" s="130"/>
      <c r="H23" s="125" t="n">
        <f aca="false">E23*G23</f>
        <v>0</v>
      </c>
    </row>
    <row r="24" customFormat="false" ht="12.75" hidden="false" customHeight="false" outlineLevel="0" collapsed="false">
      <c r="A24" s="126"/>
      <c r="B24" s="127"/>
      <c r="C24" s="111"/>
      <c r="D24" s="127"/>
      <c r="E24" s="128"/>
      <c r="F24" s="129"/>
      <c r="G24" s="130"/>
      <c r="H24" s="125" t="n">
        <f aca="false">E24*G24</f>
        <v>0</v>
      </c>
    </row>
    <row r="25" customFormat="false" ht="12.75" hidden="false" customHeight="false" outlineLevel="0" collapsed="false">
      <c r="A25" s="126"/>
      <c r="B25" s="127"/>
      <c r="C25" s="111"/>
      <c r="D25" s="127"/>
      <c r="E25" s="128"/>
      <c r="F25" s="129"/>
      <c r="G25" s="130"/>
      <c r="H25" s="125" t="n">
        <f aca="false">E25*G25</f>
        <v>0</v>
      </c>
    </row>
    <row r="26" customFormat="false" ht="12.75" hidden="false" customHeight="false" outlineLevel="0" collapsed="false">
      <c r="A26" s="126"/>
      <c r="B26" s="127"/>
      <c r="C26" s="111"/>
      <c r="D26" s="127"/>
      <c r="E26" s="128"/>
      <c r="F26" s="129"/>
      <c r="G26" s="130"/>
      <c r="H26" s="125" t="n">
        <f aca="false">E26*G26</f>
        <v>0</v>
      </c>
    </row>
    <row r="27" customFormat="false" ht="12.75" hidden="false" customHeight="false" outlineLevel="0" collapsed="false">
      <c r="A27" s="126"/>
      <c r="B27" s="127"/>
      <c r="C27" s="111"/>
      <c r="D27" s="127"/>
      <c r="E27" s="128"/>
      <c r="F27" s="129"/>
      <c r="G27" s="130"/>
      <c r="H27" s="125" t="n">
        <f aca="false">E27*G27</f>
        <v>0</v>
      </c>
    </row>
    <row r="28" customFormat="false" ht="12.75" hidden="false" customHeight="false" outlineLevel="0" collapsed="false">
      <c r="A28" s="126"/>
      <c r="B28" s="127"/>
      <c r="C28" s="111"/>
      <c r="D28" s="127"/>
      <c r="E28" s="128"/>
      <c r="F28" s="129"/>
      <c r="G28" s="130"/>
      <c r="H28" s="125" t="n">
        <f aca="false">E28*G28</f>
        <v>0</v>
      </c>
    </row>
    <row r="29" customFormat="false" ht="12.75" hidden="false" customHeight="false" outlineLevel="0" collapsed="false">
      <c r="A29" s="126"/>
      <c r="B29" s="127"/>
      <c r="C29" s="111"/>
      <c r="D29" s="127"/>
      <c r="E29" s="128"/>
      <c r="F29" s="129"/>
      <c r="G29" s="130"/>
      <c r="H29" s="125" t="n">
        <f aca="false">E29*G29</f>
        <v>0</v>
      </c>
    </row>
    <row r="30" customFormat="false" ht="12.75" hidden="false" customHeight="false" outlineLevel="0" collapsed="false">
      <c r="A30" s="126"/>
      <c r="B30" s="127"/>
      <c r="C30" s="111"/>
      <c r="D30" s="127"/>
      <c r="E30" s="128"/>
      <c r="F30" s="129"/>
      <c r="G30" s="130"/>
      <c r="H30" s="125" t="n">
        <f aca="false">E30*G30</f>
        <v>0</v>
      </c>
    </row>
    <row r="31" customFormat="false" ht="12.75" hidden="false" customHeight="false" outlineLevel="0" collapsed="false">
      <c r="A31" s="126"/>
      <c r="B31" s="127"/>
      <c r="C31" s="111"/>
      <c r="D31" s="127"/>
      <c r="E31" s="128"/>
      <c r="F31" s="129"/>
      <c r="G31" s="130"/>
      <c r="H31" s="125" t="n">
        <f aca="false">E31*G31</f>
        <v>0</v>
      </c>
    </row>
    <row r="32" customFormat="false" ht="12.75" hidden="false" customHeight="false" outlineLevel="0" collapsed="false">
      <c r="A32" s="126"/>
      <c r="B32" s="127"/>
      <c r="C32" s="111"/>
      <c r="D32" s="127"/>
      <c r="E32" s="128"/>
      <c r="F32" s="129"/>
      <c r="G32" s="130"/>
      <c r="H32" s="125" t="n">
        <f aca="false">E32*G32</f>
        <v>0</v>
      </c>
    </row>
    <row r="33" customFormat="false" ht="12.75" hidden="false" customHeight="false" outlineLevel="0" collapsed="false">
      <c r="A33" s="126"/>
      <c r="B33" s="127"/>
      <c r="C33" s="111"/>
      <c r="D33" s="127"/>
      <c r="E33" s="128"/>
      <c r="F33" s="129"/>
      <c r="G33" s="130"/>
      <c r="H33" s="125" t="n">
        <f aca="false">E33*G33</f>
        <v>0</v>
      </c>
    </row>
    <row r="34" customFormat="false" ht="12.75" hidden="false" customHeight="false" outlineLevel="0" collapsed="false">
      <c r="A34" s="126"/>
      <c r="B34" s="127"/>
      <c r="C34" s="111"/>
      <c r="D34" s="127"/>
      <c r="E34" s="128"/>
      <c r="F34" s="129"/>
      <c r="G34" s="130"/>
      <c r="H34" s="125" t="n">
        <f aca="false">E34*G34</f>
        <v>0</v>
      </c>
    </row>
    <row r="35" customFormat="false" ht="12.75" hidden="false" customHeight="false" outlineLevel="0" collapsed="false">
      <c r="A35" s="126"/>
      <c r="B35" s="127"/>
      <c r="C35" s="111"/>
      <c r="D35" s="127"/>
      <c r="E35" s="128"/>
      <c r="F35" s="129"/>
      <c r="G35" s="130"/>
      <c r="H35" s="125" t="n">
        <f aca="false">E35*G35</f>
        <v>0</v>
      </c>
    </row>
    <row r="36" customFormat="false" ht="12.75" hidden="false" customHeight="false" outlineLevel="0" collapsed="false">
      <c r="A36" s="126"/>
      <c r="B36" s="127"/>
      <c r="C36" s="111"/>
      <c r="D36" s="127"/>
      <c r="E36" s="128"/>
      <c r="F36" s="129"/>
      <c r="G36" s="130"/>
      <c r="H36" s="125" t="n">
        <f aca="false">E36*G36</f>
        <v>0</v>
      </c>
    </row>
    <row r="37" customFormat="false" ht="12.75" hidden="false" customHeight="false" outlineLevel="0" collapsed="false">
      <c r="A37" s="126"/>
      <c r="B37" s="127"/>
      <c r="C37" s="111"/>
      <c r="D37" s="127"/>
      <c r="E37" s="128"/>
      <c r="F37" s="129"/>
      <c r="G37" s="130"/>
      <c r="H37" s="125" t="n">
        <f aca="false">E37*G37</f>
        <v>0</v>
      </c>
    </row>
    <row r="38" customFormat="false" ht="12.75" hidden="false" customHeight="false" outlineLevel="0" collapsed="false">
      <c r="A38" s="126"/>
      <c r="B38" s="127"/>
      <c r="C38" s="111"/>
      <c r="D38" s="127"/>
      <c r="E38" s="128"/>
      <c r="F38" s="129"/>
      <c r="G38" s="130"/>
      <c r="H38" s="125" t="n">
        <f aca="false">E38*G38</f>
        <v>0</v>
      </c>
    </row>
    <row r="39" customFormat="false" ht="12.75" hidden="false" customHeight="false" outlineLevel="0" collapsed="false">
      <c r="A39" s="126"/>
      <c r="B39" s="127"/>
      <c r="C39" s="111"/>
      <c r="D39" s="127"/>
      <c r="E39" s="128"/>
      <c r="F39" s="129"/>
      <c r="G39" s="130"/>
      <c r="H39" s="125" t="n">
        <f aca="false">E39*G39</f>
        <v>0</v>
      </c>
    </row>
    <row r="40" customFormat="false" ht="12.75" hidden="false" customHeight="false" outlineLevel="0" collapsed="false">
      <c r="A40" s="126"/>
      <c r="B40" s="127"/>
      <c r="C40" s="111"/>
      <c r="D40" s="127"/>
      <c r="E40" s="128"/>
      <c r="F40" s="129"/>
      <c r="G40" s="130"/>
      <c r="H40" s="125" t="n">
        <f aca="false">E40*G40</f>
        <v>0</v>
      </c>
    </row>
    <row r="41" customFormat="false" ht="12.75" hidden="false" customHeight="false" outlineLevel="0" collapsed="false">
      <c r="A41" s="131"/>
      <c r="B41" s="132"/>
      <c r="C41" s="132"/>
      <c r="D41" s="132"/>
      <c r="E41" s="132"/>
      <c r="F41" s="132"/>
    </row>
    <row r="42" customFormat="false" ht="12.75" hidden="false" customHeight="false" outlineLevel="0" collapsed="false">
      <c r="A42" s="131"/>
      <c r="B42" s="132"/>
      <c r="C42" s="132"/>
      <c r="D42" s="132"/>
      <c r="E42" s="132"/>
      <c r="F42" s="132"/>
    </row>
    <row r="43" customFormat="false" ht="12.75" hidden="false" customHeight="false" outlineLevel="0" collapsed="false">
      <c r="A43" s="131"/>
      <c r="B43" s="132"/>
      <c r="C43" s="132"/>
      <c r="D43" s="132"/>
      <c r="E43" s="132"/>
      <c r="F43" s="132"/>
    </row>
    <row r="44" customFormat="false" ht="12.75" hidden="false" customHeight="false" outlineLevel="0" collapsed="false">
      <c r="A44" s="131"/>
      <c r="B44" s="132"/>
      <c r="C44" s="132"/>
      <c r="D44" s="132"/>
      <c r="E44" s="132"/>
      <c r="F44" s="132"/>
    </row>
    <row r="45" customFormat="false" ht="12.75" hidden="false" customHeight="false" outlineLevel="0" collapsed="false">
      <c r="A45" s="131"/>
      <c r="B45" s="132"/>
      <c r="C45" s="132"/>
      <c r="D45" s="132"/>
      <c r="E45" s="132"/>
      <c r="F45" s="132"/>
    </row>
    <row r="46" customFormat="false" ht="12.75" hidden="false" customHeight="false" outlineLevel="0" collapsed="false">
      <c r="A46" s="131"/>
      <c r="B46" s="132"/>
      <c r="C46" s="132"/>
      <c r="D46" s="132"/>
      <c r="E46" s="132"/>
      <c r="F46" s="132"/>
    </row>
    <row r="47" customFormat="false" ht="12.75" hidden="false" customHeight="false" outlineLevel="0" collapsed="false">
      <c r="A47" s="131"/>
      <c r="B47" s="132"/>
      <c r="C47" s="132"/>
      <c r="D47" s="132"/>
      <c r="E47" s="132"/>
      <c r="F47" s="132"/>
    </row>
    <row r="48" customFormat="false" ht="12.75" hidden="false" customHeight="false" outlineLevel="0" collapsed="false">
      <c r="A48" s="131"/>
      <c r="B48" s="132"/>
      <c r="C48" s="132"/>
      <c r="D48" s="132"/>
      <c r="E48" s="132"/>
      <c r="F48" s="132"/>
    </row>
    <row r="49" customFormat="false" ht="12.75" hidden="false" customHeight="false" outlineLevel="0" collapsed="false">
      <c r="A49" s="131"/>
      <c r="B49" s="132"/>
      <c r="C49" s="132"/>
      <c r="D49" s="132"/>
      <c r="E49" s="132"/>
      <c r="F49" s="132"/>
    </row>
    <row r="50" customFormat="false" ht="12.75" hidden="false" customHeight="false" outlineLevel="0" collapsed="false">
      <c r="A50" s="131"/>
      <c r="B50" s="132"/>
      <c r="C50" s="132"/>
      <c r="D50" s="132"/>
      <c r="E50" s="132"/>
      <c r="F50" s="132"/>
    </row>
    <row r="51" customFormat="false" ht="12.75" hidden="false" customHeight="false" outlineLevel="0" collapsed="false">
      <c r="A51" s="131"/>
      <c r="B51" s="132"/>
      <c r="C51" s="132"/>
      <c r="D51" s="132"/>
      <c r="E51" s="132"/>
      <c r="F51" s="132"/>
    </row>
    <row r="52" customFormat="false" ht="12.75" hidden="false" customHeight="false" outlineLevel="0" collapsed="false">
      <c r="A52" s="131"/>
      <c r="B52" s="132"/>
      <c r="C52" s="132"/>
      <c r="D52" s="132"/>
      <c r="E52" s="132"/>
      <c r="F52" s="132"/>
    </row>
    <row r="53" customFormat="false" ht="12.75" hidden="false" customHeight="false" outlineLevel="0" collapsed="false">
      <c r="A53" s="131"/>
      <c r="B53" s="132"/>
      <c r="C53" s="132"/>
      <c r="D53" s="132"/>
      <c r="E53" s="132"/>
      <c r="F53" s="132"/>
    </row>
    <row r="54" customFormat="false" ht="12.75" hidden="false" customHeight="false" outlineLevel="0" collapsed="false">
      <c r="A54" s="131"/>
      <c r="B54" s="132"/>
      <c r="C54" s="132"/>
      <c r="D54" s="132"/>
      <c r="E54" s="132"/>
      <c r="F54" s="132"/>
    </row>
    <row r="55" customFormat="false" ht="12.75" hidden="false" customHeight="false" outlineLevel="0" collapsed="false">
      <c r="A55" s="131"/>
      <c r="B55" s="132"/>
      <c r="C55" s="132"/>
      <c r="D55" s="132"/>
      <c r="E55" s="132"/>
      <c r="F55" s="132"/>
    </row>
    <row r="56" customFormat="false" ht="12.75" hidden="false" customHeight="false" outlineLevel="0" collapsed="false">
      <c r="A56" s="131"/>
      <c r="B56" s="131"/>
      <c r="C56" s="131"/>
      <c r="D56" s="131"/>
    </row>
    <row r="57" customFormat="false" ht="12.75" hidden="false" customHeight="false" outlineLevel="0" collapsed="false">
      <c r="A57" s="131"/>
      <c r="B57" s="131"/>
      <c r="C57" s="131"/>
      <c r="D57" s="131"/>
    </row>
  </sheetData>
  <sheetProtection sheet="true" password="8737" objects="true" scenarios="true"/>
  <printOptions headings="false" gridLines="false" gridLinesSet="true" horizontalCentered="false" verticalCentered="false"/>
  <pageMargins left="0.747916666666667" right="0.747916666666667" top="0.984027777777778" bottom="0.7875" header="0.511805555555556" footer="0.511811023622047"/>
  <pageSetup paperSize="9" scale="84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6.98"/>
    <col collapsed="false" customWidth="true" hidden="false" outlineLevel="0" max="2" min="2" style="0" width="20.83"/>
    <col collapsed="false" customWidth="true" hidden="false" outlineLevel="0" max="3" min="3" style="0" width="7.55"/>
    <col collapsed="false" customWidth="true" hidden="false" outlineLevel="0" max="4" min="4" style="0" width="18.68"/>
    <col collapsed="false" customWidth="true" hidden="false" outlineLevel="0" max="5" min="5" style="0" width="17.26"/>
    <col collapsed="false" customWidth="true" hidden="false" outlineLevel="0" max="6" min="6" style="0" width="20.11"/>
    <col collapsed="false" customWidth="true" hidden="false" outlineLevel="0" max="7" min="7" style="0" width="12.4"/>
    <col collapsed="false" customWidth="true" hidden="false" outlineLevel="0" max="8" min="8" style="0" width="12.55"/>
    <col collapsed="false" customWidth="true" hidden="false" outlineLevel="0" max="9" min="9" style="0" width="15.4"/>
    <col collapsed="false" customWidth="true" hidden="false" outlineLevel="0" max="10" min="10" style="87" width="18.26"/>
    <col collapsed="false" customWidth="true" hidden="false" outlineLevel="0" max="11" min="11" style="87" width="13.27"/>
    <col collapsed="false" customWidth="true" hidden="false" outlineLevel="0" max="12" min="12" style="0" width="15.68"/>
  </cols>
  <sheetData>
    <row r="1" customFormat="false" ht="16.5" hidden="false" customHeight="false" outlineLevel="0" collapsed="false">
      <c r="A1" s="88" t="s">
        <v>61</v>
      </c>
      <c r="B1" s="89"/>
      <c r="C1" s="89"/>
      <c r="D1" s="114"/>
      <c r="E1" s="115"/>
      <c r="F1" s="91"/>
      <c r="G1" s="91"/>
      <c r="H1" s="91"/>
      <c r="I1" s="91"/>
      <c r="J1" s="29"/>
      <c r="K1" s="91"/>
    </row>
    <row r="2" customFormat="false" ht="15.75" hidden="false" customHeight="false" outlineLevel="0" collapsed="false">
      <c r="A2" s="116" t="s">
        <v>62</v>
      </c>
      <c r="B2" s="117"/>
      <c r="C2" s="89"/>
      <c r="D2" s="114"/>
      <c r="E2" s="115"/>
      <c r="F2" s="91"/>
      <c r="G2" s="91"/>
      <c r="H2" s="91"/>
      <c r="I2" s="91"/>
      <c r="J2" s="29"/>
      <c r="K2" s="91"/>
    </row>
    <row r="3" customFormat="false" ht="16.5" hidden="false" customHeight="false" outlineLevel="0" collapsed="false">
      <c r="A3" s="88" t="s">
        <v>40</v>
      </c>
      <c r="B3" s="118" t="n">
        <f aca="false">SUM(K6:K40)</f>
        <v>0</v>
      </c>
      <c r="C3" s="93"/>
      <c r="D3" s="94"/>
      <c r="E3" s="91"/>
      <c r="F3" s="91"/>
      <c r="G3" s="91"/>
      <c r="H3" s="91"/>
      <c r="I3" s="91"/>
      <c r="J3" s="29"/>
      <c r="K3" s="91"/>
    </row>
    <row r="4" customFormat="false" ht="13.5" hidden="false" customHeight="false" outlineLevel="0" collapsed="false">
      <c r="A4" s="29"/>
      <c r="B4" s="95"/>
      <c r="C4" s="95"/>
      <c r="D4" s="29"/>
      <c r="E4" s="29"/>
      <c r="F4" s="29"/>
      <c r="G4" s="29"/>
      <c r="H4" s="29"/>
      <c r="I4" s="29"/>
      <c r="J4" s="91"/>
      <c r="K4" s="91"/>
    </row>
    <row r="5" customFormat="false" ht="26.25" hidden="false" customHeight="false" outlineLevel="0" collapsed="false">
      <c r="A5" s="5" t="s">
        <v>41</v>
      </c>
      <c r="B5" s="96" t="s">
        <v>42</v>
      </c>
      <c r="C5" s="5" t="s">
        <v>34</v>
      </c>
      <c r="D5" s="98" t="s">
        <v>63</v>
      </c>
      <c r="E5" s="96" t="s">
        <v>58</v>
      </c>
      <c r="F5" s="98" t="s">
        <v>64</v>
      </c>
      <c r="G5" s="98" t="s">
        <v>65</v>
      </c>
      <c r="H5" s="98" t="s">
        <v>66</v>
      </c>
      <c r="I5" s="98" t="s">
        <v>67</v>
      </c>
      <c r="J5" s="98" t="s">
        <v>59</v>
      </c>
      <c r="K5" s="98" t="s">
        <v>68</v>
      </c>
    </row>
    <row r="6" customFormat="false" ht="12.75" hidden="false" customHeight="false" outlineLevel="0" collapsed="false">
      <c r="A6" s="119"/>
      <c r="B6" s="72"/>
      <c r="C6" s="120"/>
      <c r="D6" s="121"/>
      <c r="E6" s="121"/>
      <c r="F6" s="120"/>
      <c r="G6" s="133"/>
      <c r="H6" s="134"/>
      <c r="I6" s="135" t="n">
        <f aca="false">IF(G6&gt;=10000,G6/60*F6,G6/36*F6)</f>
        <v>0</v>
      </c>
      <c r="J6" s="124"/>
      <c r="K6" s="125" t="n">
        <f aca="false">I6*J6</f>
        <v>0</v>
      </c>
    </row>
    <row r="7" customFormat="false" ht="12.75" hidden="false" customHeight="false" outlineLevel="0" collapsed="false">
      <c r="A7" s="126"/>
      <c r="B7" s="77"/>
      <c r="C7" s="111"/>
      <c r="D7" s="127"/>
      <c r="E7" s="121"/>
      <c r="F7" s="111"/>
      <c r="G7" s="136"/>
      <c r="H7" s="134"/>
      <c r="I7" s="135" t="n">
        <f aca="false">IF(G7&gt;=10000,G7/60*F7,G7/36*F7)</f>
        <v>0</v>
      </c>
      <c r="J7" s="130"/>
      <c r="K7" s="125" t="n">
        <f aca="false">I7*J7</f>
        <v>0</v>
      </c>
    </row>
    <row r="8" customFormat="false" ht="12.75" hidden="false" customHeight="false" outlineLevel="0" collapsed="false">
      <c r="A8" s="126"/>
      <c r="B8" s="77"/>
      <c r="C8" s="111"/>
      <c r="D8" s="127"/>
      <c r="E8" s="127"/>
      <c r="F8" s="111"/>
      <c r="G8" s="136"/>
      <c r="H8" s="134"/>
      <c r="I8" s="135" t="n">
        <f aca="false">IF(G8&gt;=10000,G8/60*F8,G8/36*F8)</f>
        <v>0</v>
      </c>
      <c r="J8" s="130"/>
      <c r="K8" s="125" t="n">
        <f aca="false">I8*J8</f>
        <v>0</v>
      </c>
    </row>
    <row r="9" customFormat="false" ht="12.75" hidden="false" customHeight="false" outlineLevel="0" collapsed="false">
      <c r="A9" s="126"/>
      <c r="B9" s="77"/>
      <c r="C9" s="111"/>
      <c r="D9" s="127"/>
      <c r="E9" s="127"/>
      <c r="F9" s="111"/>
      <c r="G9" s="136"/>
      <c r="H9" s="134"/>
      <c r="I9" s="135" t="n">
        <f aca="false">IF(G9&gt;=10000,G9/60*F9,G9/36*F9)</f>
        <v>0</v>
      </c>
      <c r="J9" s="130"/>
      <c r="K9" s="125" t="n">
        <f aca="false">I9*J9</f>
        <v>0</v>
      </c>
    </row>
    <row r="10" customFormat="false" ht="12.75" hidden="false" customHeight="false" outlineLevel="0" collapsed="false">
      <c r="A10" s="126"/>
      <c r="B10" s="127"/>
      <c r="C10" s="111"/>
      <c r="D10" s="127"/>
      <c r="E10" s="127"/>
      <c r="F10" s="111"/>
      <c r="G10" s="136"/>
      <c r="H10" s="137"/>
      <c r="I10" s="135" t="n">
        <f aca="false">IF(G10&gt;=10000,G10/60*F10,G10/36*F10)</f>
        <v>0</v>
      </c>
      <c r="J10" s="130"/>
      <c r="K10" s="125" t="n">
        <f aca="false">I10*J10</f>
        <v>0</v>
      </c>
    </row>
    <row r="11" customFormat="false" ht="12.75" hidden="false" customHeight="false" outlineLevel="0" collapsed="false">
      <c r="A11" s="126"/>
      <c r="B11" s="127"/>
      <c r="C11" s="111"/>
      <c r="D11" s="127"/>
      <c r="E11" s="127"/>
      <c r="F11" s="111"/>
      <c r="G11" s="136"/>
      <c r="H11" s="137"/>
      <c r="I11" s="135" t="n">
        <f aca="false">IF(G11&gt;=10000,G11/60*F11,G11/36*F11)</f>
        <v>0</v>
      </c>
      <c r="J11" s="130"/>
      <c r="K11" s="125" t="n">
        <f aca="false">I11*J11</f>
        <v>0</v>
      </c>
    </row>
    <row r="12" customFormat="false" ht="12.75" hidden="false" customHeight="false" outlineLevel="0" collapsed="false">
      <c r="A12" s="126"/>
      <c r="B12" s="127"/>
      <c r="C12" s="111"/>
      <c r="D12" s="127"/>
      <c r="E12" s="127"/>
      <c r="F12" s="111"/>
      <c r="G12" s="136"/>
      <c r="H12" s="137"/>
      <c r="I12" s="135" t="n">
        <f aca="false">IF(G12&gt;=10000,G12/60*F12,G12/36*F12)</f>
        <v>0</v>
      </c>
      <c r="J12" s="130"/>
      <c r="K12" s="125" t="n">
        <f aca="false">I12*J12</f>
        <v>0</v>
      </c>
    </row>
    <row r="13" customFormat="false" ht="12.75" hidden="false" customHeight="false" outlineLevel="0" collapsed="false">
      <c r="A13" s="126"/>
      <c r="B13" s="127"/>
      <c r="C13" s="111"/>
      <c r="D13" s="127"/>
      <c r="E13" s="127"/>
      <c r="F13" s="111"/>
      <c r="G13" s="136"/>
      <c r="H13" s="137"/>
      <c r="I13" s="135" t="n">
        <f aca="false">IF(G13&gt;=10000,G13/60*F13,G13/36*F13)</f>
        <v>0</v>
      </c>
      <c r="J13" s="130"/>
      <c r="K13" s="125" t="n">
        <f aca="false">I13*J13</f>
        <v>0</v>
      </c>
    </row>
    <row r="14" customFormat="false" ht="12.75" hidden="false" customHeight="false" outlineLevel="0" collapsed="false">
      <c r="A14" s="126"/>
      <c r="B14" s="127"/>
      <c r="C14" s="111"/>
      <c r="D14" s="127"/>
      <c r="E14" s="127"/>
      <c r="F14" s="111"/>
      <c r="G14" s="136"/>
      <c r="H14" s="137"/>
      <c r="I14" s="135" t="n">
        <f aca="false">IF(G14&gt;=10000,G14/60*F14,G14/36*F14)</f>
        <v>0</v>
      </c>
      <c r="J14" s="130"/>
      <c r="K14" s="125" t="n">
        <f aca="false">I14*J14</f>
        <v>0</v>
      </c>
    </row>
    <row r="15" customFormat="false" ht="12.75" hidden="false" customHeight="false" outlineLevel="0" collapsed="false">
      <c r="A15" s="126"/>
      <c r="B15" s="127"/>
      <c r="C15" s="111"/>
      <c r="D15" s="127"/>
      <c r="E15" s="127"/>
      <c r="F15" s="111"/>
      <c r="G15" s="136"/>
      <c r="H15" s="137"/>
      <c r="I15" s="135" t="n">
        <f aca="false">IF(G15&gt;=10000,G15/60*F15,G15/36*F15)</f>
        <v>0</v>
      </c>
      <c r="J15" s="130"/>
      <c r="K15" s="125" t="n">
        <f aca="false">I15*J15</f>
        <v>0</v>
      </c>
    </row>
    <row r="16" customFormat="false" ht="12.75" hidden="false" customHeight="false" outlineLevel="0" collapsed="false">
      <c r="A16" s="126"/>
      <c r="B16" s="127"/>
      <c r="C16" s="111"/>
      <c r="D16" s="127"/>
      <c r="E16" s="127"/>
      <c r="F16" s="111"/>
      <c r="G16" s="136"/>
      <c r="H16" s="137"/>
      <c r="I16" s="135" t="n">
        <f aca="false">IF(G16&gt;=10000,G16/60*F16,G16/36*F16)</f>
        <v>0</v>
      </c>
      <c r="J16" s="130"/>
      <c r="K16" s="125" t="n">
        <f aca="false">I16*J16</f>
        <v>0</v>
      </c>
    </row>
    <row r="17" customFormat="false" ht="12.75" hidden="false" customHeight="false" outlineLevel="0" collapsed="false">
      <c r="A17" s="126"/>
      <c r="B17" s="127"/>
      <c r="C17" s="111"/>
      <c r="D17" s="127"/>
      <c r="E17" s="127"/>
      <c r="F17" s="111"/>
      <c r="G17" s="136"/>
      <c r="H17" s="137"/>
      <c r="I17" s="135" t="n">
        <f aca="false">IF(G17&gt;=10000,G17/60*F17,G17/36*F17)</f>
        <v>0</v>
      </c>
      <c r="J17" s="130"/>
      <c r="K17" s="125" t="n">
        <f aca="false">I17*J17</f>
        <v>0</v>
      </c>
    </row>
    <row r="18" customFormat="false" ht="12.75" hidden="false" customHeight="false" outlineLevel="0" collapsed="false">
      <c r="A18" s="126"/>
      <c r="B18" s="127"/>
      <c r="C18" s="111"/>
      <c r="D18" s="127"/>
      <c r="E18" s="127"/>
      <c r="F18" s="111"/>
      <c r="G18" s="136"/>
      <c r="H18" s="137"/>
      <c r="I18" s="135" t="n">
        <f aca="false">IF(G18&gt;=10000,G18/60*F18,G18/36*F18)</f>
        <v>0</v>
      </c>
      <c r="J18" s="130"/>
      <c r="K18" s="125" t="n">
        <f aca="false">I18*J18</f>
        <v>0</v>
      </c>
    </row>
    <row r="19" customFormat="false" ht="12.75" hidden="false" customHeight="false" outlineLevel="0" collapsed="false">
      <c r="A19" s="126"/>
      <c r="B19" s="127"/>
      <c r="C19" s="111"/>
      <c r="D19" s="127"/>
      <c r="E19" s="127"/>
      <c r="F19" s="111"/>
      <c r="G19" s="136"/>
      <c r="H19" s="137"/>
      <c r="I19" s="135" t="n">
        <f aca="false">IF(G19&gt;=10000,G19/60*F19,G19/36*F19)</f>
        <v>0</v>
      </c>
      <c r="J19" s="130"/>
      <c r="K19" s="125" t="n">
        <f aca="false">I19*J19</f>
        <v>0</v>
      </c>
    </row>
    <row r="20" customFormat="false" ht="12.75" hidden="false" customHeight="false" outlineLevel="0" collapsed="false">
      <c r="A20" s="126"/>
      <c r="B20" s="127"/>
      <c r="C20" s="111"/>
      <c r="D20" s="127"/>
      <c r="E20" s="127"/>
      <c r="F20" s="111"/>
      <c r="G20" s="136"/>
      <c r="H20" s="137"/>
      <c r="I20" s="135" t="n">
        <f aca="false">IF(G20&gt;=10000,G20/60*F20,G20/36*F20)</f>
        <v>0</v>
      </c>
      <c r="J20" s="130"/>
      <c r="K20" s="125" t="n">
        <f aca="false">I20*J20</f>
        <v>0</v>
      </c>
    </row>
    <row r="21" customFormat="false" ht="12.75" hidden="false" customHeight="false" outlineLevel="0" collapsed="false">
      <c r="A21" s="126"/>
      <c r="B21" s="127"/>
      <c r="C21" s="111"/>
      <c r="D21" s="127"/>
      <c r="E21" s="127"/>
      <c r="F21" s="111"/>
      <c r="G21" s="136"/>
      <c r="H21" s="137"/>
      <c r="I21" s="135" t="n">
        <f aca="false">IF(G21&gt;=10000,G21/60*F21,G21/36*F21)</f>
        <v>0</v>
      </c>
      <c r="J21" s="130"/>
      <c r="K21" s="125" t="n">
        <f aca="false">I21*J21</f>
        <v>0</v>
      </c>
    </row>
    <row r="22" customFormat="false" ht="12.75" hidden="false" customHeight="false" outlineLevel="0" collapsed="false">
      <c r="A22" s="126"/>
      <c r="B22" s="127"/>
      <c r="C22" s="111"/>
      <c r="D22" s="127"/>
      <c r="E22" s="127"/>
      <c r="F22" s="111"/>
      <c r="G22" s="136"/>
      <c r="H22" s="137"/>
      <c r="I22" s="135" t="n">
        <f aca="false">IF(G22&gt;=10000,G22/60*F22,G22/36*F22)</f>
        <v>0</v>
      </c>
      <c r="J22" s="130"/>
      <c r="K22" s="125" t="n">
        <f aca="false">I22*J22</f>
        <v>0</v>
      </c>
    </row>
    <row r="23" customFormat="false" ht="12.75" hidden="false" customHeight="false" outlineLevel="0" collapsed="false">
      <c r="A23" s="126"/>
      <c r="B23" s="127"/>
      <c r="C23" s="111"/>
      <c r="D23" s="127"/>
      <c r="E23" s="127"/>
      <c r="F23" s="111"/>
      <c r="G23" s="136"/>
      <c r="H23" s="137"/>
      <c r="I23" s="135" t="n">
        <f aca="false">IF(G23&gt;=10000,G23/60*F23,G23/36*F23)</f>
        <v>0</v>
      </c>
      <c r="J23" s="130"/>
      <c r="K23" s="125" t="n">
        <f aca="false">I23*J23</f>
        <v>0</v>
      </c>
    </row>
    <row r="24" customFormat="false" ht="12.75" hidden="false" customHeight="false" outlineLevel="0" collapsed="false">
      <c r="A24" s="126"/>
      <c r="B24" s="127"/>
      <c r="C24" s="111"/>
      <c r="D24" s="127"/>
      <c r="E24" s="127"/>
      <c r="F24" s="111"/>
      <c r="G24" s="136"/>
      <c r="H24" s="137"/>
      <c r="I24" s="135" t="n">
        <f aca="false">IF(G24&gt;=10000,G24/60*F24,G24/36*F24)</f>
        <v>0</v>
      </c>
      <c r="J24" s="130"/>
      <c r="K24" s="125" t="n">
        <f aca="false">I24*J24</f>
        <v>0</v>
      </c>
    </row>
    <row r="25" customFormat="false" ht="12.75" hidden="false" customHeight="false" outlineLevel="0" collapsed="false">
      <c r="A25" s="126"/>
      <c r="B25" s="127"/>
      <c r="C25" s="111"/>
      <c r="D25" s="127"/>
      <c r="E25" s="127"/>
      <c r="F25" s="111"/>
      <c r="G25" s="136"/>
      <c r="H25" s="137"/>
      <c r="I25" s="135" t="n">
        <f aca="false">IF(G25&gt;=10000,G25/60*F25,G25/36*F25)</f>
        <v>0</v>
      </c>
      <c r="J25" s="130"/>
      <c r="K25" s="125" t="n">
        <f aca="false">I25*J25</f>
        <v>0</v>
      </c>
    </row>
    <row r="26" customFormat="false" ht="12.75" hidden="false" customHeight="false" outlineLevel="0" collapsed="false">
      <c r="A26" s="126"/>
      <c r="B26" s="127"/>
      <c r="C26" s="111"/>
      <c r="D26" s="127"/>
      <c r="E26" s="127"/>
      <c r="F26" s="111"/>
      <c r="G26" s="136"/>
      <c r="H26" s="137"/>
      <c r="I26" s="135" t="n">
        <f aca="false">IF(G26&gt;=10000,G26/60*F26,G26/36*F26)</f>
        <v>0</v>
      </c>
      <c r="J26" s="130"/>
      <c r="K26" s="125" t="n">
        <f aca="false">I26*J26</f>
        <v>0</v>
      </c>
    </row>
    <row r="27" customFormat="false" ht="12.75" hidden="false" customHeight="false" outlineLevel="0" collapsed="false">
      <c r="A27" s="126"/>
      <c r="B27" s="127"/>
      <c r="C27" s="111"/>
      <c r="D27" s="127"/>
      <c r="E27" s="127"/>
      <c r="F27" s="111"/>
      <c r="G27" s="136"/>
      <c r="H27" s="137"/>
      <c r="I27" s="135" t="n">
        <f aca="false">IF(G27&gt;=10000,G27/60*F27,G27/36*F27)</f>
        <v>0</v>
      </c>
      <c r="J27" s="130"/>
      <c r="K27" s="125" t="n">
        <f aca="false">I27*J27</f>
        <v>0</v>
      </c>
    </row>
    <row r="28" customFormat="false" ht="12.75" hidden="false" customHeight="false" outlineLevel="0" collapsed="false">
      <c r="A28" s="126"/>
      <c r="B28" s="127"/>
      <c r="C28" s="111"/>
      <c r="D28" s="127"/>
      <c r="E28" s="127"/>
      <c r="F28" s="111"/>
      <c r="G28" s="136"/>
      <c r="H28" s="137"/>
      <c r="I28" s="135" t="n">
        <f aca="false">IF(G28&gt;=10000,G28/60*F28,G28/36*F28)</f>
        <v>0</v>
      </c>
      <c r="J28" s="130"/>
      <c r="K28" s="125" t="n">
        <f aca="false">I28*J28</f>
        <v>0</v>
      </c>
    </row>
    <row r="29" customFormat="false" ht="12.75" hidden="false" customHeight="false" outlineLevel="0" collapsed="false">
      <c r="A29" s="126"/>
      <c r="B29" s="127"/>
      <c r="C29" s="111"/>
      <c r="D29" s="127"/>
      <c r="E29" s="127"/>
      <c r="F29" s="111"/>
      <c r="G29" s="136"/>
      <c r="H29" s="137"/>
      <c r="I29" s="135" t="n">
        <f aca="false">IF(G29&gt;=10000,G29/60*F29,G29/36*F29)</f>
        <v>0</v>
      </c>
      <c r="J29" s="130"/>
      <c r="K29" s="125" t="n">
        <f aca="false">I29*J29</f>
        <v>0</v>
      </c>
    </row>
    <row r="30" customFormat="false" ht="12.75" hidden="false" customHeight="false" outlineLevel="0" collapsed="false">
      <c r="A30" s="126"/>
      <c r="B30" s="127"/>
      <c r="C30" s="111"/>
      <c r="D30" s="127"/>
      <c r="E30" s="127"/>
      <c r="F30" s="111"/>
      <c r="G30" s="136"/>
      <c r="H30" s="137"/>
      <c r="I30" s="135" t="n">
        <f aca="false">IF(G30&gt;=10000,G30/60*F30,G30/36*F30)</f>
        <v>0</v>
      </c>
      <c r="J30" s="130"/>
      <c r="K30" s="125" t="n">
        <f aca="false">I30*J30</f>
        <v>0</v>
      </c>
    </row>
    <row r="31" customFormat="false" ht="12.75" hidden="false" customHeight="false" outlineLevel="0" collapsed="false">
      <c r="A31" s="126"/>
      <c r="B31" s="127"/>
      <c r="C31" s="111"/>
      <c r="D31" s="127"/>
      <c r="E31" s="127"/>
      <c r="F31" s="111"/>
      <c r="G31" s="136"/>
      <c r="H31" s="137"/>
      <c r="I31" s="135" t="n">
        <f aca="false">IF(G31&gt;=10000,G31/60*F31,G31/36*F31)</f>
        <v>0</v>
      </c>
      <c r="J31" s="130"/>
      <c r="K31" s="125" t="n">
        <f aca="false">I31*J31</f>
        <v>0</v>
      </c>
    </row>
    <row r="32" customFormat="false" ht="12.75" hidden="false" customHeight="false" outlineLevel="0" collapsed="false">
      <c r="A32" s="126"/>
      <c r="B32" s="127"/>
      <c r="C32" s="111"/>
      <c r="D32" s="127"/>
      <c r="E32" s="127"/>
      <c r="F32" s="111"/>
      <c r="G32" s="136"/>
      <c r="H32" s="137"/>
      <c r="I32" s="135" t="n">
        <f aca="false">IF(G32&gt;=10000,G32/60*F32,G32/36*F32)</f>
        <v>0</v>
      </c>
      <c r="J32" s="130"/>
      <c r="K32" s="125" t="n">
        <f aca="false">I32*J32</f>
        <v>0</v>
      </c>
    </row>
    <row r="33" customFormat="false" ht="12.75" hidden="false" customHeight="false" outlineLevel="0" collapsed="false">
      <c r="A33" s="126"/>
      <c r="B33" s="127"/>
      <c r="C33" s="111"/>
      <c r="D33" s="127"/>
      <c r="E33" s="127"/>
      <c r="F33" s="111"/>
      <c r="G33" s="136"/>
      <c r="H33" s="137"/>
      <c r="I33" s="135" t="n">
        <f aca="false">IF(G33&gt;=10000,G33/60*F33,G33/36*F33)</f>
        <v>0</v>
      </c>
      <c r="J33" s="130"/>
      <c r="K33" s="125" t="n">
        <f aca="false">I33*J33</f>
        <v>0</v>
      </c>
    </row>
    <row r="34" customFormat="false" ht="12.75" hidden="false" customHeight="false" outlineLevel="0" collapsed="false">
      <c r="A34" s="126"/>
      <c r="B34" s="127"/>
      <c r="C34" s="111"/>
      <c r="D34" s="127"/>
      <c r="E34" s="127"/>
      <c r="F34" s="111"/>
      <c r="G34" s="136"/>
      <c r="H34" s="137"/>
      <c r="I34" s="135" t="n">
        <f aca="false">IF(G34&gt;=10000,G34/60*F34,G34/36*F34)</f>
        <v>0</v>
      </c>
      <c r="J34" s="130"/>
      <c r="K34" s="125" t="n">
        <f aca="false">I34*J34</f>
        <v>0</v>
      </c>
    </row>
    <row r="35" customFormat="false" ht="12.75" hidden="false" customHeight="false" outlineLevel="0" collapsed="false">
      <c r="A35" s="126"/>
      <c r="B35" s="127"/>
      <c r="C35" s="111"/>
      <c r="D35" s="127"/>
      <c r="E35" s="127"/>
      <c r="F35" s="111"/>
      <c r="G35" s="136"/>
      <c r="H35" s="137"/>
      <c r="I35" s="135" t="n">
        <f aca="false">IF(G35&gt;=10000,G35/60*F35,G35/36*F35)</f>
        <v>0</v>
      </c>
      <c r="J35" s="130"/>
      <c r="K35" s="125" t="n">
        <f aca="false">I35*J35</f>
        <v>0</v>
      </c>
    </row>
    <row r="36" customFormat="false" ht="12.75" hidden="false" customHeight="false" outlineLevel="0" collapsed="false">
      <c r="A36" s="126"/>
      <c r="B36" s="127"/>
      <c r="C36" s="111"/>
      <c r="D36" s="127"/>
      <c r="E36" s="127"/>
      <c r="F36" s="111"/>
      <c r="G36" s="136"/>
      <c r="H36" s="137"/>
      <c r="I36" s="135" t="n">
        <f aca="false">IF(G36&gt;=10000,G36/60*F36,G36/36*F36)</f>
        <v>0</v>
      </c>
      <c r="J36" s="130"/>
      <c r="K36" s="125" t="n">
        <f aca="false">I36*J36</f>
        <v>0</v>
      </c>
    </row>
    <row r="37" customFormat="false" ht="12.75" hidden="false" customHeight="false" outlineLevel="0" collapsed="false">
      <c r="A37" s="126"/>
      <c r="B37" s="127"/>
      <c r="C37" s="111"/>
      <c r="D37" s="127"/>
      <c r="E37" s="127"/>
      <c r="F37" s="111"/>
      <c r="G37" s="136"/>
      <c r="H37" s="137"/>
      <c r="I37" s="135" t="n">
        <f aca="false">IF(G37&gt;=10000,G37/60*F37,G37/36*F37)</f>
        <v>0</v>
      </c>
      <c r="J37" s="130"/>
      <c r="K37" s="125" t="n">
        <f aca="false">I37*J37</f>
        <v>0</v>
      </c>
    </row>
    <row r="38" customFormat="false" ht="12.75" hidden="false" customHeight="false" outlineLevel="0" collapsed="false">
      <c r="A38" s="126"/>
      <c r="B38" s="127"/>
      <c r="C38" s="111"/>
      <c r="D38" s="127"/>
      <c r="E38" s="127"/>
      <c r="F38" s="111"/>
      <c r="G38" s="136"/>
      <c r="H38" s="137"/>
      <c r="I38" s="135" t="n">
        <f aca="false">IF(G38&gt;=10000,G38/60*F38,G38/36*F38)</f>
        <v>0</v>
      </c>
      <c r="J38" s="130"/>
      <c r="K38" s="125" t="n">
        <f aca="false">I38*J38</f>
        <v>0</v>
      </c>
    </row>
    <row r="39" customFormat="false" ht="12.75" hidden="false" customHeight="false" outlineLevel="0" collapsed="false">
      <c r="A39" s="126"/>
      <c r="B39" s="127"/>
      <c r="C39" s="111"/>
      <c r="D39" s="127"/>
      <c r="E39" s="127"/>
      <c r="F39" s="111"/>
      <c r="G39" s="136"/>
      <c r="H39" s="137"/>
      <c r="I39" s="135" t="n">
        <f aca="false">IF(G39&gt;=10000,G39/60*F39,G39/36*F39)</f>
        <v>0</v>
      </c>
      <c r="J39" s="130"/>
      <c r="K39" s="125" t="n">
        <f aca="false">I39*J39</f>
        <v>0</v>
      </c>
    </row>
    <row r="40" customFormat="false" ht="12.75" hidden="false" customHeight="false" outlineLevel="0" collapsed="false">
      <c r="A40" s="126"/>
      <c r="B40" s="127"/>
      <c r="C40" s="111"/>
      <c r="D40" s="127"/>
      <c r="E40" s="127"/>
      <c r="F40" s="111"/>
      <c r="G40" s="136"/>
      <c r="H40" s="137"/>
      <c r="I40" s="135" t="n">
        <f aca="false">IF(G40&gt;=10000,G40/60*F40,G40/36*F40)</f>
        <v>0</v>
      </c>
      <c r="J40" s="130"/>
      <c r="K40" s="125" t="n">
        <f aca="false">I40*J40</f>
        <v>0</v>
      </c>
    </row>
    <row r="41" customFormat="false" ht="12.75" hidden="false" customHeight="false" outlineLevel="0" collapsed="false">
      <c r="A41" s="131"/>
      <c r="B41" s="132"/>
      <c r="C41" s="132"/>
      <c r="D41" s="132"/>
      <c r="E41" s="132"/>
      <c r="F41" s="132"/>
      <c r="G41" s="132"/>
      <c r="H41" s="132"/>
      <c r="I41" s="132"/>
    </row>
    <row r="42" customFormat="false" ht="12.75" hidden="false" customHeight="false" outlineLevel="0" collapsed="false">
      <c r="A42" s="131"/>
      <c r="B42" s="132"/>
      <c r="C42" s="132"/>
      <c r="D42" s="132"/>
      <c r="E42" s="132"/>
      <c r="F42" s="132"/>
      <c r="G42" s="132"/>
      <c r="H42" s="132"/>
      <c r="I42" s="132"/>
    </row>
    <row r="43" customFormat="false" ht="12.75" hidden="false" customHeight="false" outlineLevel="0" collapsed="false">
      <c r="A43" s="131"/>
      <c r="B43" s="132"/>
      <c r="C43" s="132"/>
      <c r="D43" s="132"/>
      <c r="E43" s="132"/>
      <c r="F43" s="132"/>
      <c r="G43" s="132"/>
      <c r="H43" s="132"/>
      <c r="I43" s="132"/>
    </row>
    <row r="44" customFormat="false" ht="12.75" hidden="false" customHeight="false" outlineLevel="0" collapsed="false">
      <c r="A44" s="131"/>
      <c r="B44" s="132"/>
      <c r="C44" s="132"/>
      <c r="D44" s="132"/>
      <c r="E44" s="132"/>
      <c r="F44" s="132"/>
      <c r="G44" s="132"/>
      <c r="H44" s="132"/>
      <c r="I44" s="132"/>
    </row>
    <row r="45" customFormat="false" ht="12.75" hidden="false" customHeight="false" outlineLevel="0" collapsed="false">
      <c r="A45" s="131"/>
      <c r="B45" s="132"/>
      <c r="C45" s="132"/>
      <c r="D45" s="132"/>
      <c r="E45" s="132"/>
      <c r="F45" s="132"/>
      <c r="G45" s="132"/>
      <c r="H45" s="132"/>
      <c r="I45" s="132"/>
    </row>
    <row r="46" customFormat="false" ht="12.75" hidden="false" customHeight="false" outlineLevel="0" collapsed="false">
      <c r="A46" s="131"/>
      <c r="B46" s="132"/>
      <c r="C46" s="132"/>
      <c r="D46" s="132"/>
      <c r="E46" s="132"/>
      <c r="F46" s="132"/>
      <c r="G46" s="132"/>
      <c r="H46" s="132"/>
      <c r="I46" s="132"/>
    </row>
    <row r="47" customFormat="false" ht="12.75" hidden="false" customHeight="false" outlineLevel="0" collapsed="false">
      <c r="A47" s="131"/>
      <c r="B47" s="132"/>
      <c r="C47" s="132"/>
      <c r="D47" s="132"/>
      <c r="E47" s="132"/>
      <c r="F47" s="132"/>
      <c r="G47" s="132"/>
      <c r="H47" s="132"/>
      <c r="I47" s="132"/>
    </row>
    <row r="48" customFormat="false" ht="12.75" hidden="false" customHeight="false" outlineLevel="0" collapsed="false">
      <c r="A48" s="131"/>
      <c r="B48" s="132"/>
      <c r="C48" s="132"/>
      <c r="D48" s="132"/>
      <c r="E48" s="132"/>
      <c r="F48" s="132"/>
      <c r="G48" s="132"/>
      <c r="H48" s="132"/>
      <c r="I48" s="132"/>
    </row>
    <row r="49" customFormat="false" ht="12.75" hidden="false" customHeight="false" outlineLevel="0" collapsed="false">
      <c r="A49" s="131"/>
      <c r="B49" s="132"/>
      <c r="C49" s="132"/>
      <c r="D49" s="132"/>
      <c r="E49" s="132"/>
      <c r="F49" s="132"/>
      <c r="G49" s="132"/>
      <c r="H49" s="132"/>
      <c r="I49" s="132"/>
    </row>
    <row r="50" customFormat="false" ht="12.75" hidden="false" customHeight="false" outlineLevel="0" collapsed="false">
      <c r="A50" s="131"/>
      <c r="B50" s="132"/>
      <c r="C50" s="132"/>
      <c r="D50" s="132"/>
      <c r="E50" s="132"/>
      <c r="F50" s="132"/>
      <c r="G50" s="132"/>
      <c r="H50" s="132"/>
      <c r="I50" s="132"/>
    </row>
    <row r="51" customFormat="false" ht="12.75" hidden="false" customHeight="false" outlineLevel="0" collapsed="false">
      <c r="A51" s="131"/>
      <c r="B51" s="132"/>
      <c r="C51" s="132"/>
      <c r="D51" s="132"/>
      <c r="E51" s="132"/>
      <c r="F51" s="132"/>
      <c r="G51" s="132"/>
      <c r="H51" s="132"/>
      <c r="I51" s="132"/>
    </row>
    <row r="52" customFormat="false" ht="12.75" hidden="false" customHeight="false" outlineLevel="0" collapsed="false">
      <c r="A52" s="131"/>
      <c r="B52" s="132"/>
      <c r="C52" s="132"/>
      <c r="D52" s="132"/>
      <c r="E52" s="132"/>
      <c r="F52" s="132"/>
      <c r="G52" s="132"/>
      <c r="H52" s="132"/>
      <c r="I52" s="132"/>
    </row>
    <row r="53" customFormat="false" ht="12.75" hidden="false" customHeight="false" outlineLevel="0" collapsed="false">
      <c r="A53" s="131"/>
      <c r="B53" s="132"/>
      <c r="C53" s="132"/>
      <c r="D53" s="132"/>
      <c r="E53" s="132"/>
      <c r="F53" s="132"/>
      <c r="G53" s="132"/>
      <c r="H53" s="132"/>
      <c r="I53" s="132"/>
    </row>
    <row r="54" customFormat="false" ht="12.75" hidden="false" customHeight="false" outlineLevel="0" collapsed="false">
      <c r="A54" s="131"/>
      <c r="B54" s="132"/>
      <c r="C54" s="132"/>
      <c r="D54" s="132"/>
      <c r="E54" s="132"/>
      <c r="F54" s="132"/>
      <c r="G54" s="132"/>
      <c r="H54" s="132"/>
      <c r="I54" s="132"/>
    </row>
    <row r="55" customFormat="false" ht="12.75" hidden="false" customHeight="false" outlineLevel="0" collapsed="false">
      <c r="A55" s="131"/>
      <c r="B55" s="132"/>
      <c r="C55" s="132"/>
      <c r="D55" s="132"/>
      <c r="E55" s="132"/>
      <c r="F55" s="132"/>
      <c r="G55" s="132"/>
      <c r="H55" s="132"/>
      <c r="I55" s="132"/>
    </row>
    <row r="56" customFormat="false" ht="12.75" hidden="false" customHeight="false" outlineLevel="0" collapsed="false">
      <c r="A56" s="131"/>
      <c r="B56" s="131"/>
      <c r="C56" s="131"/>
      <c r="D56" s="131"/>
    </row>
    <row r="57" customFormat="false" ht="12.75" hidden="false" customHeight="false" outlineLevel="0" collapsed="false">
      <c r="A57" s="131"/>
      <c r="B57" s="131"/>
      <c r="C57" s="131"/>
      <c r="D57" s="131"/>
    </row>
  </sheetData>
  <sheetProtection sheet="true" password="8737" objects="true" scenarios="true"/>
  <printOptions headings="false" gridLines="false" gridLinesSet="true" horizontalCentered="false" verticalCentered="false"/>
  <pageMargins left="0.747916666666667" right="0.747916666666667" top="0.984027777777778" bottom="0.7875" header="0.511805555555556" footer="0.511811023622047"/>
  <pageSetup paperSize="9" scale="81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6.98"/>
    <col collapsed="false" customWidth="true" hidden="false" outlineLevel="0" max="2" min="2" style="0" width="20.83"/>
    <col collapsed="false" customWidth="true" hidden="false" outlineLevel="0" max="3" min="3" style="0" width="7.55"/>
    <col collapsed="false" customWidth="true" hidden="false" outlineLevel="0" max="4" min="4" style="0" width="18.68"/>
    <col collapsed="false" customWidth="true" hidden="false" outlineLevel="0" max="5" min="5" style="0" width="20.97"/>
    <col collapsed="false" customWidth="true" hidden="false" outlineLevel="0" max="6" min="6" style="0" width="20.11"/>
    <col collapsed="false" customWidth="true" hidden="false" outlineLevel="0" max="7" min="7" style="0" width="18.68"/>
    <col collapsed="false" customWidth="true" hidden="false" outlineLevel="0" max="8" min="8" style="87" width="18.26"/>
    <col collapsed="false" customWidth="true" hidden="false" outlineLevel="0" max="9" min="9" style="87" width="13.27"/>
    <col collapsed="false" customWidth="true" hidden="false" outlineLevel="0" max="10" min="10" style="0" width="15.68"/>
  </cols>
  <sheetData>
    <row r="1" customFormat="false" ht="16.5" hidden="false" customHeight="false" outlineLevel="0" collapsed="false">
      <c r="A1" s="88" t="s">
        <v>69</v>
      </c>
      <c r="B1" s="89"/>
      <c r="C1" s="89"/>
      <c r="D1" s="114"/>
      <c r="E1" s="115"/>
      <c r="F1" s="91"/>
      <c r="G1" s="91"/>
      <c r="H1" s="29"/>
      <c r="I1" s="91"/>
    </row>
    <row r="2" customFormat="false" ht="15.75" hidden="false" customHeight="false" outlineLevel="0" collapsed="false">
      <c r="A2" s="116" t="s">
        <v>70</v>
      </c>
      <c r="B2" s="117"/>
      <c r="C2" s="89"/>
      <c r="D2" s="114"/>
      <c r="E2" s="115"/>
      <c r="F2" s="91"/>
      <c r="G2" s="91"/>
      <c r="H2" s="29"/>
      <c r="I2" s="91"/>
    </row>
    <row r="3" customFormat="false" ht="16.5" hidden="false" customHeight="false" outlineLevel="0" collapsed="false">
      <c r="A3" s="88" t="s">
        <v>40</v>
      </c>
      <c r="B3" s="118" t="n">
        <f aca="false">SUM(I6:I40)</f>
        <v>0</v>
      </c>
      <c r="C3" s="93"/>
      <c r="D3" s="94"/>
      <c r="E3" s="91"/>
      <c r="F3" s="91"/>
      <c r="G3" s="91"/>
      <c r="H3" s="29"/>
      <c r="I3" s="91"/>
    </row>
    <row r="4" customFormat="false" ht="13.5" hidden="false" customHeight="false" outlineLevel="0" collapsed="false">
      <c r="A4" s="29"/>
      <c r="B4" s="95"/>
      <c r="C4" s="95"/>
      <c r="D4" s="29"/>
      <c r="E4" s="29"/>
      <c r="F4" s="29"/>
      <c r="G4" s="29"/>
      <c r="H4" s="91"/>
      <c r="I4" s="91"/>
    </row>
    <row r="5" customFormat="false" ht="26.25" hidden="false" customHeight="false" outlineLevel="0" collapsed="false">
      <c r="A5" s="5" t="s">
        <v>41</v>
      </c>
      <c r="B5" s="96" t="s">
        <v>42</v>
      </c>
      <c r="C5" s="5" t="s">
        <v>34</v>
      </c>
      <c r="D5" s="98" t="s">
        <v>63</v>
      </c>
      <c r="E5" s="96" t="s">
        <v>58</v>
      </c>
      <c r="F5" s="98" t="s">
        <v>71</v>
      </c>
      <c r="G5" s="98" t="s">
        <v>72</v>
      </c>
      <c r="H5" s="98" t="s">
        <v>59</v>
      </c>
      <c r="I5" s="98" t="s">
        <v>68</v>
      </c>
    </row>
    <row r="6" customFormat="false" ht="12.75" hidden="false" customHeight="false" outlineLevel="0" collapsed="false">
      <c r="A6" s="119"/>
      <c r="B6" s="72"/>
      <c r="C6" s="120"/>
      <c r="D6" s="119"/>
      <c r="E6" s="120"/>
      <c r="F6" s="119"/>
      <c r="G6" s="138"/>
      <c r="H6" s="124"/>
      <c r="I6" s="139" t="n">
        <f aca="false">SUM(F6*G6)*H6</f>
        <v>0</v>
      </c>
    </row>
    <row r="7" customFormat="false" ht="12.75" hidden="false" customHeight="false" outlineLevel="0" collapsed="false">
      <c r="A7" s="126"/>
      <c r="B7" s="77"/>
      <c r="C7" s="111"/>
      <c r="D7" s="126"/>
      <c r="E7" s="120"/>
      <c r="F7" s="126"/>
      <c r="G7" s="140"/>
      <c r="H7" s="130"/>
      <c r="I7" s="139" t="n">
        <f aca="false">SUM(F7*G7)*H7</f>
        <v>0</v>
      </c>
    </row>
    <row r="8" customFormat="false" ht="12.75" hidden="false" customHeight="false" outlineLevel="0" collapsed="false">
      <c r="A8" s="126"/>
      <c r="B8" s="77"/>
      <c r="C8" s="111"/>
      <c r="D8" s="126"/>
      <c r="E8" s="111"/>
      <c r="F8" s="126"/>
      <c r="G8" s="140"/>
      <c r="H8" s="130"/>
      <c r="I8" s="139" t="n">
        <f aca="false">SUM(F8*G8)*H8</f>
        <v>0</v>
      </c>
    </row>
    <row r="9" customFormat="false" ht="12.75" hidden="false" customHeight="false" outlineLevel="0" collapsed="false">
      <c r="A9" s="126"/>
      <c r="B9" s="77"/>
      <c r="C9" s="111"/>
      <c r="D9" s="126"/>
      <c r="E9" s="111"/>
      <c r="F9" s="126"/>
      <c r="G9" s="140"/>
      <c r="H9" s="130"/>
      <c r="I9" s="139" t="n">
        <f aca="false">SUM(F9*G9)*H9</f>
        <v>0</v>
      </c>
    </row>
    <row r="10" customFormat="false" ht="12.75" hidden="false" customHeight="false" outlineLevel="0" collapsed="false">
      <c r="A10" s="126"/>
      <c r="B10" s="111"/>
      <c r="C10" s="126"/>
      <c r="D10" s="126"/>
      <c r="E10" s="111"/>
      <c r="F10" s="126"/>
      <c r="G10" s="140"/>
      <c r="H10" s="130"/>
      <c r="I10" s="139" t="n">
        <f aca="false">SUM(F10*G10)*H10</f>
        <v>0</v>
      </c>
    </row>
    <row r="11" customFormat="false" ht="12.75" hidden="false" customHeight="false" outlineLevel="0" collapsed="false">
      <c r="A11" s="126"/>
      <c r="B11" s="111"/>
      <c r="C11" s="126"/>
      <c r="D11" s="126"/>
      <c r="E11" s="111"/>
      <c r="F11" s="126"/>
      <c r="G11" s="140"/>
      <c r="H11" s="130"/>
      <c r="I11" s="139" t="n">
        <f aca="false">SUM(F11*G11)*H11</f>
        <v>0</v>
      </c>
    </row>
    <row r="12" customFormat="false" ht="12.75" hidden="false" customHeight="false" outlineLevel="0" collapsed="false">
      <c r="A12" s="126"/>
      <c r="B12" s="111"/>
      <c r="C12" s="126"/>
      <c r="D12" s="126"/>
      <c r="E12" s="111"/>
      <c r="F12" s="126"/>
      <c r="G12" s="140"/>
      <c r="H12" s="130"/>
      <c r="I12" s="139" t="n">
        <f aca="false">SUM(F12*G12)*H12</f>
        <v>0</v>
      </c>
    </row>
    <row r="13" customFormat="false" ht="12.75" hidden="false" customHeight="false" outlineLevel="0" collapsed="false">
      <c r="A13" s="126"/>
      <c r="B13" s="111"/>
      <c r="C13" s="126"/>
      <c r="D13" s="126"/>
      <c r="E13" s="111"/>
      <c r="F13" s="126"/>
      <c r="G13" s="140"/>
      <c r="H13" s="130"/>
      <c r="I13" s="139" t="n">
        <f aca="false">SUM(F13*G13)*H13</f>
        <v>0</v>
      </c>
    </row>
    <row r="14" customFormat="false" ht="12.75" hidden="false" customHeight="false" outlineLevel="0" collapsed="false">
      <c r="A14" s="126"/>
      <c r="B14" s="111"/>
      <c r="C14" s="126"/>
      <c r="D14" s="126"/>
      <c r="E14" s="111"/>
      <c r="F14" s="126"/>
      <c r="G14" s="140"/>
      <c r="H14" s="130"/>
      <c r="I14" s="139" t="n">
        <f aca="false">SUM(F14*G14)*H14</f>
        <v>0</v>
      </c>
    </row>
    <row r="15" customFormat="false" ht="12.75" hidden="false" customHeight="false" outlineLevel="0" collapsed="false">
      <c r="A15" s="126"/>
      <c r="B15" s="111"/>
      <c r="C15" s="126"/>
      <c r="D15" s="126"/>
      <c r="E15" s="111"/>
      <c r="F15" s="126"/>
      <c r="G15" s="140"/>
      <c r="H15" s="130"/>
      <c r="I15" s="139" t="n">
        <f aca="false">SUM(F15*G15)*H15</f>
        <v>0</v>
      </c>
    </row>
    <row r="16" customFormat="false" ht="12.75" hidden="false" customHeight="false" outlineLevel="0" collapsed="false">
      <c r="A16" s="126"/>
      <c r="B16" s="111"/>
      <c r="C16" s="126"/>
      <c r="D16" s="126"/>
      <c r="E16" s="111"/>
      <c r="F16" s="126"/>
      <c r="G16" s="140"/>
      <c r="H16" s="130"/>
      <c r="I16" s="139" t="n">
        <f aca="false">SUM(F16*G16)*H16</f>
        <v>0</v>
      </c>
    </row>
    <row r="17" customFormat="false" ht="12.75" hidden="false" customHeight="false" outlineLevel="0" collapsed="false">
      <c r="A17" s="126"/>
      <c r="B17" s="111"/>
      <c r="C17" s="126"/>
      <c r="D17" s="126"/>
      <c r="E17" s="111"/>
      <c r="F17" s="126"/>
      <c r="G17" s="140"/>
      <c r="H17" s="130"/>
      <c r="I17" s="139" t="n">
        <f aca="false">SUM(F17*G17)*H17</f>
        <v>0</v>
      </c>
    </row>
    <row r="18" customFormat="false" ht="12.75" hidden="false" customHeight="false" outlineLevel="0" collapsed="false">
      <c r="A18" s="126"/>
      <c r="B18" s="111"/>
      <c r="C18" s="126"/>
      <c r="D18" s="126"/>
      <c r="E18" s="111"/>
      <c r="F18" s="126"/>
      <c r="G18" s="140"/>
      <c r="H18" s="130"/>
      <c r="I18" s="139" t="n">
        <f aca="false">SUM(F18*G18)*H18</f>
        <v>0</v>
      </c>
    </row>
    <row r="19" customFormat="false" ht="12.75" hidden="false" customHeight="false" outlineLevel="0" collapsed="false">
      <c r="A19" s="126"/>
      <c r="B19" s="111"/>
      <c r="C19" s="126"/>
      <c r="D19" s="126"/>
      <c r="E19" s="111"/>
      <c r="F19" s="126"/>
      <c r="G19" s="140"/>
      <c r="H19" s="130"/>
      <c r="I19" s="139" t="n">
        <f aca="false">SUM(F19*G19)*H19</f>
        <v>0</v>
      </c>
    </row>
    <row r="20" customFormat="false" ht="12.75" hidden="false" customHeight="false" outlineLevel="0" collapsed="false">
      <c r="A20" s="126"/>
      <c r="B20" s="111"/>
      <c r="C20" s="126"/>
      <c r="D20" s="126"/>
      <c r="E20" s="111"/>
      <c r="F20" s="126"/>
      <c r="G20" s="140"/>
      <c r="H20" s="130"/>
      <c r="I20" s="139" t="n">
        <f aca="false">SUM(F20*G20)*H20</f>
        <v>0</v>
      </c>
    </row>
    <row r="21" customFormat="false" ht="12.75" hidden="false" customHeight="false" outlineLevel="0" collapsed="false">
      <c r="A21" s="126"/>
      <c r="B21" s="111"/>
      <c r="C21" s="126"/>
      <c r="D21" s="126"/>
      <c r="E21" s="111"/>
      <c r="F21" s="126"/>
      <c r="G21" s="140"/>
      <c r="H21" s="130"/>
      <c r="I21" s="139" t="n">
        <f aca="false">SUM(F21*G21)*H21</f>
        <v>0</v>
      </c>
    </row>
    <row r="22" customFormat="false" ht="12.75" hidden="false" customHeight="false" outlineLevel="0" collapsed="false">
      <c r="A22" s="126"/>
      <c r="B22" s="111"/>
      <c r="C22" s="126"/>
      <c r="D22" s="126"/>
      <c r="E22" s="111"/>
      <c r="F22" s="126"/>
      <c r="G22" s="140"/>
      <c r="H22" s="130"/>
      <c r="I22" s="139" t="n">
        <f aca="false">SUM(F22*G22)*H22</f>
        <v>0</v>
      </c>
    </row>
    <row r="23" customFormat="false" ht="12.75" hidden="false" customHeight="false" outlineLevel="0" collapsed="false">
      <c r="A23" s="126"/>
      <c r="B23" s="111"/>
      <c r="C23" s="126"/>
      <c r="D23" s="126"/>
      <c r="E23" s="111"/>
      <c r="F23" s="126"/>
      <c r="G23" s="140"/>
      <c r="H23" s="130"/>
      <c r="I23" s="139" t="n">
        <f aca="false">SUM(F23*G23)*H23</f>
        <v>0</v>
      </c>
    </row>
    <row r="24" customFormat="false" ht="12.75" hidden="false" customHeight="false" outlineLevel="0" collapsed="false">
      <c r="A24" s="126"/>
      <c r="B24" s="111"/>
      <c r="C24" s="126"/>
      <c r="D24" s="126"/>
      <c r="E24" s="111"/>
      <c r="F24" s="126"/>
      <c r="G24" s="140"/>
      <c r="H24" s="130"/>
      <c r="I24" s="139" t="n">
        <f aca="false">SUM(F24*G24)*H24</f>
        <v>0</v>
      </c>
    </row>
    <row r="25" customFormat="false" ht="12.75" hidden="false" customHeight="false" outlineLevel="0" collapsed="false">
      <c r="A25" s="126"/>
      <c r="B25" s="111"/>
      <c r="C25" s="126"/>
      <c r="D25" s="126"/>
      <c r="E25" s="111"/>
      <c r="F25" s="126"/>
      <c r="G25" s="140"/>
      <c r="H25" s="130"/>
      <c r="I25" s="139" t="n">
        <f aca="false">SUM(F25*G25)*H25</f>
        <v>0</v>
      </c>
    </row>
    <row r="26" customFormat="false" ht="12.75" hidden="false" customHeight="false" outlineLevel="0" collapsed="false">
      <c r="A26" s="126"/>
      <c r="B26" s="111"/>
      <c r="C26" s="126"/>
      <c r="D26" s="126"/>
      <c r="E26" s="111"/>
      <c r="F26" s="126"/>
      <c r="G26" s="140"/>
      <c r="H26" s="130"/>
      <c r="I26" s="139" t="n">
        <f aca="false">SUM(F26*G26)*H26</f>
        <v>0</v>
      </c>
    </row>
    <row r="27" customFormat="false" ht="12.75" hidden="false" customHeight="false" outlineLevel="0" collapsed="false">
      <c r="A27" s="126"/>
      <c r="B27" s="111"/>
      <c r="C27" s="126"/>
      <c r="D27" s="126"/>
      <c r="E27" s="111"/>
      <c r="F27" s="126"/>
      <c r="G27" s="140"/>
      <c r="H27" s="130"/>
      <c r="I27" s="139" t="n">
        <f aca="false">SUM(F27*G27)*H27</f>
        <v>0</v>
      </c>
    </row>
    <row r="28" customFormat="false" ht="12.75" hidden="false" customHeight="false" outlineLevel="0" collapsed="false">
      <c r="A28" s="126"/>
      <c r="B28" s="111"/>
      <c r="C28" s="126"/>
      <c r="D28" s="126"/>
      <c r="E28" s="111"/>
      <c r="F28" s="126"/>
      <c r="G28" s="140"/>
      <c r="H28" s="130"/>
      <c r="I28" s="139" t="n">
        <f aca="false">SUM(F28*G28)*H28</f>
        <v>0</v>
      </c>
    </row>
    <row r="29" customFormat="false" ht="12.75" hidden="false" customHeight="false" outlineLevel="0" collapsed="false">
      <c r="A29" s="126"/>
      <c r="B29" s="111"/>
      <c r="C29" s="126"/>
      <c r="D29" s="126"/>
      <c r="E29" s="111"/>
      <c r="F29" s="126"/>
      <c r="G29" s="140"/>
      <c r="H29" s="130"/>
      <c r="I29" s="139" t="n">
        <f aca="false">SUM(F29*G29)*H29</f>
        <v>0</v>
      </c>
    </row>
    <row r="30" customFormat="false" ht="12.75" hidden="false" customHeight="false" outlineLevel="0" collapsed="false">
      <c r="A30" s="126"/>
      <c r="B30" s="111"/>
      <c r="C30" s="126"/>
      <c r="D30" s="126"/>
      <c r="E30" s="111"/>
      <c r="F30" s="126"/>
      <c r="G30" s="140"/>
      <c r="H30" s="130"/>
      <c r="I30" s="139" t="n">
        <f aca="false">SUM(F30*G30)*H30</f>
        <v>0</v>
      </c>
    </row>
    <row r="31" customFormat="false" ht="12.75" hidden="false" customHeight="false" outlineLevel="0" collapsed="false">
      <c r="A31" s="126"/>
      <c r="B31" s="111"/>
      <c r="C31" s="126"/>
      <c r="D31" s="126"/>
      <c r="E31" s="111"/>
      <c r="F31" s="126"/>
      <c r="G31" s="140"/>
      <c r="H31" s="130"/>
      <c r="I31" s="139" t="n">
        <f aca="false">SUM(F31*G31)*H31</f>
        <v>0</v>
      </c>
    </row>
    <row r="32" customFormat="false" ht="12.75" hidden="false" customHeight="false" outlineLevel="0" collapsed="false">
      <c r="A32" s="126"/>
      <c r="B32" s="111"/>
      <c r="C32" s="126"/>
      <c r="D32" s="126"/>
      <c r="E32" s="111"/>
      <c r="F32" s="126"/>
      <c r="G32" s="140"/>
      <c r="H32" s="130"/>
      <c r="I32" s="139" t="n">
        <f aca="false">SUM(F32*G32)*H32</f>
        <v>0</v>
      </c>
    </row>
    <row r="33" customFormat="false" ht="12.75" hidden="false" customHeight="false" outlineLevel="0" collapsed="false">
      <c r="A33" s="126"/>
      <c r="B33" s="111"/>
      <c r="C33" s="126"/>
      <c r="D33" s="126"/>
      <c r="E33" s="111"/>
      <c r="F33" s="126"/>
      <c r="G33" s="140"/>
      <c r="H33" s="130"/>
      <c r="I33" s="139" t="n">
        <f aca="false">SUM(F33*G33)*H33</f>
        <v>0</v>
      </c>
    </row>
    <row r="34" customFormat="false" ht="12.75" hidden="false" customHeight="false" outlineLevel="0" collapsed="false">
      <c r="A34" s="126"/>
      <c r="B34" s="111"/>
      <c r="C34" s="126"/>
      <c r="D34" s="126"/>
      <c r="E34" s="111"/>
      <c r="F34" s="126"/>
      <c r="G34" s="140"/>
      <c r="H34" s="130"/>
      <c r="I34" s="139" t="n">
        <f aca="false">SUM(F34*G34)*H34</f>
        <v>0</v>
      </c>
    </row>
    <row r="35" customFormat="false" ht="12.75" hidden="false" customHeight="false" outlineLevel="0" collapsed="false">
      <c r="A35" s="126"/>
      <c r="B35" s="111"/>
      <c r="C35" s="126"/>
      <c r="D35" s="126"/>
      <c r="E35" s="111"/>
      <c r="F35" s="126"/>
      <c r="G35" s="140"/>
      <c r="H35" s="130"/>
      <c r="I35" s="139" t="n">
        <f aca="false">SUM(F35*G35)*H35</f>
        <v>0</v>
      </c>
    </row>
    <row r="36" customFormat="false" ht="12.75" hidden="false" customHeight="false" outlineLevel="0" collapsed="false">
      <c r="A36" s="126"/>
      <c r="B36" s="111"/>
      <c r="C36" s="126"/>
      <c r="D36" s="126"/>
      <c r="E36" s="111"/>
      <c r="F36" s="126"/>
      <c r="G36" s="140"/>
      <c r="H36" s="130"/>
      <c r="I36" s="139" t="n">
        <f aca="false">SUM(F36*G36)*H36</f>
        <v>0</v>
      </c>
    </row>
    <row r="37" customFormat="false" ht="12.75" hidden="false" customHeight="false" outlineLevel="0" collapsed="false">
      <c r="A37" s="126"/>
      <c r="B37" s="111"/>
      <c r="C37" s="126"/>
      <c r="D37" s="126"/>
      <c r="E37" s="111"/>
      <c r="F37" s="126"/>
      <c r="G37" s="140"/>
      <c r="H37" s="130"/>
      <c r="I37" s="139" t="n">
        <f aca="false">SUM(F37*G37)*H37</f>
        <v>0</v>
      </c>
    </row>
    <row r="38" customFormat="false" ht="12.75" hidden="false" customHeight="false" outlineLevel="0" collapsed="false">
      <c r="A38" s="126"/>
      <c r="B38" s="111"/>
      <c r="C38" s="126"/>
      <c r="D38" s="126"/>
      <c r="E38" s="111"/>
      <c r="F38" s="126"/>
      <c r="G38" s="140"/>
      <c r="H38" s="130"/>
      <c r="I38" s="139" t="n">
        <f aca="false">SUM(F38*G38)*H38</f>
        <v>0</v>
      </c>
    </row>
    <row r="39" customFormat="false" ht="12.75" hidden="false" customHeight="false" outlineLevel="0" collapsed="false">
      <c r="A39" s="126"/>
      <c r="B39" s="111"/>
      <c r="C39" s="126"/>
      <c r="D39" s="126"/>
      <c r="E39" s="111"/>
      <c r="F39" s="126"/>
      <c r="G39" s="140"/>
      <c r="H39" s="130"/>
      <c r="I39" s="139" t="n">
        <f aca="false">SUM(F39*G39)*H39</f>
        <v>0</v>
      </c>
    </row>
    <row r="40" customFormat="false" ht="12.75" hidden="false" customHeight="false" outlineLevel="0" collapsed="false">
      <c r="A40" s="126"/>
      <c r="B40" s="111"/>
      <c r="C40" s="126"/>
      <c r="D40" s="126"/>
      <c r="E40" s="111"/>
      <c r="F40" s="126"/>
      <c r="G40" s="140"/>
      <c r="H40" s="130"/>
      <c r="I40" s="139" t="n">
        <f aca="false">SUM(F40*G40)*H40</f>
        <v>0</v>
      </c>
    </row>
    <row r="41" customFormat="false" ht="12.75" hidden="false" customHeight="false" outlineLevel="0" collapsed="false">
      <c r="A41" s="131"/>
      <c r="B41" s="132"/>
      <c r="C41" s="132"/>
      <c r="D41" s="132"/>
      <c r="E41" s="132"/>
      <c r="F41" s="132"/>
      <c r="G41" s="132"/>
    </row>
    <row r="42" customFormat="false" ht="12.75" hidden="false" customHeight="false" outlineLevel="0" collapsed="false">
      <c r="A42" s="131"/>
      <c r="B42" s="132"/>
      <c r="C42" s="132"/>
      <c r="D42" s="132"/>
      <c r="E42" s="132"/>
      <c r="F42" s="132"/>
      <c r="G42" s="132"/>
    </row>
    <row r="43" customFormat="false" ht="12.75" hidden="false" customHeight="false" outlineLevel="0" collapsed="false">
      <c r="A43" s="131"/>
      <c r="B43" s="132"/>
      <c r="C43" s="132"/>
      <c r="D43" s="132"/>
      <c r="E43" s="132"/>
      <c r="F43" s="132"/>
      <c r="G43" s="132"/>
    </row>
    <row r="44" customFormat="false" ht="12.75" hidden="false" customHeight="false" outlineLevel="0" collapsed="false">
      <c r="A44" s="131"/>
      <c r="B44" s="132"/>
      <c r="C44" s="132"/>
      <c r="D44" s="132"/>
      <c r="E44" s="132"/>
      <c r="F44" s="132"/>
      <c r="G44" s="132"/>
    </row>
    <row r="45" customFormat="false" ht="12.75" hidden="false" customHeight="false" outlineLevel="0" collapsed="false">
      <c r="A45" s="131"/>
      <c r="B45" s="132"/>
      <c r="C45" s="132"/>
      <c r="D45" s="132"/>
      <c r="E45" s="132"/>
      <c r="F45" s="132"/>
      <c r="G45" s="132"/>
    </row>
    <row r="46" customFormat="false" ht="12.75" hidden="false" customHeight="false" outlineLevel="0" collapsed="false">
      <c r="A46" s="131"/>
      <c r="B46" s="132"/>
      <c r="C46" s="132"/>
      <c r="D46" s="132"/>
      <c r="E46" s="132"/>
      <c r="F46" s="132"/>
      <c r="G46" s="132"/>
    </row>
    <row r="47" customFormat="false" ht="12.75" hidden="false" customHeight="false" outlineLevel="0" collapsed="false">
      <c r="A47" s="131"/>
      <c r="B47" s="132"/>
      <c r="C47" s="132"/>
      <c r="D47" s="132"/>
      <c r="E47" s="132"/>
      <c r="F47" s="132"/>
      <c r="G47" s="132"/>
    </row>
    <row r="48" customFormat="false" ht="12.75" hidden="false" customHeight="false" outlineLevel="0" collapsed="false">
      <c r="A48" s="131"/>
      <c r="B48" s="132"/>
      <c r="C48" s="132"/>
      <c r="D48" s="132"/>
      <c r="E48" s="132"/>
      <c r="F48" s="132"/>
      <c r="G48" s="132"/>
    </row>
    <row r="49" customFormat="false" ht="12.75" hidden="false" customHeight="false" outlineLevel="0" collapsed="false">
      <c r="A49" s="131"/>
      <c r="B49" s="132"/>
      <c r="C49" s="132"/>
      <c r="D49" s="132"/>
      <c r="E49" s="132"/>
      <c r="F49" s="132"/>
      <c r="G49" s="132"/>
    </row>
    <row r="50" customFormat="false" ht="12.75" hidden="false" customHeight="false" outlineLevel="0" collapsed="false">
      <c r="A50" s="131"/>
      <c r="B50" s="132"/>
      <c r="C50" s="132"/>
      <c r="D50" s="132"/>
      <c r="E50" s="132"/>
      <c r="F50" s="132"/>
      <c r="G50" s="132"/>
    </row>
    <row r="51" customFormat="false" ht="12.75" hidden="false" customHeight="false" outlineLevel="0" collapsed="false">
      <c r="A51" s="131"/>
      <c r="B51" s="132"/>
      <c r="C51" s="132"/>
      <c r="D51" s="132"/>
      <c r="E51" s="132"/>
      <c r="F51" s="132"/>
      <c r="G51" s="132"/>
    </row>
    <row r="52" customFormat="false" ht="12.75" hidden="false" customHeight="false" outlineLevel="0" collapsed="false">
      <c r="A52" s="131"/>
      <c r="B52" s="132"/>
      <c r="C52" s="132"/>
      <c r="D52" s="132"/>
      <c r="E52" s="132"/>
      <c r="F52" s="132"/>
      <c r="G52" s="132"/>
    </row>
    <row r="53" customFormat="false" ht="12.75" hidden="false" customHeight="false" outlineLevel="0" collapsed="false">
      <c r="A53" s="131"/>
      <c r="B53" s="132"/>
      <c r="C53" s="132"/>
      <c r="D53" s="132"/>
      <c r="E53" s="132"/>
      <c r="F53" s="132"/>
      <c r="G53" s="132"/>
    </row>
    <row r="54" customFormat="false" ht="12.75" hidden="false" customHeight="false" outlineLevel="0" collapsed="false">
      <c r="A54" s="131"/>
      <c r="B54" s="132"/>
      <c r="C54" s="132"/>
      <c r="D54" s="132"/>
      <c r="E54" s="132"/>
      <c r="F54" s="132"/>
      <c r="G54" s="132"/>
    </row>
    <row r="55" customFormat="false" ht="12.75" hidden="false" customHeight="false" outlineLevel="0" collapsed="false">
      <c r="A55" s="131"/>
      <c r="B55" s="132"/>
      <c r="C55" s="132"/>
      <c r="D55" s="132"/>
      <c r="E55" s="132"/>
      <c r="F55" s="132"/>
      <c r="G55" s="132"/>
    </row>
    <row r="56" customFormat="false" ht="12.75" hidden="false" customHeight="false" outlineLevel="0" collapsed="false">
      <c r="A56" s="131"/>
      <c r="B56" s="131"/>
      <c r="C56" s="131"/>
      <c r="D56" s="131"/>
    </row>
    <row r="57" customFormat="false" ht="12.75" hidden="false" customHeight="false" outlineLevel="0" collapsed="false">
      <c r="A57" s="131"/>
      <c r="B57" s="131"/>
      <c r="C57" s="131"/>
      <c r="D57" s="131"/>
    </row>
  </sheetData>
  <sheetProtection sheet="true" password="8737" objects="true" scenarios="true"/>
  <printOptions headings="false" gridLines="false" gridLinesSet="true" horizontalCentered="false" verticalCentered="false"/>
  <pageMargins left="0.747916666666667" right="0.747916666666667" top="0.984027777777778" bottom="0.7875" header="0.511805555555556" footer="0.511811023622047"/>
  <pageSetup paperSize="9" scale="84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6.41"/>
    <col collapsed="false" customWidth="true" hidden="false" outlineLevel="0" max="2" min="2" style="0" width="22.82"/>
    <col collapsed="false" customWidth="true" hidden="false" outlineLevel="0" max="3" min="3" style="0" width="7.55"/>
    <col collapsed="false" customWidth="true" hidden="false" outlineLevel="0" max="5" min="4" style="0" width="24.11"/>
    <col collapsed="false" customWidth="true" hidden="false" outlineLevel="0" max="6" min="6" style="0" width="12.98"/>
    <col collapsed="false" customWidth="true" hidden="false" outlineLevel="0" max="7" min="7" style="87" width="18.26"/>
    <col collapsed="false" customWidth="true" hidden="false" outlineLevel="0" max="8" min="8" style="87" width="13.27"/>
    <col collapsed="false" customWidth="true" hidden="false" outlineLevel="0" max="9" min="9" style="0" width="15.68"/>
  </cols>
  <sheetData>
    <row r="1" customFormat="false" ht="16.5" hidden="false" customHeight="false" outlineLevel="0" collapsed="false">
      <c r="A1" s="88" t="s">
        <v>73</v>
      </c>
      <c r="B1" s="89"/>
      <c r="C1" s="89"/>
      <c r="D1" s="90"/>
      <c r="E1" s="91"/>
      <c r="F1" s="91"/>
      <c r="G1" s="29"/>
      <c r="H1" s="91"/>
    </row>
    <row r="2" customFormat="false" ht="16.5" hidden="false" customHeight="false" outlineLevel="0" collapsed="false">
      <c r="A2" s="88" t="s">
        <v>40</v>
      </c>
      <c r="B2" s="92" t="n">
        <f aca="false">SUM(H5:H39)</f>
        <v>0</v>
      </c>
      <c r="C2" s="93"/>
      <c r="D2" s="94"/>
      <c r="E2" s="91"/>
      <c r="F2" s="91"/>
      <c r="G2" s="29"/>
      <c r="H2" s="91"/>
    </row>
    <row r="3" customFormat="false" ht="13.5" hidden="false" customHeight="false" outlineLevel="0" collapsed="false">
      <c r="A3" s="29"/>
      <c r="B3" s="95"/>
      <c r="C3" s="95"/>
      <c r="D3" s="29"/>
      <c r="E3" s="29"/>
      <c r="F3" s="29"/>
      <c r="G3" s="91"/>
      <c r="H3" s="91"/>
    </row>
    <row r="4" customFormat="false" ht="26.25" hidden="false" customHeight="false" outlineLevel="0" collapsed="false">
      <c r="A4" s="5" t="s">
        <v>41</v>
      </c>
      <c r="B4" s="96" t="s">
        <v>42</v>
      </c>
      <c r="C4" s="5" t="s">
        <v>34</v>
      </c>
      <c r="D4" s="96" t="s">
        <v>63</v>
      </c>
      <c r="E4" s="96" t="s">
        <v>58</v>
      </c>
      <c r="F4" s="98" t="s">
        <v>74</v>
      </c>
      <c r="G4" s="98" t="s">
        <v>59</v>
      </c>
      <c r="H4" s="98" t="s">
        <v>68</v>
      </c>
    </row>
    <row r="5" customFormat="false" ht="12.75" hidden="false" customHeight="false" outlineLevel="0" collapsed="false">
      <c r="A5" s="119"/>
      <c r="B5" s="72"/>
      <c r="C5" s="120"/>
      <c r="D5" s="121"/>
      <c r="E5" s="121"/>
      <c r="F5" s="122"/>
      <c r="G5" s="141"/>
      <c r="H5" s="125" t="n">
        <f aca="false">F5*G5</f>
        <v>0</v>
      </c>
    </row>
    <row r="6" customFormat="false" ht="12.75" hidden="false" customHeight="false" outlineLevel="0" collapsed="false">
      <c r="A6" s="126"/>
      <c r="B6" s="77"/>
      <c r="C6" s="111"/>
      <c r="D6" s="127"/>
      <c r="E6" s="127"/>
      <c r="F6" s="128"/>
      <c r="G6" s="142"/>
      <c r="H6" s="125" t="n">
        <f aca="false">F6*G6</f>
        <v>0</v>
      </c>
    </row>
    <row r="7" customFormat="false" ht="12.75" hidden="false" customHeight="false" outlineLevel="0" collapsed="false">
      <c r="A7" s="126"/>
      <c r="B7" s="77"/>
      <c r="C7" s="111"/>
      <c r="D7" s="127"/>
      <c r="E7" s="127"/>
      <c r="F7" s="128"/>
      <c r="G7" s="142"/>
      <c r="H7" s="125" t="n">
        <f aca="false">F7*G7</f>
        <v>0</v>
      </c>
    </row>
    <row r="8" customFormat="false" ht="12.75" hidden="false" customHeight="false" outlineLevel="0" collapsed="false">
      <c r="A8" s="126"/>
      <c r="B8" s="77"/>
      <c r="C8" s="111"/>
      <c r="D8" s="127"/>
      <c r="E8" s="127"/>
      <c r="F8" s="128"/>
      <c r="G8" s="142"/>
      <c r="H8" s="125" t="n">
        <f aca="false">F8*G8</f>
        <v>0</v>
      </c>
    </row>
    <row r="9" customFormat="false" ht="12.75" hidden="false" customHeight="false" outlineLevel="0" collapsed="false">
      <c r="A9" s="126"/>
      <c r="B9" s="127"/>
      <c r="C9" s="111"/>
      <c r="D9" s="127"/>
      <c r="E9" s="127"/>
      <c r="F9" s="128"/>
      <c r="G9" s="142"/>
      <c r="H9" s="125" t="n">
        <f aca="false">F9*G9</f>
        <v>0</v>
      </c>
    </row>
    <row r="10" customFormat="false" ht="12.75" hidden="false" customHeight="false" outlineLevel="0" collapsed="false">
      <c r="A10" s="126"/>
      <c r="B10" s="127"/>
      <c r="C10" s="111"/>
      <c r="D10" s="127"/>
      <c r="E10" s="127"/>
      <c r="F10" s="128"/>
      <c r="G10" s="142"/>
      <c r="H10" s="125" t="n">
        <f aca="false">F10*G10</f>
        <v>0</v>
      </c>
    </row>
    <row r="11" customFormat="false" ht="12.75" hidden="false" customHeight="false" outlineLevel="0" collapsed="false">
      <c r="A11" s="126"/>
      <c r="B11" s="127"/>
      <c r="C11" s="111"/>
      <c r="D11" s="127"/>
      <c r="E11" s="127"/>
      <c r="F11" s="128"/>
      <c r="G11" s="142"/>
      <c r="H11" s="125" t="n">
        <f aca="false">F11*G11</f>
        <v>0</v>
      </c>
    </row>
    <row r="12" customFormat="false" ht="12.75" hidden="false" customHeight="false" outlineLevel="0" collapsed="false">
      <c r="A12" s="126"/>
      <c r="B12" s="127"/>
      <c r="C12" s="111"/>
      <c r="D12" s="127"/>
      <c r="E12" s="127"/>
      <c r="F12" s="128"/>
      <c r="G12" s="142"/>
      <c r="H12" s="125" t="n">
        <f aca="false">F12*G12</f>
        <v>0</v>
      </c>
    </row>
    <row r="13" customFormat="false" ht="12.75" hidden="false" customHeight="false" outlineLevel="0" collapsed="false">
      <c r="A13" s="126"/>
      <c r="B13" s="127"/>
      <c r="C13" s="111"/>
      <c r="D13" s="127"/>
      <c r="E13" s="127"/>
      <c r="F13" s="128"/>
      <c r="G13" s="142"/>
      <c r="H13" s="125" t="n">
        <f aca="false">F13*G13</f>
        <v>0</v>
      </c>
    </row>
    <row r="14" customFormat="false" ht="12.75" hidden="false" customHeight="false" outlineLevel="0" collapsed="false">
      <c r="A14" s="126"/>
      <c r="B14" s="127"/>
      <c r="C14" s="111"/>
      <c r="D14" s="127"/>
      <c r="E14" s="127"/>
      <c r="F14" s="128"/>
      <c r="G14" s="142"/>
      <c r="H14" s="125" t="n">
        <f aca="false">F14*G14</f>
        <v>0</v>
      </c>
    </row>
    <row r="15" customFormat="false" ht="12.75" hidden="false" customHeight="false" outlineLevel="0" collapsed="false">
      <c r="A15" s="126"/>
      <c r="B15" s="127"/>
      <c r="C15" s="111"/>
      <c r="D15" s="127"/>
      <c r="E15" s="127"/>
      <c r="F15" s="128"/>
      <c r="G15" s="142"/>
      <c r="H15" s="125" t="n">
        <f aca="false">F15*G15</f>
        <v>0</v>
      </c>
    </row>
    <row r="16" customFormat="false" ht="12.75" hidden="false" customHeight="false" outlineLevel="0" collapsed="false">
      <c r="A16" s="126"/>
      <c r="B16" s="127"/>
      <c r="C16" s="111"/>
      <c r="D16" s="127"/>
      <c r="E16" s="127"/>
      <c r="F16" s="128"/>
      <c r="G16" s="142"/>
      <c r="H16" s="125" t="n">
        <f aca="false">F16*G16</f>
        <v>0</v>
      </c>
    </row>
    <row r="17" customFormat="false" ht="12.75" hidden="false" customHeight="false" outlineLevel="0" collapsed="false">
      <c r="A17" s="126"/>
      <c r="B17" s="127"/>
      <c r="C17" s="111"/>
      <c r="D17" s="127"/>
      <c r="E17" s="127"/>
      <c r="F17" s="128"/>
      <c r="G17" s="142"/>
      <c r="H17" s="125" t="n">
        <f aca="false">F17*G17</f>
        <v>0</v>
      </c>
    </row>
    <row r="18" customFormat="false" ht="12.75" hidden="false" customHeight="false" outlineLevel="0" collapsed="false">
      <c r="A18" s="126"/>
      <c r="B18" s="127"/>
      <c r="C18" s="111"/>
      <c r="D18" s="127"/>
      <c r="E18" s="127"/>
      <c r="F18" s="128"/>
      <c r="G18" s="142"/>
      <c r="H18" s="125" t="n">
        <f aca="false">F18*G18</f>
        <v>0</v>
      </c>
    </row>
    <row r="19" customFormat="false" ht="12.75" hidden="false" customHeight="false" outlineLevel="0" collapsed="false">
      <c r="A19" s="126"/>
      <c r="B19" s="127"/>
      <c r="C19" s="111"/>
      <c r="D19" s="127"/>
      <c r="E19" s="127"/>
      <c r="F19" s="128"/>
      <c r="G19" s="142"/>
      <c r="H19" s="125" t="n">
        <f aca="false">F19*G19</f>
        <v>0</v>
      </c>
    </row>
    <row r="20" customFormat="false" ht="12.75" hidden="false" customHeight="false" outlineLevel="0" collapsed="false">
      <c r="A20" s="126"/>
      <c r="B20" s="127"/>
      <c r="C20" s="111"/>
      <c r="D20" s="127"/>
      <c r="E20" s="127"/>
      <c r="F20" s="128"/>
      <c r="G20" s="142"/>
      <c r="H20" s="125" t="n">
        <f aca="false">F20*G20</f>
        <v>0</v>
      </c>
    </row>
    <row r="21" customFormat="false" ht="12.75" hidden="false" customHeight="false" outlineLevel="0" collapsed="false">
      <c r="A21" s="126"/>
      <c r="B21" s="127"/>
      <c r="C21" s="111"/>
      <c r="D21" s="127"/>
      <c r="E21" s="127"/>
      <c r="F21" s="128"/>
      <c r="G21" s="142"/>
      <c r="H21" s="125" t="n">
        <f aca="false">F21*G21</f>
        <v>0</v>
      </c>
    </row>
    <row r="22" customFormat="false" ht="12.75" hidden="false" customHeight="false" outlineLevel="0" collapsed="false">
      <c r="A22" s="126"/>
      <c r="B22" s="127"/>
      <c r="C22" s="111"/>
      <c r="D22" s="127"/>
      <c r="E22" s="127"/>
      <c r="F22" s="128"/>
      <c r="G22" s="142"/>
      <c r="H22" s="125" t="n">
        <f aca="false">F22*G22</f>
        <v>0</v>
      </c>
    </row>
    <row r="23" customFormat="false" ht="12.75" hidden="false" customHeight="false" outlineLevel="0" collapsed="false">
      <c r="A23" s="126"/>
      <c r="B23" s="127"/>
      <c r="C23" s="111"/>
      <c r="D23" s="127"/>
      <c r="E23" s="127"/>
      <c r="F23" s="128"/>
      <c r="G23" s="142"/>
      <c r="H23" s="125" t="n">
        <f aca="false">F23*G23</f>
        <v>0</v>
      </c>
    </row>
    <row r="24" customFormat="false" ht="12.75" hidden="false" customHeight="false" outlineLevel="0" collapsed="false">
      <c r="A24" s="126"/>
      <c r="B24" s="127"/>
      <c r="C24" s="111"/>
      <c r="D24" s="127"/>
      <c r="E24" s="127"/>
      <c r="F24" s="128"/>
      <c r="G24" s="142"/>
      <c r="H24" s="125" t="n">
        <f aca="false">F24*G24</f>
        <v>0</v>
      </c>
    </row>
    <row r="25" customFormat="false" ht="12.75" hidden="false" customHeight="false" outlineLevel="0" collapsed="false">
      <c r="A25" s="126"/>
      <c r="B25" s="127"/>
      <c r="C25" s="111"/>
      <c r="D25" s="127"/>
      <c r="E25" s="127"/>
      <c r="F25" s="128"/>
      <c r="G25" s="142"/>
      <c r="H25" s="125" t="n">
        <f aca="false">F25*G25</f>
        <v>0</v>
      </c>
    </row>
    <row r="26" customFormat="false" ht="12.75" hidden="false" customHeight="false" outlineLevel="0" collapsed="false">
      <c r="A26" s="126"/>
      <c r="B26" s="127"/>
      <c r="C26" s="111"/>
      <c r="D26" s="127"/>
      <c r="E26" s="127"/>
      <c r="F26" s="128"/>
      <c r="G26" s="142"/>
      <c r="H26" s="125" t="n">
        <f aca="false">F26*G26</f>
        <v>0</v>
      </c>
    </row>
    <row r="27" customFormat="false" ht="12.75" hidden="false" customHeight="false" outlineLevel="0" collapsed="false">
      <c r="A27" s="126"/>
      <c r="B27" s="127"/>
      <c r="C27" s="111"/>
      <c r="D27" s="127"/>
      <c r="E27" s="127"/>
      <c r="F27" s="128"/>
      <c r="G27" s="142"/>
      <c r="H27" s="125" t="n">
        <f aca="false">F27*G27</f>
        <v>0</v>
      </c>
    </row>
    <row r="28" customFormat="false" ht="12.75" hidden="false" customHeight="false" outlineLevel="0" collapsed="false">
      <c r="A28" s="126"/>
      <c r="B28" s="127"/>
      <c r="C28" s="111"/>
      <c r="D28" s="127"/>
      <c r="E28" s="127"/>
      <c r="F28" s="128"/>
      <c r="G28" s="142"/>
      <c r="H28" s="125" t="n">
        <f aca="false">F28*G28</f>
        <v>0</v>
      </c>
    </row>
    <row r="29" customFormat="false" ht="12.75" hidden="false" customHeight="false" outlineLevel="0" collapsed="false">
      <c r="A29" s="126"/>
      <c r="B29" s="127"/>
      <c r="C29" s="111"/>
      <c r="D29" s="127"/>
      <c r="E29" s="127"/>
      <c r="F29" s="128"/>
      <c r="G29" s="142"/>
      <c r="H29" s="125" t="n">
        <f aca="false">F29*G29</f>
        <v>0</v>
      </c>
    </row>
    <row r="30" customFormat="false" ht="12.75" hidden="false" customHeight="false" outlineLevel="0" collapsed="false">
      <c r="A30" s="126"/>
      <c r="B30" s="127"/>
      <c r="C30" s="111"/>
      <c r="D30" s="127"/>
      <c r="E30" s="127"/>
      <c r="F30" s="128"/>
      <c r="G30" s="142"/>
      <c r="H30" s="125" t="n">
        <f aca="false">F30*G30</f>
        <v>0</v>
      </c>
    </row>
    <row r="31" customFormat="false" ht="12.75" hidden="false" customHeight="false" outlineLevel="0" collapsed="false">
      <c r="A31" s="126"/>
      <c r="B31" s="127"/>
      <c r="C31" s="111"/>
      <c r="D31" s="127"/>
      <c r="E31" s="127"/>
      <c r="F31" s="128"/>
      <c r="G31" s="142"/>
      <c r="H31" s="125" t="n">
        <f aca="false">F31*G31</f>
        <v>0</v>
      </c>
    </row>
    <row r="32" customFormat="false" ht="12.75" hidden="false" customHeight="false" outlineLevel="0" collapsed="false">
      <c r="A32" s="126"/>
      <c r="B32" s="127"/>
      <c r="C32" s="111"/>
      <c r="D32" s="127"/>
      <c r="E32" s="127"/>
      <c r="F32" s="128"/>
      <c r="G32" s="142"/>
      <c r="H32" s="125" t="n">
        <f aca="false">F32*G32</f>
        <v>0</v>
      </c>
    </row>
    <row r="33" customFormat="false" ht="12.75" hidden="false" customHeight="false" outlineLevel="0" collapsed="false">
      <c r="A33" s="126"/>
      <c r="B33" s="127"/>
      <c r="C33" s="111"/>
      <c r="D33" s="127"/>
      <c r="E33" s="127"/>
      <c r="F33" s="128"/>
      <c r="G33" s="142"/>
      <c r="H33" s="125" t="n">
        <f aca="false">F33*G33</f>
        <v>0</v>
      </c>
    </row>
    <row r="34" customFormat="false" ht="12.75" hidden="false" customHeight="false" outlineLevel="0" collapsed="false">
      <c r="A34" s="126"/>
      <c r="B34" s="127"/>
      <c r="C34" s="111"/>
      <c r="D34" s="127"/>
      <c r="E34" s="127"/>
      <c r="F34" s="128"/>
      <c r="G34" s="142"/>
      <c r="H34" s="125" t="n">
        <f aca="false">F34*G34</f>
        <v>0</v>
      </c>
    </row>
    <row r="35" customFormat="false" ht="12.75" hidden="false" customHeight="false" outlineLevel="0" collapsed="false">
      <c r="A35" s="126"/>
      <c r="B35" s="127"/>
      <c r="C35" s="111"/>
      <c r="D35" s="127"/>
      <c r="E35" s="127"/>
      <c r="F35" s="128"/>
      <c r="G35" s="142"/>
      <c r="H35" s="125" t="n">
        <f aca="false">F35*G35</f>
        <v>0</v>
      </c>
    </row>
    <row r="36" customFormat="false" ht="12.75" hidden="false" customHeight="false" outlineLevel="0" collapsed="false">
      <c r="A36" s="126"/>
      <c r="B36" s="127"/>
      <c r="C36" s="111"/>
      <c r="D36" s="127"/>
      <c r="E36" s="127"/>
      <c r="F36" s="128"/>
      <c r="G36" s="142"/>
      <c r="H36" s="125" t="n">
        <f aca="false">F36*G36</f>
        <v>0</v>
      </c>
    </row>
    <row r="37" customFormat="false" ht="12.75" hidden="false" customHeight="false" outlineLevel="0" collapsed="false">
      <c r="A37" s="126"/>
      <c r="B37" s="127"/>
      <c r="C37" s="111"/>
      <c r="D37" s="127"/>
      <c r="E37" s="127"/>
      <c r="F37" s="128"/>
      <c r="G37" s="142"/>
      <c r="H37" s="125" t="n">
        <f aca="false">F37*G37</f>
        <v>0</v>
      </c>
    </row>
    <row r="38" customFormat="false" ht="12.75" hidden="false" customHeight="false" outlineLevel="0" collapsed="false">
      <c r="A38" s="126"/>
      <c r="B38" s="127"/>
      <c r="C38" s="111"/>
      <c r="D38" s="127"/>
      <c r="E38" s="127"/>
      <c r="F38" s="128"/>
      <c r="G38" s="142"/>
      <c r="H38" s="125" t="n">
        <f aca="false">F38*G38</f>
        <v>0</v>
      </c>
    </row>
    <row r="39" customFormat="false" ht="12.75" hidden="false" customHeight="false" outlineLevel="0" collapsed="false">
      <c r="A39" s="126"/>
      <c r="B39" s="127"/>
      <c r="C39" s="111"/>
      <c r="D39" s="127"/>
      <c r="E39" s="127"/>
      <c r="F39" s="128"/>
      <c r="G39" s="142"/>
      <c r="H39" s="125" t="n">
        <f aca="false">F39*G39</f>
        <v>0</v>
      </c>
    </row>
    <row r="40" customFormat="false" ht="12.75" hidden="false" customHeight="false" outlineLevel="0" collapsed="false">
      <c r="A40" s="131"/>
      <c r="B40" s="132"/>
      <c r="C40" s="132"/>
      <c r="D40" s="132"/>
      <c r="E40" s="132"/>
      <c r="F40" s="132"/>
    </row>
    <row r="41" customFormat="false" ht="12.75" hidden="false" customHeight="false" outlineLevel="0" collapsed="false">
      <c r="A41" s="131"/>
      <c r="B41" s="132"/>
      <c r="C41" s="132"/>
      <c r="D41" s="132"/>
      <c r="E41" s="132"/>
      <c r="F41" s="132"/>
    </row>
    <row r="42" customFormat="false" ht="12.75" hidden="false" customHeight="false" outlineLevel="0" collapsed="false">
      <c r="A42" s="131"/>
      <c r="B42" s="132"/>
      <c r="C42" s="132"/>
      <c r="D42" s="132"/>
      <c r="E42" s="132"/>
      <c r="F42" s="132"/>
    </row>
    <row r="43" customFormat="false" ht="12.75" hidden="false" customHeight="false" outlineLevel="0" collapsed="false">
      <c r="A43" s="131"/>
      <c r="B43" s="132"/>
      <c r="C43" s="132"/>
      <c r="D43" s="132"/>
      <c r="E43" s="132"/>
      <c r="F43" s="132"/>
    </row>
    <row r="44" customFormat="false" ht="12.75" hidden="false" customHeight="false" outlineLevel="0" collapsed="false">
      <c r="A44" s="131"/>
      <c r="B44" s="132"/>
      <c r="C44" s="132"/>
      <c r="D44" s="132"/>
      <c r="E44" s="132"/>
      <c r="F44" s="132"/>
    </row>
    <row r="45" customFormat="false" ht="12.75" hidden="false" customHeight="false" outlineLevel="0" collapsed="false">
      <c r="A45" s="131"/>
      <c r="B45" s="132"/>
      <c r="C45" s="132"/>
      <c r="D45" s="132"/>
      <c r="E45" s="132"/>
      <c r="F45" s="132"/>
    </row>
    <row r="46" customFormat="false" ht="12.75" hidden="false" customHeight="false" outlineLevel="0" collapsed="false">
      <c r="A46" s="131"/>
      <c r="B46" s="132"/>
      <c r="C46" s="132"/>
      <c r="D46" s="132"/>
      <c r="E46" s="132"/>
      <c r="F46" s="132"/>
    </row>
    <row r="47" customFormat="false" ht="12.75" hidden="false" customHeight="false" outlineLevel="0" collapsed="false">
      <c r="A47" s="131"/>
      <c r="B47" s="132"/>
      <c r="C47" s="132"/>
      <c r="D47" s="132"/>
      <c r="E47" s="132"/>
      <c r="F47" s="132"/>
    </row>
    <row r="48" customFormat="false" ht="12.75" hidden="false" customHeight="false" outlineLevel="0" collapsed="false">
      <c r="A48" s="131"/>
      <c r="B48" s="132"/>
      <c r="C48" s="132"/>
      <c r="D48" s="132"/>
      <c r="E48" s="132"/>
      <c r="F48" s="132"/>
    </row>
    <row r="49" customFormat="false" ht="12.75" hidden="false" customHeight="false" outlineLevel="0" collapsed="false">
      <c r="A49" s="131"/>
      <c r="B49" s="132"/>
      <c r="C49" s="132"/>
      <c r="D49" s="132"/>
      <c r="E49" s="132"/>
      <c r="F49" s="132"/>
    </row>
    <row r="50" customFormat="false" ht="12.75" hidden="false" customHeight="false" outlineLevel="0" collapsed="false">
      <c r="A50" s="131"/>
      <c r="B50" s="132"/>
      <c r="C50" s="132"/>
      <c r="D50" s="132"/>
      <c r="E50" s="132"/>
      <c r="F50" s="132"/>
    </row>
    <row r="51" customFormat="false" ht="12.75" hidden="false" customHeight="false" outlineLevel="0" collapsed="false">
      <c r="A51" s="131"/>
      <c r="B51" s="132"/>
      <c r="C51" s="132"/>
      <c r="D51" s="132"/>
      <c r="E51" s="132"/>
      <c r="F51" s="132"/>
    </row>
    <row r="52" customFormat="false" ht="12.75" hidden="false" customHeight="false" outlineLevel="0" collapsed="false">
      <c r="A52" s="131"/>
      <c r="B52" s="132"/>
      <c r="C52" s="132"/>
      <c r="D52" s="132"/>
      <c r="E52" s="132"/>
      <c r="F52" s="132"/>
    </row>
    <row r="53" customFormat="false" ht="12.75" hidden="false" customHeight="false" outlineLevel="0" collapsed="false">
      <c r="A53" s="131"/>
      <c r="B53" s="132"/>
      <c r="C53" s="132"/>
      <c r="D53" s="132"/>
      <c r="E53" s="132"/>
      <c r="F53" s="132"/>
    </row>
    <row r="54" customFormat="false" ht="12.75" hidden="false" customHeight="false" outlineLevel="0" collapsed="false">
      <c r="A54" s="131"/>
      <c r="B54" s="132"/>
      <c r="C54" s="132"/>
      <c r="D54" s="132"/>
      <c r="E54" s="132"/>
      <c r="F54" s="132"/>
    </row>
    <row r="55" customFormat="false" ht="12.75" hidden="false" customHeight="false" outlineLevel="0" collapsed="false">
      <c r="A55" s="131"/>
      <c r="B55" s="131"/>
      <c r="C55" s="131"/>
      <c r="D55" s="131"/>
    </row>
    <row r="56" customFormat="false" ht="12.75" hidden="false" customHeight="false" outlineLevel="0" collapsed="false">
      <c r="A56" s="131"/>
      <c r="B56" s="131"/>
      <c r="C56" s="131"/>
      <c r="D56" s="131"/>
    </row>
  </sheetData>
  <sheetProtection sheet="true" password="8737" objects="true" scenarios="true"/>
  <printOptions headings="false" gridLines="false" gridLinesSet="true" horizontalCentered="false" verticalCentered="false"/>
  <pageMargins left="0.747916666666667" right="0.747916666666667" top="0.984027777777778" bottom="0.7875" header="0.511805555555556" footer="0.511811023622047"/>
  <pageSetup paperSize="9" scale="84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6.41"/>
    <col collapsed="false" customWidth="true" hidden="false" outlineLevel="0" max="2" min="2" style="0" width="22.82"/>
    <col collapsed="false" customWidth="true" hidden="false" outlineLevel="0" max="3" min="3" style="0" width="7.55"/>
    <col collapsed="false" customWidth="true" hidden="false" outlineLevel="0" max="5" min="4" style="0" width="24.11"/>
    <col collapsed="false" customWidth="true" hidden="false" outlineLevel="0" max="6" min="6" style="0" width="12.98"/>
    <col collapsed="false" customWidth="true" hidden="false" outlineLevel="0" max="7" min="7" style="87" width="18.26"/>
    <col collapsed="false" customWidth="true" hidden="false" outlineLevel="0" max="8" min="8" style="87" width="13.27"/>
    <col collapsed="false" customWidth="true" hidden="false" outlineLevel="0" max="9" min="9" style="0" width="15.68"/>
  </cols>
  <sheetData>
    <row r="1" customFormat="false" ht="16.5" hidden="false" customHeight="false" outlineLevel="0" collapsed="false">
      <c r="A1" s="88" t="s">
        <v>75</v>
      </c>
      <c r="B1" s="89"/>
      <c r="C1" s="143"/>
      <c r="D1" s="90"/>
      <c r="E1" s="91"/>
      <c r="F1" s="91"/>
      <c r="G1" s="29"/>
      <c r="H1" s="91"/>
    </row>
    <row r="2" customFormat="false" ht="16.5" hidden="false" customHeight="false" outlineLevel="0" collapsed="false">
      <c r="A2" s="88" t="s">
        <v>40</v>
      </c>
      <c r="B2" s="92" t="n">
        <f aca="false">SUM(H5:H39)</f>
        <v>0</v>
      </c>
      <c r="C2" s="91"/>
      <c r="D2" s="29"/>
      <c r="E2" s="91"/>
      <c r="F2" s="91"/>
      <c r="G2" s="29"/>
      <c r="H2" s="91"/>
    </row>
    <row r="3" customFormat="false" ht="13.5" hidden="false" customHeight="false" outlineLevel="0" collapsed="false">
      <c r="A3" s="29"/>
      <c r="B3" s="95"/>
      <c r="C3" s="95"/>
      <c r="D3" s="29"/>
      <c r="E3" s="29"/>
      <c r="F3" s="29"/>
      <c r="G3" s="91"/>
      <c r="H3" s="91"/>
    </row>
    <row r="4" customFormat="false" ht="26.25" hidden="false" customHeight="false" outlineLevel="0" collapsed="false">
      <c r="A4" s="5" t="s">
        <v>41</v>
      </c>
      <c r="B4" s="96" t="s">
        <v>42</v>
      </c>
      <c r="C4" s="5" t="s">
        <v>34</v>
      </c>
      <c r="D4" s="96" t="s">
        <v>63</v>
      </c>
      <c r="E4" s="96" t="s">
        <v>58</v>
      </c>
      <c r="F4" s="98" t="s">
        <v>74</v>
      </c>
      <c r="G4" s="98" t="s">
        <v>59</v>
      </c>
      <c r="H4" s="98" t="s">
        <v>68</v>
      </c>
    </row>
    <row r="5" customFormat="false" ht="12.75" hidden="false" customHeight="false" outlineLevel="0" collapsed="false">
      <c r="A5" s="119"/>
      <c r="B5" s="72"/>
      <c r="C5" s="120"/>
      <c r="D5" s="121"/>
      <c r="E5" s="121"/>
      <c r="F5" s="122"/>
      <c r="G5" s="141"/>
      <c r="H5" s="125" t="n">
        <f aca="false">F5*G5</f>
        <v>0</v>
      </c>
    </row>
    <row r="6" customFormat="false" ht="12.75" hidden="false" customHeight="false" outlineLevel="0" collapsed="false">
      <c r="A6" s="126"/>
      <c r="B6" s="77"/>
      <c r="C6" s="111"/>
      <c r="D6" s="127"/>
      <c r="E6" s="127"/>
      <c r="F6" s="128"/>
      <c r="G6" s="142"/>
      <c r="H6" s="125" t="n">
        <f aca="false">F6*G6</f>
        <v>0</v>
      </c>
    </row>
    <row r="7" customFormat="false" ht="12.75" hidden="false" customHeight="false" outlineLevel="0" collapsed="false">
      <c r="A7" s="126"/>
      <c r="B7" s="77"/>
      <c r="C7" s="111"/>
      <c r="D7" s="127"/>
      <c r="E7" s="127"/>
      <c r="F7" s="128"/>
      <c r="G7" s="142"/>
      <c r="H7" s="125" t="n">
        <f aca="false">F7*G7</f>
        <v>0</v>
      </c>
    </row>
    <row r="8" customFormat="false" ht="12.75" hidden="false" customHeight="false" outlineLevel="0" collapsed="false">
      <c r="A8" s="126"/>
      <c r="B8" s="77"/>
      <c r="C8" s="111"/>
      <c r="D8" s="127"/>
      <c r="E8" s="127"/>
      <c r="F8" s="128"/>
      <c r="G8" s="142"/>
      <c r="H8" s="125" t="n">
        <f aca="false">F8*G8</f>
        <v>0</v>
      </c>
    </row>
    <row r="9" customFormat="false" ht="12.75" hidden="false" customHeight="false" outlineLevel="0" collapsed="false">
      <c r="A9" s="126"/>
      <c r="B9" s="127"/>
      <c r="C9" s="111"/>
      <c r="D9" s="127"/>
      <c r="E9" s="127"/>
      <c r="F9" s="128"/>
      <c r="G9" s="142"/>
      <c r="H9" s="125" t="n">
        <f aca="false">F9*G9</f>
        <v>0</v>
      </c>
    </row>
    <row r="10" customFormat="false" ht="12.75" hidden="false" customHeight="false" outlineLevel="0" collapsed="false">
      <c r="A10" s="126"/>
      <c r="B10" s="127"/>
      <c r="C10" s="111"/>
      <c r="D10" s="127"/>
      <c r="E10" s="127"/>
      <c r="F10" s="128"/>
      <c r="G10" s="142"/>
      <c r="H10" s="125" t="n">
        <f aca="false">F10*G10</f>
        <v>0</v>
      </c>
    </row>
    <row r="11" customFormat="false" ht="12.75" hidden="false" customHeight="false" outlineLevel="0" collapsed="false">
      <c r="A11" s="126"/>
      <c r="B11" s="127"/>
      <c r="C11" s="111"/>
      <c r="D11" s="127"/>
      <c r="E11" s="127"/>
      <c r="F11" s="128"/>
      <c r="G11" s="142"/>
      <c r="H11" s="125" t="n">
        <f aca="false">F11*G11</f>
        <v>0</v>
      </c>
    </row>
    <row r="12" customFormat="false" ht="12.75" hidden="false" customHeight="false" outlineLevel="0" collapsed="false">
      <c r="A12" s="126"/>
      <c r="B12" s="127"/>
      <c r="C12" s="111"/>
      <c r="D12" s="127"/>
      <c r="E12" s="127"/>
      <c r="F12" s="128"/>
      <c r="G12" s="142"/>
      <c r="H12" s="125" t="n">
        <f aca="false">F12*G12</f>
        <v>0</v>
      </c>
    </row>
    <row r="13" customFormat="false" ht="12.75" hidden="false" customHeight="false" outlineLevel="0" collapsed="false">
      <c r="A13" s="126"/>
      <c r="B13" s="127"/>
      <c r="C13" s="111"/>
      <c r="D13" s="127"/>
      <c r="E13" s="127"/>
      <c r="F13" s="128"/>
      <c r="G13" s="142"/>
      <c r="H13" s="125" t="n">
        <f aca="false">F13*G13</f>
        <v>0</v>
      </c>
    </row>
    <row r="14" customFormat="false" ht="12.75" hidden="false" customHeight="false" outlineLevel="0" collapsed="false">
      <c r="A14" s="126"/>
      <c r="B14" s="127"/>
      <c r="C14" s="111"/>
      <c r="D14" s="127"/>
      <c r="E14" s="127"/>
      <c r="F14" s="128"/>
      <c r="G14" s="142"/>
      <c r="H14" s="125" t="n">
        <f aca="false">F14*G14</f>
        <v>0</v>
      </c>
    </row>
    <row r="15" customFormat="false" ht="12.75" hidden="false" customHeight="false" outlineLevel="0" collapsed="false">
      <c r="A15" s="126"/>
      <c r="B15" s="127"/>
      <c r="C15" s="111"/>
      <c r="D15" s="127"/>
      <c r="E15" s="127"/>
      <c r="F15" s="128"/>
      <c r="G15" s="142"/>
      <c r="H15" s="125" t="n">
        <f aca="false">F15*G15</f>
        <v>0</v>
      </c>
    </row>
    <row r="16" customFormat="false" ht="12.75" hidden="false" customHeight="false" outlineLevel="0" collapsed="false">
      <c r="A16" s="126"/>
      <c r="B16" s="127"/>
      <c r="C16" s="111"/>
      <c r="D16" s="127"/>
      <c r="E16" s="127"/>
      <c r="F16" s="128"/>
      <c r="G16" s="142"/>
      <c r="H16" s="125" t="n">
        <f aca="false">F16*G16</f>
        <v>0</v>
      </c>
    </row>
    <row r="17" customFormat="false" ht="12.75" hidden="false" customHeight="false" outlineLevel="0" collapsed="false">
      <c r="A17" s="126"/>
      <c r="B17" s="127"/>
      <c r="C17" s="111"/>
      <c r="D17" s="127"/>
      <c r="E17" s="127"/>
      <c r="F17" s="128"/>
      <c r="G17" s="142"/>
      <c r="H17" s="125" t="n">
        <f aca="false">F17*G17</f>
        <v>0</v>
      </c>
    </row>
    <row r="18" customFormat="false" ht="12.75" hidden="false" customHeight="false" outlineLevel="0" collapsed="false">
      <c r="A18" s="126"/>
      <c r="B18" s="127"/>
      <c r="C18" s="111"/>
      <c r="D18" s="127"/>
      <c r="E18" s="127"/>
      <c r="F18" s="128"/>
      <c r="G18" s="142"/>
      <c r="H18" s="125" t="n">
        <f aca="false">F18*G18</f>
        <v>0</v>
      </c>
    </row>
    <row r="19" customFormat="false" ht="12.75" hidden="false" customHeight="false" outlineLevel="0" collapsed="false">
      <c r="A19" s="126"/>
      <c r="B19" s="127"/>
      <c r="C19" s="111"/>
      <c r="D19" s="127"/>
      <c r="E19" s="127"/>
      <c r="F19" s="128"/>
      <c r="G19" s="142"/>
      <c r="H19" s="125" t="n">
        <f aca="false">F19*G19</f>
        <v>0</v>
      </c>
    </row>
    <row r="20" customFormat="false" ht="12.75" hidden="false" customHeight="false" outlineLevel="0" collapsed="false">
      <c r="A20" s="126"/>
      <c r="B20" s="127"/>
      <c r="C20" s="111"/>
      <c r="D20" s="127"/>
      <c r="E20" s="127"/>
      <c r="F20" s="128"/>
      <c r="G20" s="142"/>
      <c r="H20" s="125" t="n">
        <f aca="false">F20*G20</f>
        <v>0</v>
      </c>
    </row>
    <row r="21" customFormat="false" ht="12.75" hidden="false" customHeight="false" outlineLevel="0" collapsed="false">
      <c r="A21" s="126"/>
      <c r="B21" s="127"/>
      <c r="C21" s="111"/>
      <c r="D21" s="127"/>
      <c r="E21" s="127"/>
      <c r="F21" s="128"/>
      <c r="G21" s="142"/>
      <c r="H21" s="125" t="n">
        <f aca="false">F21*G21</f>
        <v>0</v>
      </c>
    </row>
    <row r="22" customFormat="false" ht="12.75" hidden="false" customHeight="false" outlineLevel="0" collapsed="false">
      <c r="A22" s="126"/>
      <c r="B22" s="127"/>
      <c r="C22" s="111"/>
      <c r="D22" s="127"/>
      <c r="E22" s="127"/>
      <c r="F22" s="128"/>
      <c r="G22" s="142"/>
      <c r="H22" s="125" t="n">
        <f aca="false">F22*G22</f>
        <v>0</v>
      </c>
    </row>
    <row r="23" customFormat="false" ht="12.75" hidden="false" customHeight="false" outlineLevel="0" collapsed="false">
      <c r="A23" s="126"/>
      <c r="B23" s="127"/>
      <c r="C23" s="111"/>
      <c r="D23" s="127"/>
      <c r="E23" s="127"/>
      <c r="F23" s="128"/>
      <c r="G23" s="142"/>
      <c r="H23" s="125" t="n">
        <f aca="false">F23*G23</f>
        <v>0</v>
      </c>
    </row>
    <row r="24" customFormat="false" ht="12.75" hidden="false" customHeight="false" outlineLevel="0" collapsed="false">
      <c r="A24" s="126"/>
      <c r="B24" s="127"/>
      <c r="C24" s="111"/>
      <c r="D24" s="127"/>
      <c r="E24" s="127"/>
      <c r="F24" s="128"/>
      <c r="G24" s="142"/>
      <c r="H24" s="125" t="n">
        <f aca="false">F24*G24</f>
        <v>0</v>
      </c>
    </row>
    <row r="25" customFormat="false" ht="12.75" hidden="false" customHeight="false" outlineLevel="0" collapsed="false">
      <c r="A25" s="126"/>
      <c r="B25" s="127"/>
      <c r="C25" s="111"/>
      <c r="D25" s="127"/>
      <c r="E25" s="127"/>
      <c r="F25" s="128"/>
      <c r="G25" s="142"/>
      <c r="H25" s="125" t="n">
        <f aca="false">F25*G25</f>
        <v>0</v>
      </c>
    </row>
    <row r="26" customFormat="false" ht="12.75" hidden="false" customHeight="false" outlineLevel="0" collapsed="false">
      <c r="A26" s="126"/>
      <c r="B26" s="127"/>
      <c r="C26" s="111"/>
      <c r="D26" s="127"/>
      <c r="E26" s="127"/>
      <c r="F26" s="128"/>
      <c r="G26" s="142"/>
      <c r="H26" s="125" t="n">
        <f aca="false">F26*G26</f>
        <v>0</v>
      </c>
    </row>
    <row r="27" customFormat="false" ht="12.75" hidden="false" customHeight="false" outlineLevel="0" collapsed="false">
      <c r="A27" s="126"/>
      <c r="B27" s="127"/>
      <c r="C27" s="111"/>
      <c r="D27" s="127"/>
      <c r="E27" s="127"/>
      <c r="F27" s="128"/>
      <c r="G27" s="142"/>
      <c r="H27" s="125" t="n">
        <f aca="false">F27*G27</f>
        <v>0</v>
      </c>
    </row>
    <row r="28" customFormat="false" ht="12.75" hidden="false" customHeight="false" outlineLevel="0" collapsed="false">
      <c r="A28" s="126"/>
      <c r="B28" s="127"/>
      <c r="C28" s="111"/>
      <c r="D28" s="127"/>
      <c r="E28" s="127"/>
      <c r="F28" s="128"/>
      <c r="G28" s="142"/>
      <c r="H28" s="125" t="n">
        <f aca="false">F28*G28</f>
        <v>0</v>
      </c>
    </row>
    <row r="29" customFormat="false" ht="12.75" hidden="false" customHeight="false" outlineLevel="0" collapsed="false">
      <c r="A29" s="126"/>
      <c r="B29" s="127"/>
      <c r="C29" s="111"/>
      <c r="D29" s="127"/>
      <c r="E29" s="127"/>
      <c r="F29" s="128"/>
      <c r="G29" s="142"/>
      <c r="H29" s="125" t="n">
        <f aca="false">F29*G29</f>
        <v>0</v>
      </c>
    </row>
    <row r="30" customFormat="false" ht="12.75" hidden="false" customHeight="false" outlineLevel="0" collapsed="false">
      <c r="A30" s="126"/>
      <c r="B30" s="127"/>
      <c r="C30" s="111"/>
      <c r="D30" s="127"/>
      <c r="E30" s="127"/>
      <c r="F30" s="128"/>
      <c r="G30" s="142"/>
      <c r="H30" s="125" t="n">
        <f aca="false">F30*G30</f>
        <v>0</v>
      </c>
    </row>
    <row r="31" customFormat="false" ht="12.75" hidden="false" customHeight="false" outlineLevel="0" collapsed="false">
      <c r="A31" s="126"/>
      <c r="B31" s="127"/>
      <c r="C31" s="111"/>
      <c r="D31" s="127"/>
      <c r="E31" s="127"/>
      <c r="F31" s="128"/>
      <c r="G31" s="142"/>
      <c r="H31" s="125" t="n">
        <f aca="false">F31*G31</f>
        <v>0</v>
      </c>
    </row>
    <row r="32" customFormat="false" ht="12.75" hidden="false" customHeight="false" outlineLevel="0" collapsed="false">
      <c r="A32" s="126"/>
      <c r="B32" s="127"/>
      <c r="C32" s="111"/>
      <c r="D32" s="127"/>
      <c r="E32" s="127"/>
      <c r="F32" s="128"/>
      <c r="G32" s="142"/>
      <c r="H32" s="125" t="n">
        <f aca="false">F32*G32</f>
        <v>0</v>
      </c>
    </row>
    <row r="33" customFormat="false" ht="12.75" hidden="false" customHeight="false" outlineLevel="0" collapsed="false">
      <c r="A33" s="126"/>
      <c r="B33" s="127"/>
      <c r="C33" s="111"/>
      <c r="D33" s="127"/>
      <c r="E33" s="127"/>
      <c r="F33" s="128"/>
      <c r="G33" s="142"/>
      <c r="H33" s="125" t="n">
        <f aca="false">F33*G33</f>
        <v>0</v>
      </c>
    </row>
    <row r="34" customFormat="false" ht="12.75" hidden="false" customHeight="false" outlineLevel="0" collapsed="false">
      <c r="A34" s="126"/>
      <c r="B34" s="127"/>
      <c r="C34" s="111"/>
      <c r="D34" s="127"/>
      <c r="E34" s="127"/>
      <c r="F34" s="128"/>
      <c r="G34" s="142"/>
      <c r="H34" s="125" t="n">
        <f aca="false">F34*G34</f>
        <v>0</v>
      </c>
    </row>
    <row r="35" customFormat="false" ht="12.75" hidden="false" customHeight="false" outlineLevel="0" collapsed="false">
      <c r="A35" s="126"/>
      <c r="B35" s="127"/>
      <c r="C35" s="111"/>
      <c r="D35" s="127"/>
      <c r="E35" s="127"/>
      <c r="F35" s="128"/>
      <c r="G35" s="142"/>
      <c r="H35" s="125" t="n">
        <f aca="false">F35*G35</f>
        <v>0</v>
      </c>
    </row>
    <row r="36" customFormat="false" ht="12.75" hidden="false" customHeight="false" outlineLevel="0" collapsed="false">
      <c r="A36" s="126"/>
      <c r="B36" s="127"/>
      <c r="C36" s="111"/>
      <c r="D36" s="127"/>
      <c r="E36" s="127"/>
      <c r="F36" s="128"/>
      <c r="G36" s="142"/>
      <c r="H36" s="125" t="n">
        <f aca="false">F36*G36</f>
        <v>0</v>
      </c>
    </row>
    <row r="37" customFormat="false" ht="12.75" hidden="false" customHeight="false" outlineLevel="0" collapsed="false">
      <c r="A37" s="126"/>
      <c r="B37" s="127"/>
      <c r="C37" s="111"/>
      <c r="D37" s="127"/>
      <c r="E37" s="127"/>
      <c r="F37" s="128"/>
      <c r="G37" s="142"/>
      <c r="H37" s="125" t="n">
        <f aca="false">F37*G37</f>
        <v>0</v>
      </c>
    </row>
    <row r="38" customFormat="false" ht="12.75" hidden="false" customHeight="false" outlineLevel="0" collapsed="false">
      <c r="A38" s="126"/>
      <c r="B38" s="127"/>
      <c r="C38" s="111"/>
      <c r="D38" s="127"/>
      <c r="E38" s="127"/>
      <c r="F38" s="128"/>
      <c r="G38" s="142"/>
      <c r="H38" s="125" t="n">
        <f aca="false">F38*G38</f>
        <v>0</v>
      </c>
    </row>
    <row r="39" customFormat="false" ht="12.75" hidden="false" customHeight="false" outlineLevel="0" collapsed="false">
      <c r="A39" s="126"/>
      <c r="B39" s="127"/>
      <c r="C39" s="111"/>
      <c r="D39" s="127"/>
      <c r="E39" s="127"/>
      <c r="F39" s="128"/>
      <c r="G39" s="142"/>
      <c r="H39" s="125" t="n">
        <f aca="false">F39*G39</f>
        <v>0</v>
      </c>
    </row>
    <row r="40" customFormat="false" ht="12.75" hidden="false" customHeight="false" outlineLevel="0" collapsed="false">
      <c r="A40" s="131"/>
      <c r="B40" s="132"/>
      <c r="C40" s="132"/>
      <c r="D40" s="132"/>
      <c r="E40" s="132"/>
      <c r="F40" s="132"/>
    </row>
    <row r="41" customFormat="false" ht="12.75" hidden="false" customHeight="false" outlineLevel="0" collapsed="false">
      <c r="A41" s="131"/>
      <c r="B41" s="132"/>
      <c r="C41" s="132"/>
      <c r="D41" s="132"/>
      <c r="E41" s="132"/>
      <c r="F41" s="132"/>
    </row>
    <row r="42" customFormat="false" ht="12.75" hidden="false" customHeight="false" outlineLevel="0" collapsed="false">
      <c r="A42" s="131"/>
      <c r="B42" s="132"/>
      <c r="C42" s="132"/>
      <c r="D42" s="132"/>
      <c r="E42" s="132"/>
      <c r="F42" s="132"/>
    </row>
    <row r="43" customFormat="false" ht="12.75" hidden="false" customHeight="false" outlineLevel="0" collapsed="false">
      <c r="A43" s="131"/>
      <c r="B43" s="132"/>
      <c r="C43" s="132"/>
      <c r="D43" s="132"/>
      <c r="E43" s="132"/>
      <c r="F43" s="132"/>
    </row>
    <row r="44" customFormat="false" ht="12.75" hidden="false" customHeight="false" outlineLevel="0" collapsed="false">
      <c r="A44" s="131"/>
      <c r="B44" s="132"/>
      <c r="C44" s="132"/>
      <c r="D44" s="132"/>
      <c r="E44" s="132"/>
      <c r="F44" s="132"/>
    </row>
    <row r="45" customFormat="false" ht="12.75" hidden="false" customHeight="false" outlineLevel="0" collapsed="false">
      <c r="A45" s="131"/>
      <c r="B45" s="132"/>
      <c r="C45" s="132"/>
      <c r="D45" s="132"/>
      <c r="E45" s="132"/>
      <c r="F45" s="132"/>
    </row>
    <row r="46" customFormat="false" ht="12.75" hidden="false" customHeight="false" outlineLevel="0" collapsed="false">
      <c r="A46" s="131"/>
      <c r="B46" s="132"/>
      <c r="C46" s="132"/>
      <c r="D46" s="132"/>
      <c r="E46" s="132"/>
      <c r="F46" s="132"/>
    </row>
    <row r="47" customFormat="false" ht="12.75" hidden="false" customHeight="false" outlineLevel="0" collapsed="false">
      <c r="A47" s="131"/>
      <c r="B47" s="132"/>
      <c r="C47" s="132"/>
      <c r="D47" s="132"/>
      <c r="E47" s="132"/>
      <c r="F47" s="132"/>
    </row>
    <row r="48" customFormat="false" ht="12.75" hidden="false" customHeight="false" outlineLevel="0" collapsed="false">
      <c r="A48" s="131"/>
      <c r="B48" s="132"/>
      <c r="C48" s="132"/>
      <c r="D48" s="132"/>
      <c r="E48" s="132"/>
      <c r="F48" s="132"/>
    </row>
    <row r="49" customFormat="false" ht="12.75" hidden="false" customHeight="false" outlineLevel="0" collapsed="false">
      <c r="A49" s="131"/>
      <c r="B49" s="132"/>
      <c r="C49" s="132"/>
      <c r="D49" s="132"/>
      <c r="E49" s="132"/>
      <c r="F49" s="132"/>
    </row>
    <row r="50" customFormat="false" ht="12.75" hidden="false" customHeight="false" outlineLevel="0" collapsed="false">
      <c r="A50" s="131"/>
      <c r="B50" s="132"/>
      <c r="C50" s="132"/>
      <c r="D50" s="132"/>
      <c r="E50" s="132"/>
      <c r="F50" s="132"/>
    </row>
    <row r="51" customFormat="false" ht="12.75" hidden="false" customHeight="false" outlineLevel="0" collapsed="false">
      <c r="A51" s="131"/>
      <c r="B51" s="132"/>
      <c r="C51" s="132"/>
      <c r="D51" s="132"/>
      <c r="E51" s="132"/>
      <c r="F51" s="132"/>
    </row>
    <row r="52" customFormat="false" ht="12.75" hidden="false" customHeight="false" outlineLevel="0" collapsed="false">
      <c r="A52" s="131"/>
      <c r="B52" s="132"/>
      <c r="C52" s="132"/>
      <c r="D52" s="132"/>
      <c r="E52" s="132"/>
      <c r="F52" s="132"/>
    </row>
    <row r="53" customFormat="false" ht="12.75" hidden="false" customHeight="false" outlineLevel="0" collapsed="false">
      <c r="A53" s="131"/>
      <c r="B53" s="132"/>
      <c r="C53" s="132"/>
      <c r="D53" s="132"/>
      <c r="E53" s="132"/>
      <c r="F53" s="132"/>
    </row>
    <row r="54" customFormat="false" ht="12.75" hidden="false" customHeight="false" outlineLevel="0" collapsed="false">
      <c r="A54" s="131"/>
      <c r="B54" s="132"/>
      <c r="C54" s="132"/>
      <c r="D54" s="132"/>
      <c r="E54" s="132"/>
      <c r="F54" s="132"/>
    </row>
    <row r="55" customFormat="false" ht="12.75" hidden="false" customHeight="false" outlineLevel="0" collapsed="false">
      <c r="A55" s="131"/>
      <c r="B55" s="131"/>
      <c r="C55" s="131"/>
      <c r="D55" s="131"/>
    </row>
    <row r="56" customFormat="false" ht="12.75" hidden="false" customHeight="false" outlineLevel="0" collapsed="false">
      <c r="A56" s="131"/>
      <c r="B56" s="131"/>
      <c r="C56" s="131"/>
      <c r="D56" s="131"/>
    </row>
  </sheetData>
  <sheetProtection sheet="true" password="8737" objects="true" scenarios="true"/>
  <printOptions headings="false" gridLines="false" gridLinesSet="true" horizontalCentered="false" verticalCentered="false"/>
  <pageMargins left="0.747916666666667" right="0.747916666666667" top="0.984027777777778" bottom="0.7875" header="0.511805555555556" footer="0.511811023622047"/>
  <pageSetup paperSize="9" scale="87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7.84"/>
    <col collapsed="false" customWidth="true" hidden="false" outlineLevel="0" max="2" min="2" style="0" width="22.82"/>
    <col collapsed="false" customWidth="true" hidden="false" outlineLevel="0" max="3" min="3" style="0" width="7.55"/>
    <col collapsed="false" customWidth="true" hidden="false" outlineLevel="0" max="4" min="4" style="0" width="24.11"/>
    <col collapsed="false" customWidth="true" hidden="false" outlineLevel="0" max="5" min="5" style="0" width="15.68"/>
    <col collapsed="false" customWidth="true" hidden="false" outlineLevel="0" max="6" min="6" style="0" width="14.27"/>
    <col collapsed="false" customWidth="true" hidden="false" outlineLevel="0" max="7" min="7" style="0" width="12.98"/>
    <col collapsed="false" customWidth="true" hidden="false" outlineLevel="0" max="8" min="8" style="0" width="30.53"/>
    <col collapsed="false" customWidth="true" hidden="true" outlineLevel="0" max="14" min="9" style="0" width="9.13"/>
  </cols>
  <sheetData>
    <row r="1" customFormat="false" ht="16.5" hidden="false" customHeight="false" outlineLevel="0" collapsed="false">
      <c r="A1" s="88" t="s">
        <v>76</v>
      </c>
      <c r="B1" s="89"/>
      <c r="C1" s="143"/>
      <c r="D1" s="90"/>
      <c r="E1" s="29"/>
      <c r="F1" s="144"/>
      <c r="G1" s="29"/>
      <c r="H1" s="144"/>
      <c r="I1" s="29"/>
      <c r="J1" s="29"/>
      <c r="K1" s="29"/>
      <c r="L1" s="29"/>
      <c r="M1" s="29"/>
      <c r="N1" s="29"/>
      <c r="O1" s="29"/>
    </row>
    <row r="2" customFormat="false" ht="16.5" hidden="false" customHeight="false" outlineLevel="0" collapsed="false">
      <c r="A2" s="88" t="s">
        <v>40</v>
      </c>
      <c r="B2" s="92" t="n">
        <f aca="false">SUM(H5:H54)</f>
        <v>0</v>
      </c>
      <c r="C2" s="93"/>
      <c r="D2" s="94"/>
      <c r="E2" s="29"/>
      <c r="F2" s="144"/>
      <c r="G2" s="29"/>
      <c r="H2" s="144"/>
      <c r="I2" s="29"/>
      <c r="J2" s="29"/>
      <c r="K2" s="29"/>
      <c r="L2" s="29"/>
      <c r="M2" s="29"/>
      <c r="N2" s="29"/>
      <c r="O2" s="29"/>
    </row>
    <row r="3" customFormat="false" ht="13.5" hidden="false" customHeight="false" outlineLevel="0" collapsed="false">
      <c r="A3" s="29"/>
      <c r="B3" s="95"/>
      <c r="C3" s="95"/>
      <c r="D3" s="29"/>
      <c r="E3" s="29"/>
      <c r="F3" s="35" t="s">
        <v>77</v>
      </c>
      <c r="G3" s="35"/>
      <c r="H3" s="29"/>
      <c r="I3" s="96" t="s">
        <v>78</v>
      </c>
      <c r="J3" s="96"/>
      <c r="K3" s="96"/>
      <c r="L3" s="96"/>
      <c r="M3" s="96"/>
      <c r="N3" s="96"/>
      <c r="O3" s="29"/>
    </row>
    <row r="4" customFormat="false" ht="23.25" hidden="false" customHeight="false" outlineLevel="0" collapsed="false">
      <c r="A4" s="5" t="s">
        <v>41</v>
      </c>
      <c r="B4" s="96" t="s">
        <v>42</v>
      </c>
      <c r="C4" s="5" t="s">
        <v>34</v>
      </c>
      <c r="D4" s="96" t="s">
        <v>79</v>
      </c>
      <c r="E4" s="5" t="s">
        <v>80</v>
      </c>
      <c r="F4" s="5" t="s">
        <v>81</v>
      </c>
      <c r="G4" s="5" t="s">
        <v>82</v>
      </c>
      <c r="H4" s="96" t="s">
        <v>83</v>
      </c>
      <c r="I4" s="35" t="n">
        <v>1</v>
      </c>
      <c r="J4" s="35" t="n">
        <v>2</v>
      </c>
      <c r="K4" s="35" t="n">
        <v>3</v>
      </c>
      <c r="L4" s="35" t="n">
        <v>4</v>
      </c>
      <c r="M4" s="35" t="n">
        <v>5</v>
      </c>
      <c r="N4" s="35" t="n">
        <v>6</v>
      </c>
      <c r="O4" s="29"/>
    </row>
    <row r="5" customFormat="false" ht="13.5" hidden="false" customHeight="false" outlineLevel="0" collapsed="false">
      <c r="A5" s="119"/>
      <c r="B5" s="72"/>
      <c r="C5" s="120"/>
      <c r="D5" s="123"/>
      <c r="E5" s="120"/>
      <c r="F5" s="145"/>
      <c r="G5" s="145"/>
      <c r="H5" s="138"/>
      <c r="I5" s="146" t="n">
        <f aca="false">SUMIF($E5,$I$4,$H5)</f>
        <v>0</v>
      </c>
      <c r="J5" s="146" t="n">
        <f aca="false">SUMIF($E5,$J$4,$H5)</f>
        <v>0</v>
      </c>
      <c r="K5" s="146" t="n">
        <f aca="false">SUMIF($E5,$K$4,$H5)</f>
        <v>0</v>
      </c>
      <c r="L5" s="146" t="n">
        <f aca="false">SUMIF($E5,$L$4,$H5)</f>
        <v>0</v>
      </c>
      <c r="M5" s="146" t="n">
        <f aca="false">SUMIF($E5,$M$4,$H5)</f>
        <v>0</v>
      </c>
      <c r="N5" s="146" t="n">
        <f aca="false">SUMIF($E5,$N$4,$H5)</f>
        <v>0</v>
      </c>
      <c r="O5" s="29"/>
    </row>
    <row r="6" customFormat="false" ht="13.5" hidden="false" customHeight="false" outlineLevel="0" collapsed="false">
      <c r="A6" s="126"/>
      <c r="B6" s="77"/>
      <c r="C6" s="111"/>
      <c r="D6" s="129"/>
      <c r="E6" s="111"/>
      <c r="F6" s="145"/>
      <c r="G6" s="145"/>
      <c r="H6" s="140"/>
      <c r="I6" s="146" t="n">
        <f aca="false">SUMIF($E6,$I$4,$H6)</f>
        <v>0</v>
      </c>
      <c r="J6" s="146" t="n">
        <f aca="false">SUMIF($E6,$J$4,$H6)</f>
        <v>0</v>
      </c>
      <c r="K6" s="146" t="n">
        <f aca="false">SUMIF($E6,$K$4,$H6)</f>
        <v>0</v>
      </c>
      <c r="L6" s="146" t="n">
        <f aca="false">SUMIF($E6,$L$4,$H6)</f>
        <v>0</v>
      </c>
      <c r="M6" s="146" t="n">
        <f aca="false">SUMIF($E6,$M$4,$H6)</f>
        <v>0</v>
      </c>
      <c r="N6" s="146" t="n">
        <f aca="false">SUMIF($E6,$N$4,$H6)</f>
        <v>0</v>
      </c>
      <c r="O6" s="29"/>
    </row>
    <row r="7" customFormat="false" ht="13.5" hidden="false" customHeight="false" outlineLevel="0" collapsed="false">
      <c r="A7" s="126"/>
      <c r="B7" s="77"/>
      <c r="C7" s="111"/>
      <c r="D7" s="129"/>
      <c r="E7" s="111"/>
      <c r="F7" s="145"/>
      <c r="G7" s="145"/>
      <c r="H7" s="140"/>
      <c r="I7" s="146" t="n">
        <f aca="false">SUMIF($E7,$I$4,$H7)</f>
        <v>0</v>
      </c>
      <c r="J7" s="146" t="n">
        <f aca="false">SUMIF($E7,$J$4,$H7)</f>
        <v>0</v>
      </c>
      <c r="K7" s="146" t="n">
        <f aca="false">SUMIF($E7,$K$4,$H7)</f>
        <v>0</v>
      </c>
      <c r="L7" s="146" t="n">
        <f aca="false">SUMIF($E7,$L$4,$H7)</f>
        <v>0</v>
      </c>
      <c r="M7" s="146" t="n">
        <f aca="false">SUMIF($E7,$M$4,$H7)</f>
        <v>0</v>
      </c>
      <c r="N7" s="146" t="n">
        <f aca="false">SUMIF($E7,$N$4,$H7)</f>
        <v>0</v>
      </c>
      <c r="O7" s="29"/>
    </row>
    <row r="8" customFormat="false" ht="13.5" hidden="false" customHeight="false" outlineLevel="0" collapsed="false">
      <c r="A8" s="126"/>
      <c r="B8" s="77"/>
      <c r="C8" s="111"/>
      <c r="D8" s="129"/>
      <c r="E8" s="111"/>
      <c r="F8" s="147"/>
      <c r="G8" s="147"/>
      <c r="H8" s="140"/>
      <c r="I8" s="146" t="n">
        <f aca="false">SUMIF($E8,$I$4,$H8)</f>
        <v>0</v>
      </c>
      <c r="J8" s="146" t="n">
        <f aca="false">SUMIF($E8,$J$4,$H8)</f>
        <v>0</v>
      </c>
      <c r="K8" s="146" t="n">
        <f aca="false">SUMIF($E8,$K$4,$H8)</f>
        <v>0</v>
      </c>
      <c r="L8" s="146" t="n">
        <f aca="false">SUMIF($E8,$L$4,$H8)</f>
        <v>0</v>
      </c>
      <c r="M8" s="146" t="n">
        <f aca="false">SUMIF($E8,$M$4,$H8)</f>
        <v>0</v>
      </c>
      <c r="N8" s="146" t="n">
        <f aca="false">SUMIF($E8,$N$4,$H8)</f>
        <v>0</v>
      </c>
      <c r="O8" s="29"/>
    </row>
    <row r="9" customFormat="false" ht="13.5" hidden="false" customHeight="false" outlineLevel="0" collapsed="false">
      <c r="A9" s="148"/>
      <c r="B9" s="129"/>
      <c r="C9" s="111"/>
      <c r="D9" s="129"/>
      <c r="E9" s="111"/>
      <c r="F9" s="147"/>
      <c r="G9" s="147"/>
      <c r="H9" s="140"/>
      <c r="I9" s="146" t="n">
        <f aca="false">SUMIF($E9,$I$4,$H9)</f>
        <v>0</v>
      </c>
      <c r="J9" s="146" t="n">
        <f aca="false">SUMIF($E9,$J$4,$H9)</f>
        <v>0</v>
      </c>
      <c r="K9" s="146" t="n">
        <f aca="false">SUMIF($E9,$K$4,$H9)</f>
        <v>0</v>
      </c>
      <c r="L9" s="146" t="n">
        <f aca="false">SUMIF($E9,$L$4,$H9)</f>
        <v>0</v>
      </c>
      <c r="M9" s="146" t="n">
        <f aca="false">SUMIF($E9,$M$4,$H9)</f>
        <v>0</v>
      </c>
      <c r="N9" s="146" t="n">
        <f aca="false">SUMIF($E9,$N$4,$H9)</f>
        <v>0</v>
      </c>
      <c r="O9" s="29"/>
    </row>
    <row r="10" customFormat="false" ht="13.5" hidden="false" customHeight="false" outlineLevel="0" collapsed="false">
      <c r="A10" s="148"/>
      <c r="B10" s="129"/>
      <c r="C10" s="111"/>
      <c r="D10" s="129"/>
      <c r="E10" s="111"/>
      <c r="F10" s="147"/>
      <c r="G10" s="147"/>
      <c r="H10" s="140"/>
      <c r="I10" s="146" t="n">
        <f aca="false">SUMIF($E10,$I$4,$H10)</f>
        <v>0</v>
      </c>
      <c r="J10" s="146" t="n">
        <f aca="false">SUMIF($E10,$J$4,$H10)</f>
        <v>0</v>
      </c>
      <c r="K10" s="146" t="n">
        <f aca="false">SUMIF($E10,$K$4,$H10)</f>
        <v>0</v>
      </c>
      <c r="L10" s="146" t="n">
        <f aca="false">SUMIF($E10,$L$4,$H10)</f>
        <v>0</v>
      </c>
      <c r="M10" s="146" t="n">
        <f aca="false">SUMIF($E10,$M$4,$H10)</f>
        <v>0</v>
      </c>
      <c r="N10" s="146" t="n">
        <f aca="false">SUMIF($E10,$N$4,$H10)</f>
        <v>0</v>
      </c>
      <c r="O10" s="29"/>
    </row>
    <row r="11" customFormat="false" ht="13.5" hidden="false" customHeight="false" outlineLevel="0" collapsed="false">
      <c r="A11" s="148"/>
      <c r="B11" s="129"/>
      <c r="C11" s="111"/>
      <c r="D11" s="129"/>
      <c r="E11" s="111"/>
      <c r="F11" s="147"/>
      <c r="G11" s="147"/>
      <c r="H11" s="140"/>
      <c r="I11" s="146" t="n">
        <f aca="false">SUMIF($E11,$I$4,$H11)</f>
        <v>0</v>
      </c>
      <c r="J11" s="146" t="n">
        <f aca="false">SUMIF($E11,$J$4,$H11)</f>
        <v>0</v>
      </c>
      <c r="K11" s="146" t="n">
        <f aca="false">SUMIF($E11,$K$4,$H11)</f>
        <v>0</v>
      </c>
      <c r="L11" s="146" t="n">
        <f aca="false">SUMIF($E11,$L$4,$H11)</f>
        <v>0</v>
      </c>
      <c r="M11" s="146" t="n">
        <f aca="false">SUMIF($E11,$M$4,$H11)</f>
        <v>0</v>
      </c>
      <c r="N11" s="146" t="n">
        <f aca="false">SUMIF($E11,$N$4,$H11)</f>
        <v>0</v>
      </c>
      <c r="O11" s="29"/>
    </row>
    <row r="12" customFormat="false" ht="13.5" hidden="false" customHeight="false" outlineLevel="0" collapsed="false">
      <c r="A12" s="148"/>
      <c r="B12" s="129"/>
      <c r="C12" s="111"/>
      <c r="D12" s="129"/>
      <c r="E12" s="111"/>
      <c r="F12" s="147"/>
      <c r="G12" s="147"/>
      <c r="H12" s="140"/>
      <c r="I12" s="146" t="n">
        <f aca="false">SUMIF($E12,$I$4,$H12)</f>
        <v>0</v>
      </c>
      <c r="J12" s="146" t="n">
        <f aca="false">SUMIF($E12,$J$4,$H12)</f>
        <v>0</v>
      </c>
      <c r="K12" s="146" t="n">
        <f aca="false">SUMIF($E12,$K$4,$H12)</f>
        <v>0</v>
      </c>
      <c r="L12" s="146" t="n">
        <f aca="false">SUMIF($E12,$L$4,$H12)</f>
        <v>0</v>
      </c>
      <c r="M12" s="146" t="n">
        <f aca="false">SUMIF($E12,$M$4,$H12)</f>
        <v>0</v>
      </c>
      <c r="N12" s="146" t="n">
        <f aca="false">SUMIF($E12,$N$4,$H12)</f>
        <v>0</v>
      </c>
      <c r="O12" s="29"/>
    </row>
    <row r="13" customFormat="false" ht="13.5" hidden="false" customHeight="false" outlineLevel="0" collapsed="false">
      <c r="A13" s="148"/>
      <c r="B13" s="129"/>
      <c r="C13" s="111"/>
      <c r="D13" s="129"/>
      <c r="E13" s="111"/>
      <c r="F13" s="147"/>
      <c r="G13" s="147"/>
      <c r="H13" s="140"/>
      <c r="I13" s="146" t="n">
        <f aca="false">SUMIF($E13,$I$4,$H13)</f>
        <v>0</v>
      </c>
      <c r="J13" s="146" t="n">
        <f aca="false">SUMIF($E13,$J$4,$H13)</f>
        <v>0</v>
      </c>
      <c r="K13" s="146" t="n">
        <f aca="false">SUMIF($E13,$K$4,$H13)</f>
        <v>0</v>
      </c>
      <c r="L13" s="146" t="n">
        <f aca="false">SUMIF($E13,$L$4,$H13)</f>
        <v>0</v>
      </c>
      <c r="M13" s="146" t="n">
        <f aca="false">SUMIF($E13,$M$4,$H13)</f>
        <v>0</v>
      </c>
      <c r="N13" s="146" t="n">
        <f aca="false">SUMIF($E13,$N$4,$H13)</f>
        <v>0</v>
      </c>
      <c r="O13" s="29"/>
    </row>
    <row r="14" customFormat="false" ht="13.5" hidden="false" customHeight="false" outlineLevel="0" collapsed="false">
      <c r="A14" s="148"/>
      <c r="B14" s="129"/>
      <c r="C14" s="111"/>
      <c r="D14" s="129"/>
      <c r="E14" s="111"/>
      <c r="F14" s="147"/>
      <c r="G14" s="147"/>
      <c r="H14" s="140"/>
      <c r="I14" s="146" t="n">
        <f aca="false">SUMIF($E14,$I$4,$H14)</f>
        <v>0</v>
      </c>
      <c r="J14" s="146" t="n">
        <f aca="false">SUMIF($E14,$J$4,$H14)</f>
        <v>0</v>
      </c>
      <c r="K14" s="146" t="n">
        <f aca="false">SUMIF($E14,$K$4,$H14)</f>
        <v>0</v>
      </c>
      <c r="L14" s="146" t="n">
        <f aca="false">SUMIF($E14,$L$4,$H14)</f>
        <v>0</v>
      </c>
      <c r="M14" s="146" t="n">
        <f aca="false">SUMIF($E14,$M$4,$H14)</f>
        <v>0</v>
      </c>
      <c r="N14" s="146" t="n">
        <f aca="false">SUMIF($E14,$N$4,$H14)</f>
        <v>0</v>
      </c>
      <c r="O14" s="29"/>
    </row>
    <row r="15" customFormat="false" ht="13.5" hidden="false" customHeight="false" outlineLevel="0" collapsed="false">
      <c r="A15" s="148"/>
      <c r="B15" s="129"/>
      <c r="C15" s="111"/>
      <c r="D15" s="129"/>
      <c r="E15" s="111"/>
      <c r="F15" s="147"/>
      <c r="G15" s="147"/>
      <c r="H15" s="140"/>
      <c r="I15" s="146" t="n">
        <f aca="false">SUMIF($E15,$I$4,$H15)</f>
        <v>0</v>
      </c>
      <c r="J15" s="146" t="n">
        <f aca="false">SUMIF($E15,$J$4,$H15)</f>
        <v>0</v>
      </c>
      <c r="K15" s="146" t="n">
        <f aca="false">SUMIF($E15,$K$4,$H15)</f>
        <v>0</v>
      </c>
      <c r="L15" s="146" t="n">
        <f aca="false">SUMIF($E15,$L$4,$H15)</f>
        <v>0</v>
      </c>
      <c r="M15" s="146" t="n">
        <f aca="false">SUMIF($E15,$M$4,$H15)</f>
        <v>0</v>
      </c>
      <c r="N15" s="146" t="n">
        <f aca="false">SUMIF($E15,$N$4,$H15)</f>
        <v>0</v>
      </c>
      <c r="O15" s="29"/>
    </row>
    <row r="16" customFormat="false" ht="13.5" hidden="false" customHeight="false" outlineLevel="0" collapsed="false">
      <c r="A16" s="148"/>
      <c r="B16" s="129"/>
      <c r="C16" s="111"/>
      <c r="D16" s="129"/>
      <c r="E16" s="111"/>
      <c r="F16" s="147"/>
      <c r="G16" s="147"/>
      <c r="H16" s="140"/>
      <c r="I16" s="146" t="n">
        <f aca="false">SUMIF($E16,$I$4,$H16)</f>
        <v>0</v>
      </c>
      <c r="J16" s="146" t="n">
        <f aca="false">SUMIF($E16,$J$4,$H16)</f>
        <v>0</v>
      </c>
      <c r="K16" s="146" t="n">
        <f aca="false">SUMIF($E16,$K$4,$H16)</f>
        <v>0</v>
      </c>
      <c r="L16" s="146" t="n">
        <f aca="false">SUMIF($E16,$L$4,$H16)</f>
        <v>0</v>
      </c>
      <c r="M16" s="146" t="n">
        <f aca="false">SUMIF($E16,$M$4,$H16)</f>
        <v>0</v>
      </c>
      <c r="N16" s="146" t="n">
        <f aca="false">SUMIF($E16,$N$4,$H16)</f>
        <v>0</v>
      </c>
      <c r="O16" s="29"/>
    </row>
    <row r="17" customFormat="false" ht="13.5" hidden="false" customHeight="false" outlineLevel="0" collapsed="false">
      <c r="A17" s="148"/>
      <c r="B17" s="129"/>
      <c r="C17" s="111"/>
      <c r="D17" s="129"/>
      <c r="E17" s="111"/>
      <c r="F17" s="147"/>
      <c r="G17" s="147"/>
      <c r="H17" s="140"/>
      <c r="I17" s="146" t="n">
        <f aca="false">SUMIF($E17,$I$4,$H17)</f>
        <v>0</v>
      </c>
      <c r="J17" s="146" t="n">
        <f aca="false">SUMIF($E17,$J$4,$H17)</f>
        <v>0</v>
      </c>
      <c r="K17" s="146" t="n">
        <f aca="false">SUMIF($E17,$K$4,$H17)</f>
        <v>0</v>
      </c>
      <c r="L17" s="146" t="n">
        <f aca="false">SUMIF($E17,$L$4,$H17)</f>
        <v>0</v>
      </c>
      <c r="M17" s="146" t="n">
        <f aca="false">SUMIF($E17,$M$4,$H17)</f>
        <v>0</v>
      </c>
      <c r="N17" s="146" t="n">
        <f aca="false">SUMIF($E17,$N$4,$H17)</f>
        <v>0</v>
      </c>
      <c r="O17" s="29"/>
    </row>
    <row r="18" customFormat="false" ht="13.5" hidden="false" customHeight="false" outlineLevel="0" collapsed="false">
      <c r="A18" s="148"/>
      <c r="B18" s="129"/>
      <c r="C18" s="111"/>
      <c r="D18" s="129"/>
      <c r="E18" s="111"/>
      <c r="F18" s="147"/>
      <c r="G18" s="147"/>
      <c r="H18" s="140"/>
      <c r="I18" s="146" t="n">
        <f aca="false">SUMIF($E18,$I$4,$H18)</f>
        <v>0</v>
      </c>
      <c r="J18" s="146" t="n">
        <f aca="false">SUMIF($E18,$J$4,$H18)</f>
        <v>0</v>
      </c>
      <c r="K18" s="146" t="n">
        <f aca="false">SUMIF($E18,$K$4,$H18)</f>
        <v>0</v>
      </c>
      <c r="L18" s="146" t="n">
        <f aca="false">SUMIF($E18,$L$4,$H18)</f>
        <v>0</v>
      </c>
      <c r="M18" s="146" t="n">
        <f aca="false">SUMIF($E18,$M$4,$H18)</f>
        <v>0</v>
      </c>
      <c r="N18" s="146" t="n">
        <f aca="false">SUMIF($E18,$N$4,$H18)</f>
        <v>0</v>
      </c>
      <c r="O18" s="29"/>
    </row>
    <row r="19" customFormat="false" ht="13.5" hidden="false" customHeight="false" outlineLevel="0" collapsed="false">
      <c r="A19" s="148"/>
      <c r="B19" s="129"/>
      <c r="C19" s="111"/>
      <c r="D19" s="129"/>
      <c r="E19" s="111"/>
      <c r="F19" s="147"/>
      <c r="G19" s="147"/>
      <c r="H19" s="140"/>
      <c r="I19" s="146" t="n">
        <f aca="false">SUMIF($E19,$I$4,$H19)</f>
        <v>0</v>
      </c>
      <c r="J19" s="146" t="n">
        <f aca="false">SUMIF($E19,$J$4,$H19)</f>
        <v>0</v>
      </c>
      <c r="K19" s="146" t="n">
        <f aca="false">SUMIF($E19,$K$4,$H19)</f>
        <v>0</v>
      </c>
      <c r="L19" s="146" t="n">
        <f aca="false">SUMIF($E19,$L$4,$H19)</f>
        <v>0</v>
      </c>
      <c r="M19" s="146" t="n">
        <f aca="false">SUMIF($E19,$M$4,$H19)</f>
        <v>0</v>
      </c>
      <c r="N19" s="146" t="n">
        <f aca="false">SUMIF($E19,$N$4,$H19)</f>
        <v>0</v>
      </c>
      <c r="O19" s="29"/>
    </row>
    <row r="20" customFormat="false" ht="13.5" hidden="false" customHeight="false" outlineLevel="0" collapsed="false">
      <c r="A20" s="148"/>
      <c r="B20" s="129"/>
      <c r="C20" s="111"/>
      <c r="D20" s="129"/>
      <c r="E20" s="111"/>
      <c r="F20" s="147"/>
      <c r="G20" s="147"/>
      <c r="H20" s="140"/>
      <c r="I20" s="146" t="n">
        <f aca="false">SUMIF($E20,$I$4,$H20)</f>
        <v>0</v>
      </c>
      <c r="J20" s="146" t="n">
        <f aca="false">SUMIF($E20,$J$4,$H20)</f>
        <v>0</v>
      </c>
      <c r="K20" s="146" t="n">
        <f aca="false">SUMIF($E20,$K$4,$H20)</f>
        <v>0</v>
      </c>
      <c r="L20" s="146" t="n">
        <f aca="false">SUMIF($E20,$L$4,$H20)</f>
        <v>0</v>
      </c>
      <c r="M20" s="146" t="n">
        <f aca="false">SUMIF($E20,$M$4,$H20)</f>
        <v>0</v>
      </c>
      <c r="N20" s="146" t="n">
        <f aca="false">SUMIF($E20,$N$4,$H20)</f>
        <v>0</v>
      </c>
      <c r="O20" s="29"/>
    </row>
    <row r="21" customFormat="false" ht="13.5" hidden="false" customHeight="false" outlineLevel="0" collapsed="false">
      <c r="A21" s="148"/>
      <c r="B21" s="129"/>
      <c r="C21" s="111"/>
      <c r="D21" s="129"/>
      <c r="E21" s="111"/>
      <c r="F21" s="147"/>
      <c r="G21" s="147"/>
      <c r="H21" s="140"/>
      <c r="I21" s="146" t="n">
        <f aca="false">SUMIF($E21,$I$4,$H21)</f>
        <v>0</v>
      </c>
      <c r="J21" s="146" t="n">
        <f aca="false">SUMIF($E21,$J$4,$H21)</f>
        <v>0</v>
      </c>
      <c r="K21" s="146" t="n">
        <f aca="false">SUMIF($E21,$K$4,$H21)</f>
        <v>0</v>
      </c>
      <c r="L21" s="146" t="n">
        <f aca="false">SUMIF($E21,$L$4,$H21)</f>
        <v>0</v>
      </c>
      <c r="M21" s="146" t="n">
        <f aca="false">SUMIF($E21,$M$4,$H21)</f>
        <v>0</v>
      </c>
      <c r="N21" s="146" t="n">
        <f aca="false">SUMIF($E21,$N$4,$H21)</f>
        <v>0</v>
      </c>
      <c r="O21" s="29"/>
    </row>
    <row r="22" customFormat="false" ht="13.5" hidden="false" customHeight="false" outlineLevel="0" collapsed="false">
      <c r="A22" s="148"/>
      <c r="B22" s="129"/>
      <c r="C22" s="111"/>
      <c r="D22" s="129"/>
      <c r="E22" s="111"/>
      <c r="F22" s="147"/>
      <c r="G22" s="147"/>
      <c r="H22" s="140"/>
      <c r="I22" s="146" t="n">
        <f aca="false">SUMIF($E22,$I$4,$H22)</f>
        <v>0</v>
      </c>
      <c r="J22" s="146" t="n">
        <f aca="false">SUMIF($E22,$J$4,$H22)</f>
        <v>0</v>
      </c>
      <c r="K22" s="146" t="n">
        <f aca="false">SUMIF($E22,$K$4,$H22)</f>
        <v>0</v>
      </c>
      <c r="L22" s="146" t="n">
        <f aca="false">SUMIF($E22,$L$4,$H22)</f>
        <v>0</v>
      </c>
      <c r="M22" s="146" t="n">
        <f aca="false">SUMIF($E22,$M$4,$H22)</f>
        <v>0</v>
      </c>
      <c r="N22" s="146" t="n">
        <f aca="false">SUMIF($E22,$N$4,$H22)</f>
        <v>0</v>
      </c>
      <c r="O22" s="29"/>
    </row>
    <row r="23" customFormat="false" ht="13.5" hidden="false" customHeight="false" outlineLevel="0" collapsed="false">
      <c r="A23" s="148"/>
      <c r="B23" s="129"/>
      <c r="C23" s="111"/>
      <c r="D23" s="129"/>
      <c r="E23" s="111"/>
      <c r="F23" s="147"/>
      <c r="G23" s="147"/>
      <c r="H23" s="140"/>
      <c r="I23" s="146" t="n">
        <f aca="false">SUMIF($E23,$I$4,$H23)</f>
        <v>0</v>
      </c>
      <c r="J23" s="146" t="n">
        <f aca="false">SUMIF($E23,$J$4,$H23)</f>
        <v>0</v>
      </c>
      <c r="K23" s="146" t="n">
        <f aca="false">SUMIF($E23,$K$4,$H23)</f>
        <v>0</v>
      </c>
      <c r="L23" s="146" t="n">
        <f aca="false">SUMIF($E23,$L$4,$H23)</f>
        <v>0</v>
      </c>
      <c r="M23" s="146" t="n">
        <f aca="false">SUMIF($E23,$M$4,$H23)</f>
        <v>0</v>
      </c>
      <c r="N23" s="146" t="n">
        <f aca="false">SUMIF($E23,$N$4,$H23)</f>
        <v>0</v>
      </c>
      <c r="O23" s="29"/>
    </row>
    <row r="24" customFormat="false" ht="13.5" hidden="false" customHeight="false" outlineLevel="0" collapsed="false">
      <c r="A24" s="148"/>
      <c r="B24" s="129"/>
      <c r="C24" s="111"/>
      <c r="D24" s="129"/>
      <c r="E24" s="111"/>
      <c r="F24" s="147"/>
      <c r="G24" s="147"/>
      <c r="H24" s="140"/>
      <c r="I24" s="146" t="n">
        <f aca="false">SUMIF($E24,$I$4,$H24)</f>
        <v>0</v>
      </c>
      <c r="J24" s="146" t="n">
        <f aca="false">SUMIF($E24,$J$4,$H24)</f>
        <v>0</v>
      </c>
      <c r="K24" s="146" t="n">
        <f aca="false">SUMIF($E24,$K$4,$H24)</f>
        <v>0</v>
      </c>
      <c r="L24" s="146" t="n">
        <f aca="false">SUMIF($E24,$L$4,$H24)</f>
        <v>0</v>
      </c>
      <c r="M24" s="146" t="n">
        <f aca="false">SUMIF($E24,$M$4,$H24)</f>
        <v>0</v>
      </c>
      <c r="N24" s="146" t="n">
        <f aca="false">SUMIF($E24,$N$4,$H24)</f>
        <v>0</v>
      </c>
      <c r="O24" s="29"/>
    </row>
    <row r="25" customFormat="false" ht="13.5" hidden="false" customHeight="false" outlineLevel="0" collapsed="false">
      <c r="A25" s="148"/>
      <c r="B25" s="129"/>
      <c r="C25" s="111"/>
      <c r="D25" s="129"/>
      <c r="E25" s="111"/>
      <c r="F25" s="147"/>
      <c r="G25" s="147"/>
      <c r="H25" s="140"/>
      <c r="I25" s="146" t="n">
        <f aca="false">SUMIF($E25,$I$4,$H25)</f>
        <v>0</v>
      </c>
      <c r="J25" s="146" t="n">
        <f aca="false">SUMIF($E25,$J$4,$H25)</f>
        <v>0</v>
      </c>
      <c r="K25" s="146" t="n">
        <f aca="false">SUMIF($E25,$K$4,$H25)</f>
        <v>0</v>
      </c>
      <c r="L25" s="146" t="n">
        <f aca="false">SUMIF($E25,$L$4,$H25)</f>
        <v>0</v>
      </c>
      <c r="M25" s="146" t="n">
        <f aca="false">SUMIF($E25,$M$4,$H25)</f>
        <v>0</v>
      </c>
      <c r="N25" s="146" t="n">
        <f aca="false">SUMIF($E25,$N$4,$H25)</f>
        <v>0</v>
      </c>
      <c r="O25" s="29"/>
    </row>
    <row r="26" customFormat="false" ht="13.5" hidden="false" customHeight="false" outlineLevel="0" collapsed="false">
      <c r="A26" s="148"/>
      <c r="B26" s="129"/>
      <c r="C26" s="111"/>
      <c r="D26" s="129"/>
      <c r="E26" s="111"/>
      <c r="F26" s="147"/>
      <c r="G26" s="147"/>
      <c r="H26" s="140"/>
      <c r="I26" s="146" t="n">
        <f aca="false">SUMIF($E26,$I$4,$H26)</f>
        <v>0</v>
      </c>
      <c r="J26" s="146" t="n">
        <f aca="false">SUMIF($E26,$J$4,$H26)</f>
        <v>0</v>
      </c>
      <c r="K26" s="146" t="n">
        <f aca="false">SUMIF($E26,$K$4,$H26)</f>
        <v>0</v>
      </c>
      <c r="L26" s="146" t="n">
        <f aca="false">SUMIF($E26,$L$4,$H26)</f>
        <v>0</v>
      </c>
      <c r="M26" s="146" t="n">
        <f aca="false">SUMIF($E26,$M$4,$H26)</f>
        <v>0</v>
      </c>
      <c r="N26" s="146" t="n">
        <f aca="false">SUMIF($E26,$N$4,$H26)</f>
        <v>0</v>
      </c>
      <c r="O26" s="29"/>
    </row>
    <row r="27" customFormat="false" ht="13.5" hidden="false" customHeight="false" outlineLevel="0" collapsed="false">
      <c r="A27" s="148"/>
      <c r="B27" s="129"/>
      <c r="C27" s="111"/>
      <c r="D27" s="129"/>
      <c r="E27" s="111"/>
      <c r="F27" s="147"/>
      <c r="G27" s="147"/>
      <c r="H27" s="140"/>
      <c r="I27" s="146" t="n">
        <f aca="false">SUMIF($E27,$I$4,$H27)</f>
        <v>0</v>
      </c>
      <c r="J27" s="146" t="n">
        <f aca="false">SUMIF($E27,$J$4,$H27)</f>
        <v>0</v>
      </c>
      <c r="K27" s="146" t="n">
        <f aca="false">SUMIF($E27,$K$4,$H27)</f>
        <v>0</v>
      </c>
      <c r="L27" s="146" t="n">
        <f aca="false">SUMIF($E27,$L$4,$H27)</f>
        <v>0</v>
      </c>
      <c r="M27" s="146" t="n">
        <f aca="false">SUMIF($E27,$M$4,$H27)</f>
        <v>0</v>
      </c>
      <c r="N27" s="146" t="n">
        <f aca="false">SUMIF($E27,$N$4,$H27)</f>
        <v>0</v>
      </c>
      <c r="O27" s="29"/>
    </row>
    <row r="28" customFormat="false" ht="13.5" hidden="false" customHeight="false" outlineLevel="0" collapsed="false">
      <c r="A28" s="148"/>
      <c r="B28" s="129"/>
      <c r="C28" s="111"/>
      <c r="D28" s="129"/>
      <c r="E28" s="111"/>
      <c r="F28" s="147"/>
      <c r="G28" s="147"/>
      <c r="H28" s="140"/>
      <c r="I28" s="146" t="n">
        <f aca="false">SUMIF($E28,$I$4,$H28)</f>
        <v>0</v>
      </c>
      <c r="J28" s="146" t="n">
        <f aca="false">SUMIF($E28,$J$4,$H28)</f>
        <v>0</v>
      </c>
      <c r="K28" s="146" t="n">
        <f aca="false">SUMIF($E28,$K$4,$H28)</f>
        <v>0</v>
      </c>
      <c r="L28" s="146" t="n">
        <f aca="false">SUMIF($E28,$L$4,$H28)</f>
        <v>0</v>
      </c>
      <c r="M28" s="146" t="n">
        <f aca="false">SUMIF($E28,$M$4,$H28)</f>
        <v>0</v>
      </c>
      <c r="N28" s="146" t="n">
        <f aca="false">SUMIF($E28,$N$4,$H28)</f>
        <v>0</v>
      </c>
      <c r="O28" s="29"/>
    </row>
    <row r="29" customFormat="false" ht="13.5" hidden="false" customHeight="false" outlineLevel="0" collapsed="false">
      <c r="A29" s="148"/>
      <c r="B29" s="129"/>
      <c r="C29" s="111"/>
      <c r="D29" s="129"/>
      <c r="E29" s="111"/>
      <c r="F29" s="147"/>
      <c r="G29" s="147"/>
      <c r="H29" s="140"/>
      <c r="I29" s="146" t="n">
        <f aca="false">SUMIF($E29,$I$4,$H29)</f>
        <v>0</v>
      </c>
      <c r="J29" s="146" t="n">
        <f aca="false">SUMIF($E29,$J$4,$H29)</f>
        <v>0</v>
      </c>
      <c r="K29" s="146" t="n">
        <f aca="false">SUMIF($E29,$K$4,$H29)</f>
        <v>0</v>
      </c>
      <c r="L29" s="146" t="n">
        <f aca="false">SUMIF($E29,$L$4,$H29)</f>
        <v>0</v>
      </c>
      <c r="M29" s="146" t="n">
        <f aca="false">SUMIF($E29,$M$4,$H29)</f>
        <v>0</v>
      </c>
      <c r="N29" s="146" t="n">
        <f aca="false">SUMIF($E29,$N$4,$H29)</f>
        <v>0</v>
      </c>
      <c r="O29" s="29"/>
    </row>
    <row r="30" customFormat="false" ht="13.5" hidden="false" customHeight="false" outlineLevel="0" collapsed="false">
      <c r="A30" s="148"/>
      <c r="B30" s="129"/>
      <c r="C30" s="111"/>
      <c r="D30" s="129"/>
      <c r="E30" s="111"/>
      <c r="F30" s="147"/>
      <c r="G30" s="147"/>
      <c r="H30" s="140"/>
      <c r="I30" s="146" t="n">
        <f aca="false">SUMIF($E30,$I$4,$H30)</f>
        <v>0</v>
      </c>
      <c r="J30" s="146" t="n">
        <f aca="false">SUMIF($E30,$J$4,$H30)</f>
        <v>0</v>
      </c>
      <c r="K30" s="146" t="n">
        <f aca="false">SUMIF($E30,$K$4,$H30)</f>
        <v>0</v>
      </c>
      <c r="L30" s="146" t="n">
        <f aca="false">SUMIF($E30,$L$4,$H30)</f>
        <v>0</v>
      </c>
      <c r="M30" s="146" t="n">
        <f aca="false">SUMIF($E30,$M$4,$H30)</f>
        <v>0</v>
      </c>
      <c r="N30" s="146" t="n">
        <f aca="false">SUMIF($E30,$N$4,$H30)</f>
        <v>0</v>
      </c>
      <c r="O30" s="29"/>
    </row>
    <row r="31" customFormat="false" ht="13.5" hidden="false" customHeight="false" outlineLevel="0" collapsed="false">
      <c r="A31" s="148"/>
      <c r="B31" s="129"/>
      <c r="C31" s="111"/>
      <c r="D31" s="129"/>
      <c r="E31" s="111"/>
      <c r="F31" s="147"/>
      <c r="G31" s="147"/>
      <c r="H31" s="140"/>
      <c r="I31" s="146" t="n">
        <f aca="false">SUMIF($E31,$I$4,$H31)</f>
        <v>0</v>
      </c>
      <c r="J31" s="146" t="n">
        <f aca="false">SUMIF($E31,$J$4,$H31)</f>
        <v>0</v>
      </c>
      <c r="K31" s="146" t="n">
        <f aca="false">SUMIF($E31,$K$4,$H31)</f>
        <v>0</v>
      </c>
      <c r="L31" s="146" t="n">
        <f aca="false">SUMIF($E31,$L$4,$H31)</f>
        <v>0</v>
      </c>
      <c r="M31" s="146" t="n">
        <f aca="false">SUMIF($E31,$M$4,$H31)</f>
        <v>0</v>
      </c>
      <c r="N31" s="146" t="n">
        <f aca="false">SUMIF($E31,$N$4,$H31)</f>
        <v>0</v>
      </c>
      <c r="O31" s="29"/>
    </row>
    <row r="32" customFormat="false" ht="13.5" hidden="false" customHeight="false" outlineLevel="0" collapsed="false">
      <c r="A32" s="148"/>
      <c r="B32" s="129"/>
      <c r="C32" s="111"/>
      <c r="D32" s="129"/>
      <c r="E32" s="111"/>
      <c r="F32" s="147"/>
      <c r="G32" s="147"/>
      <c r="H32" s="140"/>
      <c r="I32" s="146" t="n">
        <f aca="false">SUMIF($E32,$I$4,$H32)</f>
        <v>0</v>
      </c>
      <c r="J32" s="146" t="n">
        <f aca="false">SUMIF($E32,$J$4,$H32)</f>
        <v>0</v>
      </c>
      <c r="K32" s="146" t="n">
        <f aca="false">SUMIF($E32,$K$4,$H32)</f>
        <v>0</v>
      </c>
      <c r="L32" s="146" t="n">
        <f aca="false">SUMIF($E32,$L$4,$H32)</f>
        <v>0</v>
      </c>
      <c r="M32" s="146" t="n">
        <f aca="false">SUMIF($E32,$M$4,$H32)</f>
        <v>0</v>
      </c>
      <c r="N32" s="146" t="n">
        <f aca="false">SUMIF($E32,$N$4,$H32)</f>
        <v>0</v>
      </c>
      <c r="O32" s="29"/>
    </row>
    <row r="33" customFormat="false" ht="13.5" hidden="false" customHeight="false" outlineLevel="0" collapsed="false">
      <c r="A33" s="148"/>
      <c r="B33" s="129"/>
      <c r="C33" s="111"/>
      <c r="D33" s="129"/>
      <c r="E33" s="111"/>
      <c r="F33" s="147"/>
      <c r="G33" s="147"/>
      <c r="H33" s="140"/>
      <c r="I33" s="146" t="n">
        <f aca="false">SUMIF($E33,$I$4,$H33)</f>
        <v>0</v>
      </c>
      <c r="J33" s="146" t="n">
        <f aca="false">SUMIF($E33,$J$4,$H33)</f>
        <v>0</v>
      </c>
      <c r="K33" s="146" t="n">
        <f aca="false">SUMIF($E33,$K$4,$H33)</f>
        <v>0</v>
      </c>
      <c r="L33" s="146" t="n">
        <f aca="false">SUMIF($E33,$L$4,$H33)</f>
        <v>0</v>
      </c>
      <c r="M33" s="146" t="n">
        <f aca="false">SUMIF($E33,$M$4,$H33)</f>
        <v>0</v>
      </c>
      <c r="N33" s="146" t="n">
        <f aca="false">SUMIF($E33,$N$4,$H33)</f>
        <v>0</v>
      </c>
      <c r="O33" s="29"/>
    </row>
    <row r="34" customFormat="false" ht="13.5" hidden="false" customHeight="false" outlineLevel="0" collapsed="false">
      <c r="A34" s="148"/>
      <c r="B34" s="129"/>
      <c r="C34" s="111"/>
      <c r="D34" s="129"/>
      <c r="E34" s="111"/>
      <c r="F34" s="147"/>
      <c r="G34" s="147"/>
      <c r="H34" s="140"/>
      <c r="I34" s="146" t="n">
        <f aca="false">SUMIF($E34,$I$4,$H34)</f>
        <v>0</v>
      </c>
      <c r="J34" s="146" t="n">
        <f aca="false">SUMIF($E34,$J$4,$H34)</f>
        <v>0</v>
      </c>
      <c r="K34" s="146" t="n">
        <f aca="false">SUMIF($E34,$K$4,$H34)</f>
        <v>0</v>
      </c>
      <c r="L34" s="146" t="n">
        <f aca="false">SUMIF($E34,$L$4,$H34)</f>
        <v>0</v>
      </c>
      <c r="M34" s="146" t="n">
        <f aca="false">SUMIF($E34,$M$4,$H34)</f>
        <v>0</v>
      </c>
      <c r="N34" s="146" t="n">
        <f aca="false">SUMIF($E34,$N$4,$H34)</f>
        <v>0</v>
      </c>
      <c r="O34" s="29"/>
    </row>
    <row r="35" customFormat="false" ht="13.5" hidden="false" customHeight="false" outlineLevel="0" collapsed="false">
      <c r="A35" s="148"/>
      <c r="B35" s="129"/>
      <c r="C35" s="111"/>
      <c r="D35" s="129"/>
      <c r="E35" s="111"/>
      <c r="F35" s="147"/>
      <c r="G35" s="147"/>
      <c r="H35" s="140"/>
      <c r="I35" s="146" t="n">
        <f aca="false">SUMIF($E35,$I$4,$H35)</f>
        <v>0</v>
      </c>
      <c r="J35" s="146" t="n">
        <f aca="false">SUMIF($E35,$J$4,$H35)</f>
        <v>0</v>
      </c>
      <c r="K35" s="146" t="n">
        <f aca="false">SUMIF($E35,$K$4,$H35)</f>
        <v>0</v>
      </c>
      <c r="L35" s="146" t="n">
        <f aca="false">SUMIF($E35,$L$4,$H35)</f>
        <v>0</v>
      </c>
      <c r="M35" s="146" t="n">
        <f aca="false">SUMIF($E35,$M$4,$H35)</f>
        <v>0</v>
      </c>
      <c r="N35" s="146" t="n">
        <f aca="false">SUMIF($E35,$N$4,$H35)</f>
        <v>0</v>
      </c>
      <c r="O35" s="29"/>
    </row>
    <row r="36" customFormat="false" ht="13.5" hidden="false" customHeight="false" outlineLevel="0" collapsed="false">
      <c r="A36" s="148"/>
      <c r="B36" s="129"/>
      <c r="C36" s="111"/>
      <c r="D36" s="129"/>
      <c r="E36" s="111"/>
      <c r="F36" s="147"/>
      <c r="G36" s="147"/>
      <c r="H36" s="140"/>
      <c r="I36" s="146" t="n">
        <f aca="false">SUMIF($E36,$I$4,$H36)</f>
        <v>0</v>
      </c>
      <c r="J36" s="146" t="n">
        <f aca="false">SUMIF($E36,$J$4,$H36)</f>
        <v>0</v>
      </c>
      <c r="K36" s="146" t="n">
        <f aca="false">SUMIF($E36,$K$4,$H36)</f>
        <v>0</v>
      </c>
      <c r="L36" s="146" t="n">
        <f aca="false">SUMIF($E36,$L$4,$H36)</f>
        <v>0</v>
      </c>
      <c r="M36" s="146" t="n">
        <f aca="false">SUMIF($E36,$M$4,$H36)</f>
        <v>0</v>
      </c>
      <c r="N36" s="146" t="n">
        <f aca="false">SUMIF($E36,$N$4,$H36)</f>
        <v>0</v>
      </c>
      <c r="O36" s="29"/>
    </row>
    <row r="37" customFormat="false" ht="13.5" hidden="false" customHeight="false" outlineLevel="0" collapsed="false">
      <c r="A37" s="148"/>
      <c r="B37" s="129"/>
      <c r="C37" s="111"/>
      <c r="D37" s="129"/>
      <c r="E37" s="111"/>
      <c r="F37" s="147"/>
      <c r="G37" s="147"/>
      <c r="H37" s="140"/>
      <c r="I37" s="146" t="n">
        <f aca="false">SUMIF($E37,$I$4,$H37)</f>
        <v>0</v>
      </c>
      <c r="J37" s="146" t="n">
        <f aca="false">SUMIF($E37,$J$4,$H37)</f>
        <v>0</v>
      </c>
      <c r="K37" s="146" t="n">
        <f aca="false">SUMIF($E37,$K$4,$H37)</f>
        <v>0</v>
      </c>
      <c r="L37" s="146" t="n">
        <f aca="false">SUMIF($E37,$L$4,$H37)</f>
        <v>0</v>
      </c>
      <c r="M37" s="146" t="n">
        <f aca="false">SUMIF($E37,$M$4,$H37)</f>
        <v>0</v>
      </c>
      <c r="N37" s="146" t="n">
        <f aca="false">SUMIF($E37,$N$4,$H37)</f>
        <v>0</v>
      </c>
      <c r="O37" s="29"/>
    </row>
    <row r="38" customFormat="false" ht="13.5" hidden="false" customHeight="false" outlineLevel="0" collapsed="false">
      <c r="A38" s="148"/>
      <c r="B38" s="129"/>
      <c r="C38" s="111"/>
      <c r="D38" s="129"/>
      <c r="E38" s="111"/>
      <c r="F38" s="147"/>
      <c r="G38" s="147"/>
      <c r="H38" s="140"/>
      <c r="I38" s="146" t="n">
        <f aca="false">SUMIF($E38,$I$4,$H38)</f>
        <v>0</v>
      </c>
      <c r="J38" s="146" t="n">
        <f aca="false">SUMIF($E38,$J$4,$H38)</f>
        <v>0</v>
      </c>
      <c r="K38" s="146" t="n">
        <f aca="false">SUMIF($E38,$K$4,$H38)</f>
        <v>0</v>
      </c>
      <c r="L38" s="146" t="n">
        <f aca="false">SUMIF($E38,$L$4,$H38)</f>
        <v>0</v>
      </c>
      <c r="M38" s="146" t="n">
        <f aca="false">SUMIF($E38,$M$4,$H38)</f>
        <v>0</v>
      </c>
      <c r="N38" s="146" t="n">
        <f aca="false">SUMIF($E38,$N$4,$H38)</f>
        <v>0</v>
      </c>
      <c r="O38" s="29"/>
    </row>
    <row r="39" customFormat="false" ht="13.5" hidden="false" customHeight="false" outlineLevel="0" collapsed="false">
      <c r="A39" s="148"/>
      <c r="B39" s="129"/>
      <c r="C39" s="111"/>
      <c r="D39" s="129"/>
      <c r="E39" s="111"/>
      <c r="F39" s="147"/>
      <c r="G39" s="147"/>
      <c r="H39" s="140"/>
      <c r="I39" s="146" t="n">
        <f aca="false">SUMIF($E39,$I$4,$H39)</f>
        <v>0</v>
      </c>
      <c r="J39" s="146" t="n">
        <f aca="false">SUMIF($E39,$J$4,$H39)</f>
        <v>0</v>
      </c>
      <c r="K39" s="146" t="n">
        <f aca="false">SUMIF($E39,$K$4,$H39)</f>
        <v>0</v>
      </c>
      <c r="L39" s="146" t="n">
        <f aca="false">SUMIF($E39,$L$4,$H39)</f>
        <v>0</v>
      </c>
      <c r="M39" s="146" t="n">
        <f aca="false">SUMIF($E39,$M$4,$H39)</f>
        <v>0</v>
      </c>
      <c r="N39" s="146" t="n">
        <f aca="false">SUMIF($E39,$N$4,$H39)</f>
        <v>0</v>
      </c>
      <c r="O39" s="29"/>
    </row>
    <row r="40" customFormat="false" ht="13.5" hidden="false" customHeight="false" outlineLevel="0" collapsed="false">
      <c r="A40" s="148"/>
      <c r="B40" s="129"/>
      <c r="C40" s="111"/>
      <c r="D40" s="129"/>
      <c r="E40" s="111"/>
      <c r="F40" s="147"/>
      <c r="G40" s="147"/>
      <c r="H40" s="140"/>
      <c r="I40" s="146" t="n">
        <f aca="false">SUMIF($E40,$I$4,$H40)</f>
        <v>0</v>
      </c>
      <c r="J40" s="146" t="n">
        <f aca="false">SUMIF($E40,$J$4,$H40)</f>
        <v>0</v>
      </c>
      <c r="K40" s="146" t="n">
        <f aca="false">SUMIF($E40,$K$4,$H40)</f>
        <v>0</v>
      </c>
      <c r="L40" s="146" t="n">
        <f aca="false">SUMIF($E40,$L$4,$H40)</f>
        <v>0</v>
      </c>
      <c r="M40" s="146" t="n">
        <f aca="false">SUMIF($E40,$M$4,$H40)</f>
        <v>0</v>
      </c>
      <c r="N40" s="146" t="n">
        <f aca="false">SUMIF($E40,$N$4,$H40)</f>
        <v>0</v>
      </c>
      <c r="O40" s="29"/>
    </row>
    <row r="41" customFormat="false" ht="13.5" hidden="false" customHeight="false" outlineLevel="0" collapsed="false">
      <c r="A41" s="148"/>
      <c r="B41" s="129"/>
      <c r="C41" s="111"/>
      <c r="D41" s="129"/>
      <c r="E41" s="111"/>
      <c r="F41" s="147"/>
      <c r="G41" s="147"/>
      <c r="H41" s="140"/>
      <c r="I41" s="146" t="n">
        <f aca="false">SUMIF($E41,$I$4,$H41)</f>
        <v>0</v>
      </c>
      <c r="J41" s="146" t="n">
        <f aca="false">SUMIF($E41,$J$4,$H41)</f>
        <v>0</v>
      </c>
      <c r="K41" s="146" t="n">
        <f aca="false">SUMIF($E41,$K$4,$H41)</f>
        <v>0</v>
      </c>
      <c r="L41" s="146" t="n">
        <f aca="false">SUMIF($E41,$L$4,$H41)</f>
        <v>0</v>
      </c>
      <c r="M41" s="146" t="n">
        <f aca="false">SUMIF($E41,$M$4,$H41)</f>
        <v>0</v>
      </c>
      <c r="N41" s="146" t="n">
        <f aca="false">SUMIF($E41,$N$4,$H41)</f>
        <v>0</v>
      </c>
      <c r="O41" s="29"/>
    </row>
    <row r="42" customFormat="false" ht="13.5" hidden="false" customHeight="false" outlineLevel="0" collapsed="false">
      <c r="A42" s="148"/>
      <c r="B42" s="129"/>
      <c r="C42" s="111"/>
      <c r="D42" s="129"/>
      <c r="E42" s="111"/>
      <c r="F42" s="147"/>
      <c r="G42" s="147"/>
      <c r="H42" s="140"/>
      <c r="I42" s="146" t="n">
        <f aca="false">SUMIF($E42,$I$4,$H42)</f>
        <v>0</v>
      </c>
      <c r="J42" s="146" t="n">
        <f aca="false">SUMIF($E42,$J$4,$H42)</f>
        <v>0</v>
      </c>
      <c r="K42" s="146" t="n">
        <f aca="false">SUMIF($E42,$K$4,$H42)</f>
        <v>0</v>
      </c>
      <c r="L42" s="146" t="n">
        <f aca="false">SUMIF($E42,$L$4,$H42)</f>
        <v>0</v>
      </c>
      <c r="M42" s="146" t="n">
        <f aca="false">SUMIF($E42,$M$4,$H42)</f>
        <v>0</v>
      </c>
      <c r="N42" s="146" t="n">
        <f aca="false">SUMIF($E42,$N$4,$H42)</f>
        <v>0</v>
      </c>
      <c r="O42" s="29"/>
    </row>
    <row r="43" customFormat="false" ht="13.5" hidden="false" customHeight="false" outlineLevel="0" collapsed="false">
      <c r="A43" s="148"/>
      <c r="B43" s="129"/>
      <c r="C43" s="111"/>
      <c r="D43" s="129"/>
      <c r="E43" s="111"/>
      <c r="F43" s="147"/>
      <c r="G43" s="147"/>
      <c r="H43" s="140"/>
      <c r="I43" s="146" t="n">
        <f aca="false">SUMIF($E43,$I$4,$H43)</f>
        <v>0</v>
      </c>
      <c r="J43" s="146" t="n">
        <f aca="false">SUMIF($E43,$J$4,$H43)</f>
        <v>0</v>
      </c>
      <c r="K43" s="146" t="n">
        <f aca="false">SUMIF($E43,$K$4,$H43)</f>
        <v>0</v>
      </c>
      <c r="L43" s="146" t="n">
        <f aca="false">SUMIF($E43,$L$4,$H43)</f>
        <v>0</v>
      </c>
      <c r="M43" s="146" t="n">
        <f aca="false">SUMIF($E43,$M$4,$H43)</f>
        <v>0</v>
      </c>
      <c r="N43" s="146" t="n">
        <f aca="false">SUMIF($E43,$N$4,$H43)</f>
        <v>0</v>
      </c>
      <c r="O43" s="29"/>
    </row>
    <row r="44" customFormat="false" ht="13.5" hidden="false" customHeight="false" outlineLevel="0" collapsed="false">
      <c r="A44" s="148"/>
      <c r="B44" s="129"/>
      <c r="C44" s="111"/>
      <c r="D44" s="129"/>
      <c r="E44" s="111"/>
      <c r="F44" s="147"/>
      <c r="G44" s="147"/>
      <c r="H44" s="140"/>
      <c r="I44" s="146" t="n">
        <f aca="false">SUMIF($E44,$I$4,$H44)</f>
        <v>0</v>
      </c>
      <c r="J44" s="146" t="n">
        <f aca="false">SUMIF($E44,$J$4,$H44)</f>
        <v>0</v>
      </c>
      <c r="K44" s="146" t="n">
        <f aca="false">SUMIF($E44,$K$4,$H44)</f>
        <v>0</v>
      </c>
      <c r="L44" s="146" t="n">
        <f aca="false">SUMIF($E44,$L$4,$H44)</f>
        <v>0</v>
      </c>
      <c r="M44" s="146" t="n">
        <f aca="false">SUMIF($E44,$M$4,$H44)</f>
        <v>0</v>
      </c>
      <c r="N44" s="146" t="n">
        <f aca="false">SUMIF($E44,$N$4,$H44)</f>
        <v>0</v>
      </c>
      <c r="O44" s="29"/>
    </row>
    <row r="45" customFormat="false" ht="13.5" hidden="false" customHeight="false" outlineLevel="0" collapsed="false">
      <c r="A45" s="148"/>
      <c r="B45" s="129"/>
      <c r="C45" s="111"/>
      <c r="D45" s="129"/>
      <c r="E45" s="111"/>
      <c r="F45" s="147"/>
      <c r="G45" s="147"/>
      <c r="H45" s="140"/>
      <c r="I45" s="146" t="n">
        <f aca="false">SUMIF($E45,$I$4,$H45)</f>
        <v>0</v>
      </c>
      <c r="J45" s="146" t="n">
        <f aca="false">SUMIF($E45,$J$4,$H45)</f>
        <v>0</v>
      </c>
      <c r="K45" s="146" t="n">
        <f aca="false">SUMIF($E45,$K$4,$H45)</f>
        <v>0</v>
      </c>
      <c r="L45" s="146" t="n">
        <f aca="false">SUMIF($E45,$L$4,$H45)</f>
        <v>0</v>
      </c>
      <c r="M45" s="146" t="n">
        <f aca="false">SUMIF($E45,$M$4,$H45)</f>
        <v>0</v>
      </c>
      <c r="N45" s="146" t="n">
        <f aca="false">SUMIF($E45,$N$4,$H45)</f>
        <v>0</v>
      </c>
      <c r="O45" s="29"/>
    </row>
    <row r="46" customFormat="false" ht="13.5" hidden="false" customHeight="false" outlineLevel="0" collapsed="false">
      <c r="A46" s="148"/>
      <c r="B46" s="129"/>
      <c r="C46" s="111"/>
      <c r="D46" s="129"/>
      <c r="E46" s="111"/>
      <c r="F46" s="147"/>
      <c r="G46" s="147"/>
      <c r="H46" s="140"/>
      <c r="I46" s="146" t="n">
        <f aca="false">SUMIF($E46,$I$4,$H46)</f>
        <v>0</v>
      </c>
      <c r="J46" s="146" t="n">
        <f aca="false">SUMIF($E46,$J$4,$H46)</f>
        <v>0</v>
      </c>
      <c r="K46" s="146" t="n">
        <f aca="false">SUMIF($E46,$K$4,$H46)</f>
        <v>0</v>
      </c>
      <c r="L46" s="146" t="n">
        <f aca="false">SUMIF($E46,$L$4,$H46)</f>
        <v>0</v>
      </c>
      <c r="M46" s="146" t="n">
        <f aca="false">SUMIF($E46,$M$4,$H46)</f>
        <v>0</v>
      </c>
      <c r="N46" s="146" t="n">
        <f aca="false">SUMIF($E46,$N$4,$H46)</f>
        <v>0</v>
      </c>
      <c r="O46" s="29"/>
    </row>
    <row r="47" customFormat="false" ht="13.5" hidden="false" customHeight="false" outlineLevel="0" collapsed="false">
      <c r="A47" s="148"/>
      <c r="B47" s="129"/>
      <c r="C47" s="111"/>
      <c r="D47" s="129"/>
      <c r="E47" s="111"/>
      <c r="F47" s="147"/>
      <c r="G47" s="147"/>
      <c r="H47" s="140"/>
      <c r="I47" s="146" t="n">
        <f aca="false">SUMIF($E47,$I$4,$H47)</f>
        <v>0</v>
      </c>
      <c r="J47" s="146" t="n">
        <f aca="false">SUMIF($E47,$J$4,$H47)</f>
        <v>0</v>
      </c>
      <c r="K47" s="146" t="n">
        <f aca="false">SUMIF($E47,$K$4,$H47)</f>
        <v>0</v>
      </c>
      <c r="L47" s="146" t="n">
        <f aca="false">SUMIF($E47,$L$4,$H47)</f>
        <v>0</v>
      </c>
      <c r="M47" s="146" t="n">
        <f aca="false">SUMIF($E47,$M$4,$H47)</f>
        <v>0</v>
      </c>
      <c r="N47" s="146" t="n">
        <f aca="false">SUMIF($E47,$N$4,$H47)</f>
        <v>0</v>
      </c>
      <c r="O47" s="29"/>
    </row>
    <row r="48" customFormat="false" ht="13.5" hidden="false" customHeight="false" outlineLevel="0" collapsed="false">
      <c r="A48" s="148"/>
      <c r="B48" s="129"/>
      <c r="C48" s="111"/>
      <c r="D48" s="129"/>
      <c r="E48" s="111"/>
      <c r="F48" s="147"/>
      <c r="G48" s="147"/>
      <c r="H48" s="140"/>
      <c r="I48" s="146" t="n">
        <f aca="false">SUMIF($E48,$I$4,$H48)</f>
        <v>0</v>
      </c>
      <c r="J48" s="146" t="n">
        <f aca="false">SUMIF($E48,$J$4,$H48)</f>
        <v>0</v>
      </c>
      <c r="K48" s="146" t="n">
        <f aca="false">SUMIF($E48,$K$4,$H48)</f>
        <v>0</v>
      </c>
      <c r="L48" s="146" t="n">
        <f aca="false">SUMIF($E48,$L$4,$H48)</f>
        <v>0</v>
      </c>
      <c r="M48" s="146" t="n">
        <f aca="false">SUMIF($E48,$M$4,$H48)</f>
        <v>0</v>
      </c>
      <c r="N48" s="146" t="n">
        <f aca="false">SUMIF($E48,$N$4,$H48)</f>
        <v>0</v>
      </c>
      <c r="O48" s="29"/>
    </row>
    <row r="49" customFormat="false" ht="13.5" hidden="false" customHeight="false" outlineLevel="0" collapsed="false">
      <c r="A49" s="148"/>
      <c r="B49" s="129"/>
      <c r="C49" s="111"/>
      <c r="D49" s="129"/>
      <c r="E49" s="111"/>
      <c r="F49" s="147"/>
      <c r="G49" s="147"/>
      <c r="H49" s="140"/>
      <c r="I49" s="146" t="n">
        <f aca="false">SUMIF($E49,$I$4,$H49)</f>
        <v>0</v>
      </c>
      <c r="J49" s="146" t="n">
        <f aca="false">SUMIF($E49,$J$4,$H49)</f>
        <v>0</v>
      </c>
      <c r="K49" s="146" t="n">
        <f aca="false">SUMIF($E49,$K$4,$H49)</f>
        <v>0</v>
      </c>
      <c r="L49" s="146" t="n">
        <f aca="false">SUMIF($E49,$L$4,$H49)</f>
        <v>0</v>
      </c>
      <c r="M49" s="146" t="n">
        <f aca="false">SUMIF($E49,$M$4,$H49)</f>
        <v>0</v>
      </c>
      <c r="N49" s="146" t="n">
        <f aca="false">SUMIF($E49,$N$4,$H49)</f>
        <v>0</v>
      </c>
      <c r="O49" s="29"/>
    </row>
    <row r="50" customFormat="false" ht="13.5" hidden="false" customHeight="false" outlineLevel="0" collapsed="false">
      <c r="A50" s="148"/>
      <c r="B50" s="129"/>
      <c r="C50" s="111"/>
      <c r="D50" s="129"/>
      <c r="E50" s="111"/>
      <c r="F50" s="147"/>
      <c r="G50" s="147"/>
      <c r="H50" s="140"/>
      <c r="I50" s="146" t="n">
        <f aca="false">SUMIF($E50,$I$4,$H50)</f>
        <v>0</v>
      </c>
      <c r="J50" s="146" t="n">
        <f aca="false">SUMIF($E50,$J$4,$H50)</f>
        <v>0</v>
      </c>
      <c r="K50" s="146" t="n">
        <f aca="false">SUMIF($E50,$K$4,$H50)</f>
        <v>0</v>
      </c>
      <c r="L50" s="146" t="n">
        <f aca="false">SUMIF($E50,$L$4,$H50)</f>
        <v>0</v>
      </c>
      <c r="M50" s="146" t="n">
        <f aca="false">SUMIF($E50,$M$4,$H50)</f>
        <v>0</v>
      </c>
      <c r="N50" s="146" t="n">
        <f aca="false">SUMIF($E50,$N$4,$H50)</f>
        <v>0</v>
      </c>
      <c r="O50" s="29"/>
    </row>
    <row r="51" customFormat="false" ht="13.5" hidden="false" customHeight="false" outlineLevel="0" collapsed="false">
      <c r="A51" s="148"/>
      <c r="B51" s="129"/>
      <c r="C51" s="111"/>
      <c r="D51" s="129"/>
      <c r="E51" s="111"/>
      <c r="F51" s="147"/>
      <c r="G51" s="147"/>
      <c r="H51" s="140"/>
      <c r="I51" s="146" t="n">
        <f aca="false">SUMIF($E51,$I$4,$H51)</f>
        <v>0</v>
      </c>
      <c r="J51" s="146" t="n">
        <f aca="false">SUMIF($E51,$J$4,$H51)</f>
        <v>0</v>
      </c>
      <c r="K51" s="146" t="n">
        <f aca="false">SUMIF($E51,$K$4,$H51)</f>
        <v>0</v>
      </c>
      <c r="L51" s="146" t="n">
        <f aca="false">SUMIF($E51,$L$4,$H51)</f>
        <v>0</v>
      </c>
      <c r="M51" s="146" t="n">
        <f aca="false">SUMIF($E51,$M$4,$H51)</f>
        <v>0</v>
      </c>
      <c r="N51" s="146" t="n">
        <f aca="false">SUMIF($E51,$N$4,$H51)</f>
        <v>0</v>
      </c>
      <c r="O51" s="29"/>
    </row>
    <row r="52" customFormat="false" ht="13.5" hidden="false" customHeight="false" outlineLevel="0" collapsed="false">
      <c r="A52" s="148"/>
      <c r="B52" s="129"/>
      <c r="C52" s="111"/>
      <c r="D52" s="129"/>
      <c r="E52" s="111"/>
      <c r="F52" s="147"/>
      <c r="G52" s="147"/>
      <c r="H52" s="140"/>
      <c r="I52" s="146" t="n">
        <f aca="false">SUMIF($E52,$I$4,$H52)</f>
        <v>0</v>
      </c>
      <c r="J52" s="146" t="n">
        <f aca="false">SUMIF($E52,$J$4,$H52)</f>
        <v>0</v>
      </c>
      <c r="K52" s="146" t="n">
        <f aca="false">SUMIF($E52,$K$4,$H52)</f>
        <v>0</v>
      </c>
      <c r="L52" s="146" t="n">
        <f aca="false">SUMIF($E52,$L$4,$H52)</f>
        <v>0</v>
      </c>
      <c r="M52" s="146" t="n">
        <f aca="false">SUMIF($E52,$M$4,$H52)</f>
        <v>0</v>
      </c>
      <c r="N52" s="146" t="n">
        <f aca="false">SUMIF($E52,$N$4,$H52)</f>
        <v>0</v>
      </c>
      <c r="O52" s="29"/>
    </row>
    <row r="53" customFormat="false" ht="13.5" hidden="false" customHeight="false" outlineLevel="0" collapsed="false">
      <c r="A53" s="148"/>
      <c r="B53" s="129"/>
      <c r="C53" s="111"/>
      <c r="D53" s="129"/>
      <c r="E53" s="111"/>
      <c r="F53" s="147"/>
      <c r="G53" s="147"/>
      <c r="H53" s="140"/>
      <c r="I53" s="146" t="n">
        <f aca="false">SUMIF($E53,$I$4,$H53)</f>
        <v>0</v>
      </c>
      <c r="J53" s="146" t="n">
        <f aca="false">SUMIF($E53,$J$4,$H53)</f>
        <v>0</v>
      </c>
      <c r="K53" s="146" t="n">
        <f aca="false">SUMIF($E53,$K$4,$H53)</f>
        <v>0</v>
      </c>
      <c r="L53" s="146" t="n">
        <f aca="false">SUMIF($E53,$L$4,$H53)</f>
        <v>0</v>
      </c>
      <c r="M53" s="146" t="n">
        <f aca="false">SUMIF($E53,$M$4,$H53)</f>
        <v>0</v>
      </c>
      <c r="N53" s="146" t="n">
        <f aca="false">SUMIF($E53,$N$4,$H53)</f>
        <v>0</v>
      </c>
      <c r="O53" s="29"/>
    </row>
    <row r="54" customFormat="false" ht="13.5" hidden="false" customHeight="false" outlineLevel="0" collapsed="false">
      <c r="A54" s="148"/>
      <c r="B54" s="129"/>
      <c r="C54" s="111"/>
      <c r="D54" s="129"/>
      <c r="E54" s="111"/>
      <c r="F54" s="147"/>
      <c r="G54" s="147"/>
      <c r="H54" s="140"/>
      <c r="I54" s="146" t="n">
        <f aca="false">SUMIF($E54,$I$4,$H54)</f>
        <v>0</v>
      </c>
      <c r="J54" s="146" t="n">
        <f aca="false">SUMIF($E54,$J$4,$H54)</f>
        <v>0</v>
      </c>
      <c r="K54" s="146" t="n">
        <f aca="false">SUMIF($E54,$K$4,$H54)</f>
        <v>0</v>
      </c>
      <c r="L54" s="146" t="n">
        <f aca="false">SUMIF($E54,$L$4,$H54)</f>
        <v>0</v>
      </c>
      <c r="M54" s="146" t="n">
        <f aca="false">SUMIF($E54,$M$4,$H54)</f>
        <v>0</v>
      </c>
      <c r="N54" s="146" t="n">
        <f aca="false">SUMIF($E54,$N$4,$H54)</f>
        <v>0</v>
      </c>
      <c r="O54" s="29"/>
    </row>
  </sheetData>
  <sheetProtection sheet="true" password="8737" objects="true" scenarios="true"/>
  <mergeCells count="2">
    <mergeCell ref="F3:G3"/>
    <mergeCell ref="I3:N3"/>
  </mergeCells>
  <printOptions headings="false" gridLines="false" gridLinesSet="true" horizontalCentered="false" verticalCentered="false"/>
  <pageMargins left="0.747916666666667" right="0.747916666666667" top="0.984027777777778" bottom="0.7875" header="0.511805555555556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/>
  </headerFooter>
  <colBreaks count="1" manualBreakCount="1">
    <brk id="8" man="true" max="65535" min="0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2" min="2" style="0" width="22.96"/>
  </cols>
  <sheetData>
    <row r="1" customFormat="false" ht="13.5" hidden="false" customHeight="false" outlineLevel="0" collapsed="false">
      <c r="A1" s="149" t="s">
        <v>84</v>
      </c>
      <c r="B1" s="149" t="s">
        <v>85</v>
      </c>
    </row>
    <row r="2" customFormat="false" ht="12.75" hidden="false" customHeight="false" outlineLevel="0" collapsed="false">
      <c r="A2" s="150" t="s">
        <v>86</v>
      </c>
      <c r="B2" s="150" t="s">
        <v>87</v>
      </c>
    </row>
    <row r="3" customFormat="false" ht="12.75" hidden="false" customHeight="false" outlineLevel="0" collapsed="false">
      <c r="A3" s="151" t="s">
        <v>88</v>
      </c>
      <c r="B3" s="151" t="s">
        <v>89</v>
      </c>
    </row>
    <row r="4" customFormat="false" ht="12.75" hidden="false" customHeight="false" outlineLevel="0" collapsed="false">
      <c r="A4" s="151" t="s">
        <v>90</v>
      </c>
      <c r="B4" s="151" t="s">
        <v>91</v>
      </c>
    </row>
    <row r="5" customFormat="false" ht="12.75" hidden="false" customHeight="false" outlineLevel="0" collapsed="false">
      <c r="A5" s="151" t="s">
        <v>92</v>
      </c>
      <c r="B5" s="151" t="s">
        <v>93</v>
      </c>
    </row>
    <row r="6" customFormat="false" ht="12.75" hidden="false" customHeight="false" outlineLevel="0" collapsed="false">
      <c r="A6" s="151" t="s">
        <v>94</v>
      </c>
      <c r="B6" s="151" t="s">
        <v>95</v>
      </c>
    </row>
    <row r="7" customFormat="false" ht="12.75" hidden="false" customHeight="false" outlineLevel="0" collapsed="false">
      <c r="A7" s="151" t="s">
        <v>96</v>
      </c>
      <c r="B7" s="151" t="s">
        <v>97</v>
      </c>
    </row>
    <row r="8" customFormat="false" ht="12.75" hidden="false" customHeight="false" outlineLevel="0" collapsed="false">
      <c r="A8" s="151" t="s">
        <v>98</v>
      </c>
      <c r="B8" s="151" t="s">
        <v>99</v>
      </c>
    </row>
    <row r="9" customFormat="false" ht="12.75" hidden="false" customHeight="false" outlineLevel="0" collapsed="false">
      <c r="A9" s="151" t="s">
        <v>100</v>
      </c>
      <c r="B9" s="151" t="s">
        <v>101</v>
      </c>
    </row>
    <row r="10" customFormat="false" ht="12.75" hidden="false" customHeight="false" outlineLevel="0" collapsed="false">
      <c r="A10" s="151" t="s">
        <v>102</v>
      </c>
      <c r="B10" s="151" t="s">
        <v>103</v>
      </c>
    </row>
    <row r="11" customFormat="false" ht="12.75" hidden="false" customHeight="false" outlineLevel="0" collapsed="false">
      <c r="A11" s="151" t="s">
        <v>104</v>
      </c>
      <c r="B11" s="151" t="s">
        <v>105</v>
      </c>
    </row>
    <row r="12" customFormat="false" ht="12.75" hidden="false" customHeight="false" outlineLevel="0" collapsed="false">
      <c r="A12" s="151" t="s">
        <v>106</v>
      </c>
      <c r="B12" s="151" t="s">
        <v>107</v>
      </c>
    </row>
    <row r="13" customFormat="false" ht="12.75" hidden="false" customHeight="false" outlineLevel="0" collapsed="false">
      <c r="A13" s="151" t="s">
        <v>108</v>
      </c>
      <c r="B13" s="151" t="s">
        <v>109</v>
      </c>
    </row>
    <row r="14" customFormat="false" ht="12.75" hidden="false" customHeight="false" outlineLevel="0" collapsed="false">
      <c r="A14" s="151" t="s">
        <v>110</v>
      </c>
      <c r="B14" s="151" t="s">
        <v>111</v>
      </c>
    </row>
    <row r="15" customFormat="false" ht="12.75" hidden="false" customHeight="false" outlineLevel="0" collapsed="false">
      <c r="A15" s="151" t="s">
        <v>112</v>
      </c>
      <c r="B15" s="151" t="s">
        <v>113</v>
      </c>
    </row>
    <row r="16" customFormat="false" ht="12.75" hidden="false" customHeight="false" outlineLevel="0" collapsed="false">
      <c r="A16" s="151" t="s">
        <v>114</v>
      </c>
      <c r="B16" s="151" t="s">
        <v>115</v>
      </c>
    </row>
    <row r="17" customFormat="false" ht="12.75" hidden="false" customHeight="false" outlineLevel="0" collapsed="false">
      <c r="A17" s="151" t="s">
        <v>116</v>
      </c>
      <c r="B17" s="151" t="s">
        <v>117</v>
      </c>
    </row>
    <row r="18" customFormat="false" ht="12.75" hidden="false" customHeight="false" outlineLevel="0" collapsed="false">
      <c r="A18" s="151" t="s">
        <v>118</v>
      </c>
      <c r="B18" s="151" t="s">
        <v>119</v>
      </c>
    </row>
    <row r="19" customFormat="false" ht="12.75" hidden="false" customHeight="false" outlineLevel="0" collapsed="false">
      <c r="A19" s="151" t="s">
        <v>120</v>
      </c>
      <c r="B19" s="151" t="s">
        <v>121</v>
      </c>
    </row>
    <row r="20" customFormat="false" ht="12.75" hidden="false" customHeight="false" outlineLevel="0" collapsed="false">
      <c r="A20" s="151" t="s">
        <v>122</v>
      </c>
      <c r="B20" s="151" t="s">
        <v>123</v>
      </c>
    </row>
    <row r="21" customFormat="false" ht="12.75" hidden="false" customHeight="false" outlineLevel="0" collapsed="false">
      <c r="A21" s="151" t="s">
        <v>124</v>
      </c>
      <c r="B21" s="151" t="s">
        <v>125</v>
      </c>
    </row>
    <row r="22" customFormat="false" ht="12.75" hidden="false" customHeight="false" outlineLevel="0" collapsed="false">
      <c r="A22" s="151" t="s">
        <v>126</v>
      </c>
      <c r="B22" s="151" t="s">
        <v>127</v>
      </c>
    </row>
    <row r="23" customFormat="false" ht="12.75" hidden="false" customHeight="false" outlineLevel="0" collapsed="false">
      <c r="A23" s="151" t="s">
        <v>128</v>
      </c>
      <c r="B23" s="151" t="s">
        <v>129</v>
      </c>
    </row>
    <row r="24" customFormat="false" ht="12.75" hidden="false" customHeight="false" outlineLevel="0" collapsed="false">
      <c r="A24" s="151" t="s">
        <v>130</v>
      </c>
      <c r="B24" s="151" t="s">
        <v>131</v>
      </c>
    </row>
    <row r="25" customFormat="false" ht="12.75" hidden="false" customHeight="false" outlineLevel="0" collapsed="false">
      <c r="A25" s="151" t="s">
        <v>132</v>
      </c>
      <c r="B25" s="151" t="s">
        <v>133</v>
      </c>
    </row>
    <row r="26" customFormat="false" ht="12.75" hidden="false" customHeight="false" outlineLevel="0" collapsed="false">
      <c r="A26" s="151" t="s">
        <v>134</v>
      </c>
      <c r="B26" s="151" t="s">
        <v>135</v>
      </c>
    </row>
    <row r="27" customFormat="false" ht="12.75" hidden="false" customHeight="false" outlineLevel="0" collapsed="false">
      <c r="A27" s="151" t="s">
        <v>136</v>
      </c>
      <c r="B27" s="151" t="s">
        <v>137</v>
      </c>
    </row>
    <row r="28" customFormat="false" ht="12.75" hidden="false" customHeight="false" outlineLevel="0" collapsed="false">
      <c r="A28" s="151" t="s">
        <v>138</v>
      </c>
      <c r="B28" s="151" t="s">
        <v>139</v>
      </c>
    </row>
    <row r="29" customFormat="false" ht="12.75" hidden="false" customHeight="false" outlineLevel="0" collapsed="false">
      <c r="A29" s="151" t="s">
        <v>140</v>
      </c>
      <c r="B29" s="151" t="s">
        <v>141</v>
      </c>
    </row>
    <row r="30" customFormat="false" ht="12.75" hidden="false" customHeight="false" outlineLevel="0" collapsed="false">
      <c r="A30" s="151" t="s">
        <v>142</v>
      </c>
      <c r="B30" s="151" t="s">
        <v>143</v>
      </c>
    </row>
    <row r="31" customFormat="false" ht="12.75" hidden="false" customHeight="false" outlineLevel="0" collapsed="false">
      <c r="A31" s="151" t="s">
        <v>144</v>
      </c>
      <c r="B31" s="151" t="s">
        <v>145</v>
      </c>
    </row>
    <row r="32" customFormat="false" ht="13.5" hidden="false" customHeight="false" outlineLevel="0" collapsed="false">
      <c r="A32" s="152" t="s">
        <v>146</v>
      </c>
      <c r="B32" s="152" t="s">
        <v>147</v>
      </c>
    </row>
  </sheetData>
  <sheetProtection sheet="true" password="8737" objects="true" scenarios="true"/>
  <printOptions headings="false" gridLines="false" gridLinesSet="true" horizontalCentered="false" verticalCentered="false"/>
  <pageMargins left="0.747916666666667" right="0.747916666666667" top="0.984027777777778" bottom="0.7875" header="0.511805555555556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0.68"/>
    <col collapsed="false" customWidth="true" hidden="false" outlineLevel="0" max="2" min="2" style="0" width="19.97"/>
  </cols>
  <sheetData>
    <row r="1" customFormat="false" ht="13.5" hidden="false" customHeight="false" outlineLevel="0" collapsed="false">
      <c r="A1" s="153" t="s">
        <v>148</v>
      </c>
      <c r="B1" s="153" t="s">
        <v>149</v>
      </c>
    </row>
    <row r="2" customFormat="false" ht="12.75" hidden="false" customHeight="false" outlineLevel="0" collapsed="false">
      <c r="A2" s="154" t="s">
        <v>150</v>
      </c>
      <c r="B2" s="154" t="n">
        <v>122</v>
      </c>
    </row>
    <row r="3" customFormat="false" ht="12.75" hidden="false" customHeight="false" outlineLevel="0" collapsed="false">
      <c r="A3" s="155" t="s">
        <v>151</v>
      </c>
      <c r="B3" s="155" t="n">
        <v>150</v>
      </c>
    </row>
    <row r="4" customFormat="false" ht="12.75" hidden="false" customHeight="false" outlineLevel="0" collapsed="false">
      <c r="A4" s="155" t="s">
        <v>152</v>
      </c>
      <c r="B4" s="155" t="n">
        <v>157</v>
      </c>
    </row>
    <row r="5" customFormat="false" ht="12.75" hidden="false" customHeight="false" outlineLevel="0" collapsed="false">
      <c r="A5" s="155" t="s">
        <v>153</v>
      </c>
      <c r="B5" s="155" t="n">
        <v>100</v>
      </c>
    </row>
    <row r="6" customFormat="false" ht="12.75" hidden="false" customHeight="false" outlineLevel="0" collapsed="false">
      <c r="A6" s="155" t="s">
        <v>154</v>
      </c>
      <c r="B6" s="155" t="n">
        <v>214</v>
      </c>
    </row>
    <row r="7" customFormat="false" ht="12.75" hidden="false" customHeight="false" outlineLevel="0" collapsed="false">
      <c r="A7" s="155" t="s">
        <v>155</v>
      </c>
      <c r="B7" s="155" t="n">
        <v>127</v>
      </c>
    </row>
    <row r="8" customFormat="false" ht="12.75" hidden="false" customHeight="false" outlineLevel="0" collapsed="false">
      <c r="A8" s="155" t="s">
        <v>156</v>
      </c>
      <c r="B8" s="155" t="n">
        <v>179</v>
      </c>
    </row>
    <row r="9" customFormat="false" ht="12.75" hidden="false" customHeight="false" outlineLevel="0" collapsed="false">
      <c r="A9" s="155" t="s">
        <v>157</v>
      </c>
      <c r="B9" s="155" t="n">
        <v>129</v>
      </c>
    </row>
    <row r="10" customFormat="false" ht="12.75" hidden="false" customHeight="false" outlineLevel="0" collapsed="false">
      <c r="A10" s="155" t="s">
        <v>158</v>
      </c>
      <c r="B10" s="155" t="n">
        <v>113</v>
      </c>
    </row>
    <row r="11" customFormat="false" ht="12.75" hidden="false" customHeight="false" outlineLevel="0" collapsed="false">
      <c r="A11" s="155" t="s">
        <v>159</v>
      </c>
      <c r="B11" s="155" t="n">
        <v>141</v>
      </c>
    </row>
    <row r="12" customFormat="false" ht="12.75" hidden="false" customHeight="false" outlineLevel="0" collapsed="false">
      <c r="A12" s="155" t="s">
        <v>160</v>
      </c>
      <c r="B12" s="155" t="n">
        <v>156</v>
      </c>
    </row>
    <row r="13" customFormat="false" ht="12.75" hidden="false" customHeight="false" outlineLevel="0" collapsed="false">
      <c r="A13" s="155" t="s">
        <v>161</v>
      </c>
      <c r="B13" s="155" t="n">
        <v>174</v>
      </c>
    </row>
    <row r="14" customFormat="false" ht="12.75" hidden="false" customHeight="false" outlineLevel="0" collapsed="false">
      <c r="A14" s="155" t="s">
        <v>162</v>
      </c>
      <c r="B14" s="155" t="n">
        <v>130</v>
      </c>
    </row>
    <row r="15" customFormat="false" ht="12.75" hidden="false" customHeight="false" outlineLevel="0" collapsed="false">
      <c r="A15" s="155" t="s">
        <v>163</v>
      </c>
      <c r="B15" s="155" t="n">
        <v>136</v>
      </c>
    </row>
    <row r="16" customFormat="false" ht="12.75" hidden="false" customHeight="false" outlineLevel="0" collapsed="false">
      <c r="A16" s="155" t="s">
        <v>164</v>
      </c>
      <c r="B16" s="155" t="n">
        <v>165</v>
      </c>
    </row>
    <row r="17" customFormat="false" ht="12.75" hidden="false" customHeight="false" outlineLevel="0" collapsed="false">
      <c r="A17" s="155" t="s">
        <v>165</v>
      </c>
      <c r="B17" s="155" t="n">
        <v>183</v>
      </c>
    </row>
    <row r="18" customFormat="false" ht="12.75" hidden="false" customHeight="false" outlineLevel="0" collapsed="false">
      <c r="A18" s="155" t="s">
        <v>166</v>
      </c>
      <c r="B18" s="155" t="n">
        <v>130</v>
      </c>
    </row>
    <row r="19" customFormat="false" ht="12.75" hidden="false" customHeight="false" outlineLevel="0" collapsed="false">
      <c r="A19" s="155" t="s">
        <v>167</v>
      </c>
      <c r="B19" s="155" t="n">
        <v>126</v>
      </c>
    </row>
    <row r="20" customFormat="false" ht="12.75" hidden="false" customHeight="false" outlineLevel="0" collapsed="false">
      <c r="A20" s="155" t="s">
        <v>168</v>
      </c>
      <c r="B20" s="155" t="n">
        <v>143</v>
      </c>
    </row>
    <row r="21" customFormat="false" ht="12.75" hidden="false" customHeight="false" outlineLevel="0" collapsed="false">
      <c r="A21" s="155" t="s">
        <v>169</v>
      </c>
      <c r="B21" s="155" t="n">
        <v>174</v>
      </c>
    </row>
    <row r="22" customFormat="false" ht="12.75" hidden="false" customHeight="false" outlineLevel="0" collapsed="false">
      <c r="A22" s="155" t="s">
        <v>170</v>
      </c>
      <c r="B22" s="155" t="n">
        <v>109</v>
      </c>
    </row>
    <row r="23" customFormat="false" ht="12.75" hidden="false" customHeight="false" outlineLevel="0" collapsed="false">
      <c r="A23" s="155" t="s">
        <v>171</v>
      </c>
      <c r="B23" s="155" t="n">
        <v>148</v>
      </c>
    </row>
    <row r="24" customFormat="false" ht="12.75" hidden="false" customHeight="false" outlineLevel="0" collapsed="false">
      <c r="A24" s="155" t="s">
        <v>172</v>
      </c>
      <c r="B24" s="155" t="n">
        <v>171</v>
      </c>
    </row>
    <row r="25" customFormat="false" ht="12.75" hidden="false" customHeight="false" outlineLevel="0" collapsed="false">
      <c r="A25" s="155" t="s">
        <v>173</v>
      </c>
      <c r="B25" s="155" t="n">
        <v>227</v>
      </c>
    </row>
    <row r="26" customFormat="false" ht="12.75" hidden="false" customHeight="false" outlineLevel="0" collapsed="false">
      <c r="A26" s="155" t="s">
        <v>174</v>
      </c>
      <c r="B26" s="155" t="n">
        <v>143</v>
      </c>
    </row>
    <row r="27" customFormat="false" ht="12.75" hidden="false" customHeight="false" outlineLevel="0" collapsed="false">
      <c r="A27" s="155" t="s">
        <v>175</v>
      </c>
      <c r="B27" s="155" t="n">
        <v>185</v>
      </c>
    </row>
    <row r="28" customFormat="false" ht="12.75" hidden="false" customHeight="false" outlineLevel="0" collapsed="false">
      <c r="A28" s="155" t="s">
        <v>176</v>
      </c>
      <c r="B28" s="155" t="n">
        <v>157</v>
      </c>
    </row>
    <row r="29" customFormat="false" ht="12.75" hidden="false" customHeight="false" outlineLevel="0" collapsed="false">
      <c r="A29" s="155" t="s">
        <v>177</v>
      </c>
      <c r="B29" s="155" t="n">
        <v>148</v>
      </c>
    </row>
    <row r="30" customFormat="false" ht="12.75" hidden="false" customHeight="false" outlineLevel="0" collapsed="false">
      <c r="A30" s="155" t="s">
        <v>178</v>
      </c>
      <c r="B30" s="155" t="n">
        <v>164</v>
      </c>
    </row>
    <row r="31" customFormat="false" ht="12.75" hidden="false" customHeight="false" outlineLevel="0" collapsed="false">
      <c r="A31" s="155" t="s">
        <v>179</v>
      </c>
      <c r="B31" s="155" t="s">
        <v>180</v>
      </c>
    </row>
    <row r="32" customFormat="false" ht="13.5" hidden="false" customHeight="false" outlineLevel="0" collapsed="false">
      <c r="A32" s="156" t="s">
        <v>181</v>
      </c>
      <c r="B32" s="156" t="n">
        <v>199</v>
      </c>
    </row>
  </sheetData>
  <sheetProtection sheet="true" password="8737" objects="true" scenarios="true"/>
  <printOptions headings="false" gridLines="false" gridLinesSet="true" horizontalCentered="false" verticalCentered="false"/>
  <pageMargins left="0.747916666666667" right="0.747916666666667" top="0.984027777777778" bottom="0.7875" header="0.511805555555556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2002-02-19T17:26:25Z</dcterms:created>
  <dc:creator>Socrates</dc:creator>
  <dc:description/>
  <dc:language>en-US</dc:language>
  <cp:lastModifiedBy>Socrates</cp:lastModifiedBy>
  <cp:lastPrinted>2003-03-13T15:30:34Z</cp:lastPrinted>
  <dcterms:modified xsi:type="dcterms:W3CDTF">2003-02-16T22:26:57Z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r8>988308801</vt:r8>
  </property>
  <property fmtid="{D5CDD505-2E9C-101B-9397-08002B2CF9AE}" pid="3" name="_AuthorEmail">
    <vt:lpwstr>diablo29@wanadoo.be</vt:lpwstr>
  </property>
  <property fmtid="{D5CDD505-2E9C-101B-9397-08002B2CF9AE}" pid="4" name="_AuthorEmailDisplayName">
    <vt:lpwstr>Paul G.</vt:lpwstr>
  </property>
  <property fmtid="{D5CDD505-2E9C-101B-9397-08002B2CF9AE}" pid="5" name="_EmailSubject">
    <vt:lpwstr>New Excel Tool</vt:lpwstr>
  </property>
  <property fmtid="{D5CDD505-2E9C-101B-9397-08002B2CF9AE}" pid="6" name="_PreviousAdHocReviewCycleID">
    <vt:r8>805576228</vt:r8>
  </property>
</Properties>
</file>