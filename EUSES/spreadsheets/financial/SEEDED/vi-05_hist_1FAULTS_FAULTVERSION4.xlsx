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FE668338-6979-44B5-8E96-5876B198038F}" xr6:coauthVersionLast="47" xr6:coauthVersionMax="47" xr10:uidLastSave="{00000000-0000-0000-0000-000000000000}"/>
  <bookViews>
    <workbookView xWindow="390" yWindow="390" windowWidth="21600" windowHeight="11295" xr2:uid="{B1303720-10CE-4371-975A-74E57797C88A}"/>
  </bookViews>
  <sheets>
    <sheet name="2003-04 per credit hour" sheetId="7" r:id="rId1"/>
    <sheet name="Spring 2003 per credit hour" sheetId="6" r:id="rId2"/>
    <sheet name="Fall 2002 per credit hour" sheetId="4" r:id="rId3"/>
  </sheets>
  <definedNames>
    <definedName name="_xlnm.Print_Area" localSheetId="0">'2003-04 per credit hour'!$A$1:$H$28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7" l="1"/>
  <c r="H20" i="7"/>
  <c r="H21" i="7"/>
  <c r="H25" i="7"/>
  <c r="G14" i="7"/>
  <c r="G20" i="7"/>
  <c r="G21" i="7"/>
  <c r="G25" i="7"/>
  <c r="F14" i="7"/>
  <c r="F20" i="7"/>
  <c r="F21" i="7"/>
  <c r="F25" i="7"/>
  <c r="D14" i="7"/>
  <c r="D20" i="7"/>
  <c r="D21" i="7"/>
  <c r="D25" i="7"/>
  <c r="C14" i="7"/>
  <c r="C20" i="7"/>
  <c r="C21" i="7"/>
  <c r="C25" i="7"/>
  <c r="B14" i="7"/>
  <c r="B21" i="7" s="1"/>
  <c r="B25" i="7" s="1"/>
  <c r="B20" i="7"/>
  <c r="C14" i="4"/>
  <c r="C20" i="4"/>
  <c r="C21" i="4"/>
  <c r="C25" i="4"/>
  <c r="D14" i="4"/>
  <c r="D20" i="4"/>
  <c r="D21" i="4"/>
  <c r="D25" i="4"/>
  <c r="F14" i="4"/>
  <c r="F21" i="4" s="1"/>
  <c r="F25" i="4" s="1"/>
  <c r="F20" i="4"/>
  <c r="G14" i="4"/>
  <c r="G20" i="4"/>
  <c r="G21" i="4"/>
  <c r="G25" i="4"/>
  <c r="H14" i="4"/>
  <c r="H20" i="4"/>
  <c r="H21" i="4"/>
  <c r="H25" i="4"/>
  <c r="B14" i="4"/>
  <c r="B20" i="4"/>
  <c r="B21" i="4"/>
  <c r="B25" i="4"/>
  <c r="C14" i="6"/>
  <c r="C20" i="6"/>
  <c r="C21" i="6"/>
  <c r="C25" i="6"/>
  <c r="D14" i="6"/>
  <c r="D20" i="6"/>
  <c r="D21" i="6"/>
  <c r="D25" i="6"/>
  <c r="F14" i="6"/>
  <c r="F20" i="6"/>
  <c r="F21" i="6"/>
  <c r="F25" i="6"/>
  <c r="G14" i="6"/>
  <c r="G20" i="6"/>
  <c r="G21" i="6"/>
  <c r="G25" i="6"/>
  <c r="H14" i="6"/>
  <c r="H21" i="6" s="1"/>
  <c r="H25" i="6" s="1"/>
  <c r="H20" i="6"/>
  <c r="B14" i="6"/>
  <c r="B20" i="6"/>
  <c r="B21" i="6"/>
  <c r="B25" i="6"/>
</calcChain>
</file>

<file path=xl/sharedStrings.xml><?xml version="1.0" encoding="utf-8"?>
<sst xmlns="http://schemas.openxmlformats.org/spreadsheetml/2006/main" count="105" uniqueCount="35">
  <si>
    <t>University of Florida</t>
  </si>
  <si>
    <t>Undergraduate Courses</t>
  </si>
  <si>
    <t>Graduate Courses</t>
  </si>
  <si>
    <t>(0000-4999)</t>
  </si>
  <si>
    <t>(5000-9999)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</si>
  <si>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</si>
  <si>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</si>
  <si>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</si>
  <si>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</si>
  <si>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</si>
  <si>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     Activity and Service Fee </t>
  </si>
  <si>
    <t xml:space="preserve">     Athletic Fee </t>
  </si>
  <si>
    <t xml:space="preserve">     Health Fee </t>
  </si>
  <si>
    <t xml:space="preserve">Subtotal Local Fees </t>
  </si>
  <si>
    <t xml:space="preserve">Total Florida Resident Rate/Credit Hour </t>
  </si>
  <si>
    <t xml:space="preserve">     Non-Resident Student </t>
  </si>
  <si>
    <t xml:space="preserve">     Non-Resident Student Financial Aid </t>
  </si>
  <si>
    <t>Total Non-Resident Rate/Credit Hour</t>
  </si>
  <si>
    <t>Medical</t>
  </si>
  <si>
    <t>Dental</t>
  </si>
  <si>
    <t>Veterinary</t>
  </si>
  <si>
    <t xml:space="preserve">State Components:      </t>
  </si>
  <si>
    <t>*Medical, Dental, and Veterinary Medical students are assessed tuition and fees for the academic year which are payable in two</t>
  </si>
  <si>
    <t>installments, in the Fall and in the Spring.</t>
  </si>
  <si>
    <t xml:space="preserve">Local Fees: </t>
  </si>
  <si>
    <t xml:space="preserve">Non-Resident:    </t>
  </si>
  <si>
    <t>Per Credit Hour</t>
  </si>
  <si>
    <t>Per Term*</t>
  </si>
  <si>
    <t xml:space="preserve">   Law   
 Courses</t>
  </si>
  <si>
    <t>TABLE VI-5</t>
  </si>
  <si>
    <t xml:space="preserve">     Transportation Access</t>
  </si>
  <si>
    <t xml:space="preserve"> </t>
  </si>
  <si>
    <t>FALL 2002 Student Tuition &amp; Fees</t>
  </si>
  <si>
    <t>SPRING 2003 Student Tuition &amp; Fees</t>
  </si>
  <si>
    <t>2003-2004 Student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</si>
</sst>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9">
    <font>
      <sz val="10"/>
      <name val="Palatino"/>
    </font>
    <font>
      <sz val="10"/>
      <name val="Palatino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1"/>
      <name val="Palatino"/>
      <family val="1"/>
    </font>
    <font>
      <b/>
      <sz val="9"/>
      <name val="Palatino"/>
      <family val="1"/>
    </font>
    <font>
      <u/>
      <sz val="10"/>
      <name val="Palatino"/>
      <family val="1"/>
    </font>
    <font>
      <sz val="10"/>
      <name val="Palatino"/>
      <family val="1"/>
    </font>
    <font>
      <sz val="8"/>
      <name val="Palatino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167" fontId="2" fillId="3" borderId="0" xfId="0" applyNumberFormat="1" applyFont="1" applyFill="1"/>
    <xf numFmtId="0" fontId="3" fillId="2" borderId="1" xfId="0" applyFont="1" applyFill="1" applyBorder="1"/>
    <xf numFmtId="167" fontId="2" fillId="3" borderId="1" xfId="0" applyNumberFormat="1" applyFont="1" applyFill="1" applyBorder="1"/>
    <xf numFmtId="0" fontId="0" fillId="4" borderId="0" xfId="0" applyFill="1" applyBorder="1"/>
    <xf numFmtId="4" fontId="0" fillId="4" borderId="0" xfId="0" applyNumberFormat="1" applyFill="1" applyBorder="1"/>
    <xf numFmtId="0" fontId="4" fillId="4" borderId="0" xfId="0" applyFont="1" applyFill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2" fillId="4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4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/>
    <xf numFmtId="39" fontId="0" fillId="4" borderId="0" xfId="1" applyNumberFormat="1" applyFont="1" applyFill="1"/>
    <xf numFmtId="39" fontId="0" fillId="4" borderId="1" xfId="1" applyNumberFormat="1" applyFont="1" applyFill="1" applyBorder="1"/>
    <xf numFmtId="39" fontId="6" fillId="4" borderId="0" xfId="1" applyNumberFormat="1" applyFont="1" applyFill="1"/>
    <xf numFmtId="39" fontId="6" fillId="4" borderId="1" xfId="1" applyNumberFormat="1" applyFont="1" applyFill="1" applyBorder="1"/>
    <xf numFmtId="0" fontId="2" fillId="4" borderId="0" xfId="0" applyFont="1" applyFill="1"/>
    <xf numFmtId="39" fontId="0" fillId="4" borderId="0" xfId="0" applyNumberFormat="1" applyFill="1"/>
    <xf numFmtId="4" fontId="0" fillId="4" borderId="1" xfId="0" applyNumberFormat="1" applyFill="1" applyBorder="1"/>
    <xf numFmtId="4" fontId="0" fillId="4" borderId="0" xfId="0" applyNumberFormat="1" applyFill="1"/>
    <xf numFmtId="2" fontId="0" fillId="4" borderId="0" xfId="0" applyNumberFormat="1" applyFill="1"/>
    <xf numFmtId="39" fontId="7" fillId="4" borderId="0" xfId="1" applyNumberFormat="1" applyFont="1" applyFill="1"/>
    <xf numFmtId="39" fontId="7" fillId="4" borderId="1" xfId="1" applyNumberFormat="1" applyFont="1" applyFill="1" applyBorder="1"/>
    <xf numFmtId="2" fontId="0" fillId="4" borderId="1" xfId="0" applyNumberFormat="1" applyFill="1" applyBorder="1"/>
    <xf numFmtId="0" fontId="0" fillId="0" borderId="0" xfId="0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17E9-1ED8-4002-A519-A7E622EAFBFA}">
  <dimension ref="A1:T28"/>
  <sheetViews>
    <sheetView tabSelected="1" workbookViewId="0">
      <selection activeCell="A49" sqref="A49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34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63.41</v>
      </c>
      <c r="C10" s="21">
        <v>170.63</v>
      </c>
      <c r="D10" s="21">
        <v>193.92</v>
      </c>
      <c r="F10" s="22">
        <v>6962.69</v>
      </c>
      <c r="G10" s="21">
        <v>6054.54</v>
      </c>
      <c r="H10" s="21">
        <v>5085.75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3.17</v>
      </c>
      <c r="C13" s="23">
        <v>8.5299999999999994</v>
      </c>
      <c r="D13" s="23">
        <v>9.69</v>
      </c>
      <c r="F13" s="24">
        <v>348.13</v>
      </c>
      <c r="G13" s="23">
        <v>302.72000000000003</v>
      </c>
      <c r="H13" s="23">
        <v>254.28</v>
      </c>
    </row>
    <row r="14" spans="1:8">
      <c r="A14" s="25" t="s">
        <v>9</v>
      </c>
      <c r="B14" s="26">
        <f>SUM(B10:B13)</f>
        <v>71.339999999999989</v>
      </c>
      <c r="C14" s="26">
        <f>SUM(C10:C13)</f>
        <v>183.92</v>
      </c>
      <c r="D14" s="26">
        <f>SUM(D10:D13)</f>
        <v>208.36999999999998</v>
      </c>
      <c r="F14" s="27">
        <f>SUM(F10:F13)</f>
        <v>7406.0199999999995</v>
      </c>
      <c r="G14" s="8">
        <f>SUM(G10:G13)</f>
        <v>6452.46</v>
      </c>
      <c r="H14" s="8">
        <f>SUM(H10:H13)</f>
        <v>5435.23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8.16</v>
      </c>
      <c r="C16" s="21">
        <v>8.16</v>
      </c>
      <c r="D16" s="21">
        <v>8.16</v>
      </c>
      <c r="F16" s="22">
        <v>163.19999999999999</v>
      </c>
      <c r="G16" s="21">
        <v>163.19999999999999</v>
      </c>
      <c r="H16" s="21">
        <v>163.19999999999999</v>
      </c>
    </row>
    <row r="17" spans="1:2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20">
      <c r="A18" s="10" t="s">
        <v>12</v>
      </c>
      <c r="B18" s="30">
        <v>7.69</v>
      </c>
      <c r="C18" s="30">
        <v>7.69</v>
      </c>
      <c r="D18" s="30">
        <v>7.69</v>
      </c>
      <c r="F18" s="31">
        <v>153.80000000000001</v>
      </c>
      <c r="G18" s="30">
        <v>153.80000000000001</v>
      </c>
      <c r="H18" s="30">
        <v>153.80000000000001</v>
      </c>
    </row>
    <row r="19" spans="1:20">
      <c r="A19" s="10" t="s">
        <v>30</v>
      </c>
      <c r="B19" s="23">
        <v>3.59</v>
      </c>
      <c r="C19" s="23">
        <v>3.59</v>
      </c>
      <c r="D19" s="23">
        <v>3.59</v>
      </c>
      <c r="F19" s="24">
        <v>71.8</v>
      </c>
      <c r="G19" s="23">
        <v>71.8</v>
      </c>
      <c r="H19" s="23">
        <v>71.8</v>
      </c>
    </row>
    <row r="20" spans="1:20">
      <c r="A20" s="25" t="s">
        <v>13</v>
      </c>
      <c r="B20" s="29">
        <f>SUM(B16:B19)</f>
        <v>21.34</v>
      </c>
      <c r="C20" s="29">
        <f t="shared" ref="C20:H20" si="0">SUM(C16:C19)</f>
        <v>21.34</v>
      </c>
      <c r="D20" s="29">
        <f t="shared" si="0"/>
        <v>21.34</v>
      </c>
      <c r="E20" s="29" t="s">
        <v>31</v>
      </c>
      <c r="F20" s="32">
        <f t="shared" si="0"/>
        <v>426.8</v>
      </c>
      <c r="G20" s="29">
        <f t="shared" si="0"/>
        <v>426.8</v>
      </c>
      <c r="H20" s="29">
        <f t="shared" si="0"/>
        <v>426.8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customFormat="1">
      <c r="A21" s="3" t="s">
        <v>14</v>
      </c>
      <c r="B21" s="4">
        <f>SUM(B14,B20)</f>
        <v>92.679999999999993</v>
      </c>
      <c r="C21" s="4">
        <f t="shared" ref="C21:H21" si="1">SUM(C14,C20)</f>
        <v>205.26</v>
      </c>
      <c r="D21" s="4">
        <f t="shared" si="1"/>
        <v>229.70999999999998</v>
      </c>
      <c r="E21" s="4" t="s">
        <v>31</v>
      </c>
      <c r="F21" s="6">
        <f t="shared" si="1"/>
        <v>7832.82</v>
      </c>
      <c r="G21" s="4">
        <f t="shared" si="1"/>
        <v>6879.26</v>
      </c>
      <c r="H21" s="4">
        <f t="shared" si="1"/>
        <v>5862.03</v>
      </c>
      <c r="J21" s="10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>
      <c r="A22" s="10" t="s">
        <v>25</v>
      </c>
      <c r="F22" s="20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10" t="s">
        <v>15</v>
      </c>
      <c r="B23" s="21">
        <v>350.1</v>
      </c>
      <c r="C23" s="21">
        <v>542.16999999999996</v>
      </c>
      <c r="D23" s="21">
        <v>564.73</v>
      </c>
      <c r="F23" s="22">
        <v>13078.34</v>
      </c>
      <c r="G23" s="21">
        <v>11372.44</v>
      </c>
      <c r="H23" s="21">
        <v>9552.86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>
      <c r="A24" s="10" t="s">
        <v>16</v>
      </c>
      <c r="B24" s="23">
        <v>17.5</v>
      </c>
      <c r="C24" s="23">
        <v>27.1</v>
      </c>
      <c r="D24" s="23">
        <v>28.23</v>
      </c>
      <c r="F24" s="24">
        <v>653.91</v>
      </c>
      <c r="G24" s="23">
        <v>568.62</v>
      </c>
      <c r="H24" s="23">
        <v>477.64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customFormat="1">
      <c r="A25" s="3" t="s">
        <v>17</v>
      </c>
      <c r="B25" s="4">
        <f>SUM(B21:B24)</f>
        <v>460.28000000000003</v>
      </c>
      <c r="C25" s="4">
        <f t="shared" ref="C25:H25" si="2">SUM(C21:C24)</f>
        <v>774.53</v>
      </c>
      <c r="D25" s="4">
        <f t="shared" si="2"/>
        <v>822.67000000000007</v>
      </c>
      <c r="E25" s="4" t="s">
        <v>31</v>
      </c>
      <c r="F25" s="6">
        <f t="shared" si="2"/>
        <v>21565.07</v>
      </c>
      <c r="G25" s="4">
        <f t="shared" si="2"/>
        <v>18820.32</v>
      </c>
      <c r="H25" s="4">
        <f t="shared" si="2"/>
        <v>15892.529999999999</v>
      </c>
      <c r="J25" s="10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7" spans="1:20">
      <c r="A27" s="10" t="s">
        <v>22</v>
      </c>
    </row>
    <row r="28" spans="1:20">
      <c r="A28" s="10" t="s">
        <v>23</v>
      </c>
    </row>
  </sheetData>
  <mergeCells count="3">
    <mergeCell ref="A1:H1"/>
    <mergeCell ref="A2:H2"/>
    <mergeCell ref="A3:H3"/>
  </mergeCells>
  <phoneticPr fontId="8" type="noConversion"/>
  <printOptions horizontalCentered="1"/>
  <pageMargins left="0" right="0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2B6E-2A02-421F-B126-90D7F4CD6C73}">
  <dimension ref="A1:K28"/>
  <sheetViews>
    <sheetView workbookViewId="0">
      <selection activeCell="A33" sqref="A33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33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5227.76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261.39</v>
      </c>
      <c r="H13" s="23">
        <v>219.55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1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1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1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1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1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</v>
      </c>
      <c r="I21" s="7"/>
      <c r="J21" s="7"/>
      <c r="K21" s="7"/>
    </row>
    <row r="22" spans="1:11">
      <c r="A22" s="10" t="s">
        <v>25</v>
      </c>
      <c r="F22" s="20"/>
      <c r="I22" s="7"/>
      <c r="J22" s="7"/>
      <c r="K22" s="7"/>
    </row>
    <row r="23" spans="1:11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11456.06</v>
      </c>
      <c r="G23" s="21">
        <v>10394.879999999999</v>
      </c>
      <c r="H23" s="21">
        <v>8367.89</v>
      </c>
      <c r="I23" s="7"/>
      <c r="J23" s="7"/>
      <c r="K23" s="7"/>
    </row>
    <row r="24" spans="1:11">
      <c r="A24" s="10" t="s">
        <v>16</v>
      </c>
      <c r="B24" s="23">
        <v>15.02</v>
      </c>
      <c r="C24" s="23">
        <v>23.25</v>
      </c>
      <c r="D24" s="23">
        <v>24.22</v>
      </c>
      <c r="F24" s="24">
        <v>572.79499999999996</v>
      </c>
      <c r="G24" s="23">
        <v>519.74</v>
      </c>
      <c r="H24" s="23">
        <v>418.39</v>
      </c>
      <c r="I24" s="7"/>
      <c r="J24" s="7"/>
      <c r="K24" s="7"/>
    </row>
    <row r="25" spans="1:11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</v>
      </c>
      <c r="H25" s="4">
        <f t="shared" si="2"/>
        <v>13890.289999999999</v>
      </c>
      <c r="I25" s="7"/>
      <c r="J25" s="7"/>
      <c r="K25" s="7"/>
    </row>
    <row r="27" spans="1:11">
      <c r="A27" s="10" t="s">
        <v>22</v>
      </c>
    </row>
    <row r="28" spans="1:11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74D9-A982-4EA1-9C93-1286133DA441}">
  <dimension ref="A1:J28"/>
  <sheetViews>
    <sheetView workbookViewId="0">
      <selection activeCell="A54" sqref="A54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32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5227.7700000000004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261.38</v>
      </c>
      <c r="H13" s="23">
        <v>219.55500000000001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SUM(H10:H12)</f>
        <v>4486.46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0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0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0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0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4884.46</v>
      </c>
      <c r="J21" s="10"/>
    </row>
    <row r="22" spans="1:10">
      <c r="A22" s="10" t="s">
        <v>25</v>
      </c>
      <c r="F22" s="20"/>
    </row>
    <row r="23" spans="1:10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11456.07</v>
      </c>
      <c r="G23" s="21">
        <v>10394.885</v>
      </c>
      <c r="H23" s="21">
        <v>8367.89</v>
      </c>
    </row>
    <row r="24" spans="1:10">
      <c r="A24" s="10" t="s">
        <v>16</v>
      </c>
      <c r="B24" s="23">
        <v>15.02</v>
      </c>
      <c r="C24" s="23">
        <v>23.25</v>
      </c>
      <c r="D24" s="23">
        <v>24.22</v>
      </c>
      <c r="F24" s="24">
        <v>572.78499999999997</v>
      </c>
      <c r="G24" s="23">
        <v>519.74</v>
      </c>
      <c r="H24" s="23">
        <v>418.39</v>
      </c>
    </row>
    <row r="25" spans="1:10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16896.975000000002</v>
      </c>
      <c r="H25" s="4">
        <f t="shared" si="2"/>
        <v>13670.739999999998</v>
      </c>
      <c r="J25" s="10"/>
    </row>
    <row r="27" spans="1:10">
      <c r="A27" s="10" t="s">
        <v>22</v>
      </c>
    </row>
    <row r="28" spans="1:10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2003-04 per credit hour</vt:lpstr>
      <vt:lpstr>Spring 2003 per credit hour</vt:lpstr>
      <vt:lpstr>Fall 2002 per credit hour</vt:lpstr>
      <vt:lpstr>'2003-04 per credit hour'!Druckbereich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King</dc:creator>
  <cp:lastModifiedBy>Kaufmann Timon</cp:lastModifiedBy>
  <cp:lastPrinted>2003-06-26T19:46:41Z</cp:lastPrinted>
  <dcterms:created xsi:type="dcterms:W3CDTF">2001-01-03T20:02:03Z</dcterms:created>
  <dcterms:modified xsi:type="dcterms:W3CDTF">2026-03-11T23:07:08Z</dcterms:modified>
</cp:coreProperties>
</file>