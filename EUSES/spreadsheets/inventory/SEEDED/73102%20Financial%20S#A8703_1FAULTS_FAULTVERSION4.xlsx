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5D17B24-94ED-4F78-B8BB-30348D20654B}" xr6:coauthVersionLast="47" xr6:coauthVersionMax="47" xr10:uidLastSave="{00000000-0000-0000-0000-000000000000}"/>
  <bookViews>
    <workbookView xWindow="-120" yWindow="-120" windowWidth="29040" windowHeight="15720" xr2:uid="{09A27DCD-77F0-417F-87F8-46779983EB45}"/>
  </bookViews>
  <sheets>
    <sheet name="A" sheetId="1" r:id="rId1"/>
    <sheet name="B" sheetId="2" r:id="rId2"/>
  </sheets>
  <definedNames>
    <definedName name="ACCOUNT">A!$G$74</definedName>
    <definedName name="COMPANY">A!$H$70</definedName>
    <definedName name="_xlnm.Print_Area" localSheetId="0">A!$A$1:$E$61</definedName>
    <definedName name="_xlnm.Print_Area">A!$A$1:$E$61</definedName>
    <definedName name="EXPENSE">A!$I$63</definedName>
    <definedName name="EXTENSION">A!$I$62</definedName>
    <definedName name="MAIN">A!$I$64</definedName>
    <definedName name="MASK">A!$I$74</definedName>
    <definedName name="PERIOD">A!$H$69</definedName>
    <definedName name="PERIOD1">A!$H$73</definedName>
    <definedName name="PRINT_AREA_MI">A!$A$1:$E$277</definedName>
    <definedName name="TYPE">A!$I$65</definedName>
    <definedName name="TYPE2">A!$H$67</definedName>
    <definedName name="YEAR">A!$H$68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D25" i="1"/>
  <c r="E25" i="1"/>
  <c r="D45" i="1"/>
  <c r="E45" i="1"/>
  <c r="D54" i="1"/>
  <c r="E54" i="1"/>
  <c r="G63" i="1"/>
  <c r="G64" i="1"/>
  <c r="C74" i="1"/>
  <c r="D74" i="1"/>
  <c r="D83" i="1" s="1"/>
  <c r="E74" i="1"/>
  <c r="E83" i="1" s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C86" i="1"/>
  <c r="D86" i="1"/>
  <c r="E86" i="1"/>
  <c r="C87" i="1"/>
  <c r="D87" i="1"/>
  <c r="E87" i="1"/>
  <c r="C88" i="1"/>
  <c r="D88" i="1"/>
  <c r="E88" i="1"/>
  <c r="C89" i="1"/>
  <c r="C96" i="1" s="1"/>
  <c r="D89" i="1"/>
  <c r="D96" i="1" s="1"/>
  <c r="D10" i="1" s="1"/>
  <c r="E89" i="1"/>
  <c r="E96" i="1" s="1"/>
  <c r="E10" i="1" s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9" i="1"/>
  <c r="D99" i="1"/>
  <c r="D11" i="1" s="1"/>
  <c r="E99" i="1"/>
  <c r="E11" i="1" s="1"/>
  <c r="C100" i="1"/>
  <c r="C114" i="1" s="1"/>
  <c r="D100" i="1"/>
  <c r="D114" i="1" s="1"/>
  <c r="E100" i="1"/>
  <c r="E12" i="1" s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D13" i="1" s="1"/>
  <c r="E108" i="1"/>
  <c r="E13" i="1" s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7" i="1"/>
  <c r="D117" i="1"/>
  <c r="E117" i="1"/>
  <c r="C118" i="1"/>
  <c r="C132" i="1" s="1"/>
  <c r="D118" i="1"/>
  <c r="D132" i="1" s="1"/>
  <c r="D14" i="1" s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E132" i="1" s="1"/>
  <c r="E14" i="1" s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5" i="1"/>
  <c r="C139" i="1" s="1"/>
  <c r="D135" i="1"/>
  <c r="E135" i="1"/>
  <c r="C136" i="1"/>
  <c r="D136" i="1"/>
  <c r="E136" i="1"/>
  <c r="C137" i="1"/>
  <c r="D137" i="1"/>
  <c r="E137" i="1"/>
  <c r="C138" i="1"/>
  <c r="D138" i="1"/>
  <c r="E138" i="1"/>
  <c r="D139" i="1"/>
  <c r="D15" i="1" s="1"/>
  <c r="E139" i="1"/>
  <c r="C142" i="1"/>
  <c r="D142" i="1"/>
  <c r="E142" i="1"/>
  <c r="E144" i="1" s="1"/>
  <c r="C143" i="1"/>
  <c r="D143" i="1"/>
  <c r="E143" i="1"/>
  <c r="C144" i="1"/>
  <c r="D144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D16" i="1" s="1"/>
  <c r="E152" i="1"/>
  <c r="E16" i="1" s="1"/>
  <c r="C155" i="1"/>
  <c r="C162" i="1" s="1"/>
  <c r="D155" i="1"/>
  <c r="D26" i="1" s="1"/>
  <c r="E155" i="1"/>
  <c r="E26" i="1" s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D28" i="1" s="1"/>
  <c r="E161" i="1"/>
  <c r="E28" i="1" s="1"/>
  <c r="C165" i="1"/>
  <c r="C170" i="1" s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D170" i="1"/>
  <c r="D32" i="1" s="1"/>
  <c r="E170" i="1"/>
  <c r="E32" i="1" s="1"/>
  <c r="C173" i="1"/>
  <c r="C175" i="1" s="1"/>
  <c r="D173" i="1"/>
  <c r="D175" i="1" s="1"/>
  <c r="D36" i="1" s="1"/>
  <c r="E173" i="1"/>
  <c r="E175" i="1" s="1"/>
  <c r="E36" i="1" s="1"/>
  <c r="C174" i="1"/>
  <c r="D174" i="1"/>
  <c r="E174" i="1"/>
  <c r="C183" i="1"/>
  <c r="D183" i="1"/>
  <c r="E183" i="1"/>
  <c r="C184" i="1"/>
  <c r="D184" i="1"/>
  <c r="E184" i="1"/>
  <c r="C185" i="1"/>
  <c r="C199" i="1" s="1"/>
  <c r="D185" i="1"/>
  <c r="D199" i="1" s="1"/>
  <c r="E185" i="1"/>
  <c r="E199" i="1" s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202" i="1"/>
  <c r="C209" i="1" s="1"/>
  <c r="D202" i="1"/>
  <c r="D209" i="1" s="1"/>
  <c r="D44" i="1" s="1"/>
  <c r="E202" i="1"/>
  <c r="E209" i="1" s="1"/>
  <c r="E44" i="1" s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14" i="1"/>
  <c r="C221" i="1" s="1"/>
  <c r="C255" i="1" s="1"/>
  <c r="D214" i="1"/>
  <c r="D221" i="1" s="1"/>
  <c r="E214" i="1"/>
  <c r="E221" i="1" s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6" i="1"/>
  <c r="C253" i="1" s="1"/>
  <c r="D226" i="1"/>
  <c r="D253" i="1" s="1"/>
  <c r="E226" i="1"/>
  <c r="E253" i="1" s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8" i="1"/>
  <c r="C260" i="1" s="1"/>
  <c r="D258" i="1"/>
  <c r="D260" i="1" s="1"/>
  <c r="D47" i="1" s="1"/>
  <c r="E258" i="1"/>
  <c r="E260" i="1" s="1"/>
  <c r="E47" i="1" s="1"/>
  <c r="C259" i="1"/>
  <c r="D259" i="1"/>
  <c r="E259" i="1"/>
  <c r="C267" i="1"/>
  <c r="D267" i="1"/>
  <c r="E267" i="1"/>
  <c r="C268" i="1"/>
  <c r="C275" i="1" s="1"/>
  <c r="C281" i="1" s="1"/>
  <c r="D268" i="1"/>
  <c r="D275" i="1" s="1"/>
  <c r="D281" i="1" s="1"/>
  <c r="E268" i="1"/>
  <c r="E275" i="1" s="1"/>
  <c r="E281" i="1" s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D52" i="1" s="1"/>
  <c r="D57" i="1" s="1"/>
  <c r="E273" i="1"/>
  <c r="E52" i="1" s="1"/>
  <c r="E57" i="1" s="1"/>
  <c r="C274" i="1"/>
  <c r="D274" i="1"/>
  <c r="E274" i="1"/>
  <c r="C277" i="1"/>
  <c r="D277" i="1"/>
  <c r="E277" i="1"/>
  <c r="C278" i="1"/>
  <c r="D278" i="1"/>
  <c r="D55" i="1" s="1"/>
  <c r="E278" i="1"/>
  <c r="E55" i="1" s="1"/>
  <c r="C279" i="1"/>
  <c r="D279" i="1"/>
  <c r="E279" i="1"/>
  <c r="H281" i="1"/>
  <c r="H282" i="1"/>
  <c r="H283" i="1"/>
  <c r="H285" i="1"/>
  <c r="H286" i="1"/>
  <c r="H287" i="1"/>
  <c r="E9" i="1" l="1"/>
  <c r="E262" i="1"/>
  <c r="E283" i="1" s="1"/>
  <c r="D262" i="1"/>
  <c r="D283" i="1" s="1"/>
  <c r="H290" i="1" s="1"/>
  <c r="E15" i="1"/>
  <c r="C262" i="1"/>
  <c r="C283" i="1" s="1"/>
  <c r="E255" i="1"/>
  <c r="E46" i="1"/>
  <c r="C178" i="1"/>
  <c r="D9" i="1"/>
  <c r="D46" i="1"/>
  <c r="D255" i="1"/>
  <c r="E30" i="1"/>
  <c r="E34" i="1" s="1"/>
  <c r="D30" i="1"/>
  <c r="D34" i="1" s="1"/>
  <c r="E162" i="1"/>
  <c r="D162" i="1"/>
  <c r="D178" i="1" s="1"/>
  <c r="H289" i="1" s="1"/>
  <c r="H291" i="1" s="1"/>
  <c r="E114" i="1"/>
  <c r="E178" i="1" s="1"/>
  <c r="E43" i="1"/>
  <c r="E49" i="1" s="1"/>
  <c r="E59" i="1" s="1"/>
  <c r="D12" i="1"/>
  <c r="D43" i="1"/>
  <c r="D49" i="1" s="1"/>
  <c r="D59" i="1" s="1"/>
  <c r="D18" i="1" l="1"/>
  <c r="D38" i="1" s="1"/>
  <c r="E18" i="1"/>
  <c r="E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74" authorId="0" shapeId="0" xr:uid="{AF2DA9DB-B5B4-4EDB-9496-3AEDA23CF6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4" authorId="0" shapeId="0" xr:uid="{372560AF-489A-4D2F-AF5B-4B9C8A8D5D2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4" authorId="0" shapeId="0" xr:uid="{7ADE684F-0CBA-4621-BA11-4CCE88D84D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5" authorId="0" shapeId="0" xr:uid="{2C9B836A-B0CE-406F-855E-38B77CD0FB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5" authorId="0" shapeId="0" xr:uid="{D906B1F6-F51C-4A79-9420-4DD13FA4D2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5" authorId="0" shapeId="0" xr:uid="{8D1F56A1-9319-41A5-8F04-6774804230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6" authorId="0" shapeId="0" xr:uid="{CBB44157-E4AA-4121-9EE7-119E7AA027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6" authorId="0" shapeId="0" xr:uid="{D46660C8-734F-4D0A-8CB1-996B9CD0144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6" authorId="0" shapeId="0" xr:uid="{47155F2E-AAF7-4AC9-A045-84D06DEA94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7" authorId="0" shapeId="0" xr:uid="{933A3046-8B7C-4556-A6E5-351552203A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7" authorId="0" shapeId="0" xr:uid="{73B55EA1-9C09-44E5-B372-9CA9FA23A60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7" authorId="0" shapeId="0" xr:uid="{3C14274D-A889-4159-A4BD-E52B05D6ED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8" authorId="0" shapeId="0" xr:uid="{3F409872-E5EB-4AA7-BA5D-A257E2655A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8" authorId="0" shapeId="0" xr:uid="{A36BE38E-4DCD-4821-9576-52D801BD5D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8" authorId="0" shapeId="0" xr:uid="{1C7EE554-C6C3-4A8C-99B6-1C5A62B24D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9" authorId="0" shapeId="0" xr:uid="{DFE76F48-D55A-4374-9422-585AA356F6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9" authorId="0" shapeId="0" xr:uid="{7830F07B-409B-431C-AF68-8F8D6564CAD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9" authorId="0" shapeId="0" xr:uid="{6241BC1C-FB15-4D33-8409-6261F53BEE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0" authorId="0" shapeId="0" xr:uid="{BA8D53E1-BEAE-4226-80BA-5A598A3D07E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0" authorId="0" shapeId="0" xr:uid="{B05F9F72-8408-4D81-9EA7-70B4ACF8C58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0" authorId="0" shapeId="0" xr:uid="{8CC8D09D-7149-4FE3-8671-5382FE1C8F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1" authorId="0" shapeId="0" xr:uid="{1206245A-6ED5-4D0B-AC87-C77B2119FC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1" authorId="0" shapeId="0" xr:uid="{5D3600B0-660B-4BA3-B375-80A5623856A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1" authorId="0" shapeId="0" xr:uid="{3EB82D40-AB81-4BB7-BA41-A3CA7D2123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2" authorId="0" shapeId="0" xr:uid="{9140EECC-EA60-4262-A4A4-27CF6FA63E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2" authorId="0" shapeId="0" xr:uid="{EE7DD1C4-2072-4031-B1D3-D99739ACA9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2" authorId="0" shapeId="0" xr:uid="{B9672D66-536A-4F00-89BD-96DED32658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6" authorId="0" shapeId="0" xr:uid="{769D34C5-65B8-49FD-941C-07492E4E59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6" authorId="0" shapeId="0" xr:uid="{FBA797FD-3DE1-463B-9AAA-9E55637BA2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6" authorId="0" shapeId="0" xr:uid="{C8901AD6-0262-45EF-B0D5-96F4020615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7" authorId="0" shapeId="0" xr:uid="{4E2446F2-1F1E-4BA0-AB3D-E42B0E7C83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7" authorId="0" shapeId="0" xr:uid="{6241F8CB-2A75-4342-AD17-6C60804760A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7" authorId="0" shapeId="0" xr:uid="{5A37F2F0-0360-4E7C-9F16-72DBA1474E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8" authorId="0" shapeId="0" xr:uid="{B010FFA4-93ED-46BC-A8DD-E2C37B64DE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8" authorId="0" shapeId="0" xr:uid="{0A039CE3-53CF-4845-81F2-4FD21B590E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8" authorId="0" shapeId="0" xr:uid="{B6F45AB3-0355-4004-8B2F-34215DC012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9" authorId="0" shapeId="0" xr:uid="{81744350-284A-4EC2-9E89-FD67243F71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9" authorId="0" shapeId="0" xr:uid="{4B1BFEA7-FDBA-481B-A1D8-4BC78F58D51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9" authorId="0" shapeId="0" xr:uid="{ACF3FC06-91F2-4C5B-8F6A-3149C981FE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0" authorId="0" shapeId="0" xr:uid="{4FF8EBA1-E42C-4B19-BC2B-2E4EDCC7DE5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0" authorId="0" shapeId="0" xr:uid="{6A3F09A8-9F89-4559-84E1-44A4250FAA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0" authorId="0" shapeId="0" xr:uid="{40CFFFDB-615B-4CA8-9212-FF8290DAAE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1" authorId="0" shapeId="0" xr:uid="{710388C3-5D45-4902-9ED3-DDBBFFC8A7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1" authorId="0" shapeId="0" xr:uid="{5FC8300A-C4E0-4163-98E5-C47E77797C4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1" authorId="0" shapeId="0" xr:uid="{F553BDF7-802B-4B5E-8F18-F72426A356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2" authorId="0" shapeId="0" xr:uid="{57D65E07-D51B-4A8A-9975-0F3194825A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2" authorId="0" shapeId="0" xr:uid="{43AD8A3C-8A30-4ACE-9A50-A7127169C8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2" authorId="0" shapeId="0" xr:uid="{F076EA3E-7FFB-4362-89A9-46DBD569F9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3" authorId="0" shapeId="0" xr:uid="{3DF9402E-6E28-485A-A64E-3A5F71E5B63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3" authorId="0" shapeId="0" xr:uid="{977ECD71-8270-44DA-8A8F-46EACEF6B94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3" authorId="0" shapeId="0" xr:uid="{810BD690-7BD5-449E-BD9C-5E0BEED246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4" authorId="0" shapeId="0" xr:uid="{4CAC9EF9-6F40-40EF-9051-F4C45E6206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4" authorId="0" shapeId="0" xr:uid="{B3FA97E4-382F-4B4C-841F-C14B299141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4" authorId="0" shapeId="0" xr:uid="{5113B8B0-46F8-4579-8621-750EC4275F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5" authorId="0" shapeId="0" xr:uid="{B9221E32-6F89-4C45-ACB8-7616D4D974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5" authorId="0" shapeId="0" xr:uid="{79D3E85A-13EB-4836-B34C-E3F3E3E2A9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5" authorId="0" shapeId="0" xr:uid="{787E5DE9-A5D8-45BA-915A-B47351ABC8D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9" authorId="0" shapeId="0" xr:uid="{9361FC17-8848-4408-9EB8-0940D09C66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9" authorId="0" shapeId="0" xr:uid="{7C544456-3C5E-4DA3-B898-383DEFF4FBE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9" authorId="0" shapeId="0" xr:uid="{F50CF9E1-D52F-4072-8DB3-2A6B0CD352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0" authorId="0" shapeId="0" xr:uid="{30F90FEC-172F-4374-A0AD-B952A5347D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0" authorId="0" shapeId="0" xr:uid="{1CF9E34A-90DD-4EB6-9A2E-AFC6BFB8CA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0" authorId="0" shapeId="0" xr:uid="{0B14D3CA-681C-4A90-B252-7BFB790E9D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1" authorId="0" shapeId="0" xr:uid="{9EB2DCCB-DDBF-4FE5-B7CE-9F90386D98D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1" authorId="0" shapeId="0" xr:uid="{2C0F2A23-4524-4FED-BF59-2A080C8BE06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1" authorId="0" shapeId="0" xr:uid="{DD82DF4D-640D-45D7-92AB-E3270A02C9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2" authorId="0" shapeId="0" xr:uid="{435086E6-68CE-4E62-AFD8-22B35A3901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2" authorId="0" shapeId="0" xr:uid="{676D03D7-97BF-4FA6-8D5F-751C11FE04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2" authorId="0" shapeId="0" xr:uid="{BE429790-8404-4F07-A82A-3B03C710F7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3" authorId="0" shapeId="0" xr:uid="{CFA1A078-A7A3-47DC-B66A-5043779D77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3" authorId="0" shapeId="0" xr:uid="{16EAB8E3-C77D-490D-B336-3B9DDBC397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3" authorId="0" shapeId="0" xr:uid="{DBA0A196-BF39-42B7-A8BA-0B071E0E784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4" authorId="0" shapeId="0" xr:uid="{4DFBDC02-9364-46D4-A573-45B07A3EB9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4" authorId="0" shapeId="0" xr:uid="{2059B445-8433-4C0B-B5C5-1CFFEF2349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4" authorId="0" shapeId="0" xr:uid="{7AC3C0BF-09F2-46C4-B0F6-D8C81F15A7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5" authorId="0" shapeId="0" xr:uid="{F9651DEA-77E8-4A07-A4E7-4B467E45AB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5" authorId="0" shapeId="0" xr:uid="{B06DDAFF-FFD4-4B02-A82D-5621A44A2F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5" authorId="0" shapeId="0" xr:uid="{9D8EEC8D-622C-4958-AB7F-F46F89C796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6" authorId="0" shapeId="0" xr:uid="{AD5929D2-4C7C-4B02-BFF0-5CD3CECC79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6" authorId="0" shapeId="0" xr:uid="{A164CF7B-3678-42A4-BD7E-74B0590A6F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6" authorId="0" shapeId="0" xr:uid="{EF6C699D-3A23-477E-8C3C-1805F19536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7" authorId="0" shapeId="0" xr:uid="{56CCCAD1-2496-4DC7-83FC-E81C9603B0A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7" authorId="0" shapeId="0" xr:uid="{553579FC-62BA-4224-8333-1C0C0D24FB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7" authorId="0" shapeId="0" xr:uid="{E5DAB70A-A75B-4853-B034-33DB903D50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8" authorId="0" shapeId="0" xr:uid="{5B11C555-C856-4A9B-8F2D-2BC6486BE9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8" authorId="0" shapeId="0" xr:uid="{10E8F277-B90D-40DE-BB0E-5C553D0FFC9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8" authorId="0" shapeId="0" xr:uid="{41BA2CB2-44AC-4A35-B7E2-C9A1AC2824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9" authorId="0" shapeId="0" xr:uid="{68859346-AEE4-4D2A-81AD-9B2E6E5924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9" authorId="0" shapeId="0" xr:uid="{7CB34A9C-58D1-4B8C-991F-66B90B2781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9" authorId="0" shapeId="0" xr:uid="{37381879-07F7-423E-98D0-42F6A8FC64F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0" authorId="0" shapeId="0" xr:uid="{9AFB7A95-1CE7-42A7-BF5C-3CD949C38F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0" authorId="0" shapeId="0" xr:uid="{8B6A4C3A-5AE5-4A4A-87FA-BA070AAF41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0" authorId="0" shapeId="0" xr:uid="{1B979978-BAB5-4937-93E8-CBB34592F5A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1" authorId="0" shapeId="0" xr:uid="{BBABD26E-3FAB-4AC1-9C43-8330A3B3FB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1" authorId="0" shapeId="0" xr:uid="{17CFE501-4DDA-49C8-911A-55F7AA2E17A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1" authorId="0" shapeId="0" xr:uid="{49206D78-A917-48C5-864F-E7DAB59640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2" authorId="0" shapeId="0" xr:uid="{8EB710B0-FE66-43EB-8F7B-FF247F8534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2" authorId="0" shapeId="0" xr:uid="{6229217F-B53F-400C-87F7-7947C3DF57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2" authorId="0" shapeId="0" xr:uid="{88425B2F-47E6-41B6-98E6-B9A34E839F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3" authorId="0" shapeId="0" xr:uid="{5FE7F474-E5C6-4C02-A63D-A339A432FC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3" authorId="0" shapeId="0" xr:uid="{6399876F-328A-4DF2-82BD-3EA3496C65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3" authorId="0" shapeId="0" xr:uid="{E1C209F2-050D-4ABC-A450-0AE81756A2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7" authorId="0" shapeId="0" xr:uid="{B834410B-4119-4202-A4BD-71478860C5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7" authorId="0" shapeId="0" xr:uid="{A18E8605-4038-4503-BD4A-5EE5D53682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7" authorId="0" shapeId="0" xr:uid="{8C7A1531-88BC-4664-9C0C-57F275D45CD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8" authorId="0" shapeId="0" xr:uid="{60C819DD-A64E-4321-9DF2-F200D07AAC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8" authorId="0" shapeId="0" xr:uid="{641D1A46-B89D-40C3-92C9-587B533C1A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8" authorId="0" shapeId="0" xr:uid="{5CCB0817-3ED8-49EA-82FD-9F36A6F27B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9" authorId="0" shapeId="0" xr:uid="{1B9D6C0F-342B-4EDB-94AE-8C340D69981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9" authorId="0" shapeId="0" xr:uid="{C812B516-4134-402C-91A7-2C63566B6C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9" authorId="0" shapeId="0" xr:uid="{ED46AE33-E6E8-4DA0-A06B-223AA39CA2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0" authorId="0" shapeId="0" xr:uid="{717A0042-B9D3-451C-93C9-E4DEE030447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0" authorId="0" shapeId="0" xr:uid="{273D3D7F-D5E0-4FC7-8379-6E9E2FA0F2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0" authorId="0" shapeId="0" xr:uid="{5E764321-3381-4603-A782-3FBB25B616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1" authorId="0" shapeId="0" xr:uid="{953AEF6E-EC7D-4239-BD41-28BF9D5D6D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1" authorId="0" shapeId="0" xr:uid="{5A6F7E39-EC21-4F31-A749-D55D2292AE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1" authorId="0" shapeId="0" xr:uid="{E30703D9-666C-4B7F-83E1-21D49B9AC3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2" authorId="0" shapeId="0" xr:uid="{896B57E6-7063-4D86-A472-11D529AF32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2" authorId="0" shapeId="0" xr:uid="{492EC787-C86C-423D-80DA-39788EA1F2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2" authorId="0" shapeId="0" xr:uid="{D10EE8B7-DBAB-4E79-BDF7-75EB0A11A31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3" authorId="0" shapeId="0" xr:uid="{EDAB502C-1C1E-4D11-B739-7391FFCA0D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3" authorId="0" shapeId="0" xr:uid="{8C4A795D-AAEF-47C5-9226-0413E03639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3" authorId="0" shapeId="0" xr:uid="{CC80C908-3126-4DC4-86A2-55891A1C140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4" authorId="0" shapeId="0" xr:uid="{5517C57E-9169-4EEE-A09B-7874C333BB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4" authorId="0" shapeId="0" xr:uid="{54927356-6F5A-44AC-AA07-A8626735007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4" authorId="0" shapeId="0" xr:uid="{A21BBEDF-141E-4AE3-8F32-F870998110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5" authorId="0" shapeId="0" xr:uid="{C9B42A9F-2AD2-4A2E-84E0-7EA0B0BA481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5" authorId="0" shapeId="0" xr:uid="{32DCD6CA-5C39-43E7-B0F6-6618AD2E09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5" authorId="0" shapeId="0" xr:uid="{3E1C7D10-CD79-4D0F-A51B-BA2B4943F7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6" authorId="0" shapeId="0" xr:uid="{682EB486-574E-46F8-BA05-E9EF6773E8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6" authorId="0" shapeId="0" xr:uid="{F8B8223A-1F80-40D7-B084-BF5899B3E3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6" authorId="0" shapeId="0" xr:uid="{0718DE36-FB87-4EBD-B7D4-0AAEF7F756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7" authorId="0" shapeId="0" xr:uid="{9A4113AE-3349-4CB0-928A-F6E9E607C4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7" authorId="0" shapeId="0" xr:uid="{445D8384-1238-4FEB-B71B-17A10049AE5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7" authorId="0" shapeId="0" xr:uid="{F8428880-F9EC-4D25-A5C5-3A98619B02E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8" authorId="0" shapeId="0" xr:uid="{20254159-9822-420B-81EA-8FF55CDF21F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8" authorId="0" shapeId="0" xr:uid="{EDF94DDB-FBF2-45A6-9CD9-EF484B4C27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8" authorId="0" shapeId="0" xr:uid="{6D9C51C2-F665-46B2-A674-CBE5AC4715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9" authorId="0" shapeId="0" xr:uid="{BB8E4427-8CE5-42ED-A54F-7892A08FB8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9" authorId="0" shapeId="0" xr:uid="{A0488AB4-6DC3-4BDA-B35C-90E764F918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9" authorId="0" shapeId="0" xr:uid="{078B2A7B-4432-4DF2-8A0B-1DD3D0D634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0" authorId="0" shapeId="0" xr:uid="{27A8C875-8990-4C17-A6BC-7088B620F5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0" authorId="0" shapeId="0" xr:uid="{56842880-E67F-45E7-84A9-EA9B11CD2BC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0" authorId="0" shapeId="0" xr:uid="{A4A26862-D307-4E07-8890-F758A99689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1" authorId="0" shapeId="0" xr:uid="{19B33785-041F-49A3-8FEE-E11FF6C3BE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1" authorId="0" shapeId="0" xr:uid="{E435C8BC-1CEC-40F7-8807-50E1627BD3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1" authorId="0" shapeId="0" xr:uid="{5B8CD38A-E153-4469-A835-0F1CE10640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5" authorId="0" shapeId="0" xr:uid="{FC3B587F-7892-4F60-A379-8FA9AABF04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5" authorId="0" shapeId="0" xr:uid="{0B49E06E-9953-4F6D-B8C9-3139CE3150C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5" authorId="0" shapeId="0" xr:uid="{4D9F19B0-7DA4-4E67-9F58-8CE549A0571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6" authorId="0" shapeId="0" xr:uid="{00805138-9EF4-4518-9D43-1E86A600C2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6" authorId="0" shapeId="0" xr:uid="{AAF10C70-42C6-4145-9619-2102D8F54B5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6" authorId="0" shapeId="0" xr:uid="{E177E94D-886C-4FE7-AE0D-436BFB21C4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7" authorId="0" shapeId="0" xr:uid="{BE076A23-80CB-4D39-ACD0-50E1F43378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7" authorId="0" shapeId="0" xr:uid="{74DDB548-A3A6-4493-A2F2-FACD8CF920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7" authorId="0" shapeId="0" xr:uid="{D58BCCEE-D852-4D74-A787-F6FDFEAB26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8" authorId="0" shapeId="0" xr:uid="{D1902937-5593-471C-9915-83B4FD75DE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8" authorId="0" shapeId="0" xr:uid="{44135460-8F6E-4BE7-80C8-733F4A1332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8" authorId="0" shapeId="0" xr:uid="{C0EA4FFF-FFF0-4228-B5C0-FCE37D0534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2" authorId="0" shapeId="0" xr:uid="{52882F6D-808B-4B13-B962-1305030858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2" authorId="0" shapeId="0" xr:uid="{78AAEE0B-341E-45C7-BC1B-F58C5EDCB1A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2" authorId="0" shapeId="0" xr:uid="{48C686D9-5D55-47C5-8A73-7FBAF1A835C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3" authorId="0" shapeId="0" xr:uid="{2199D6C7-5B95-4698-A0A4-64B2B94324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3" authorId="0" shapeId="0" xr:uid="{47D68375-C5EA-4690-BC93-A64D4B8EE5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3" authorId="0" shapeId="0" xr:uid="{FE297441-B27E-45FB-A64D-2127CDD2D5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7" authorId="0" shapeId="0" xr:uid="{FDA9B161-7563-440E-8D35-3A51FD03E1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7" authorId="0" shapeId="0" xr:uid="{A5D0E96E-2E7A-4749-8847-38F5662E53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7" authorId="0" shapeId="0" xr:uid="{5FE0ABB1-E824-43D9-8356-C6E1DFC835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8" authorId="0" shapeId="0" xr:uid="{846A7A05-F6DC-4364-B4DD-9ED088217D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8" authorId="0" shapeId="0" xr:uid="{B6BE603D-FCA8-4A03-8E45-0CAD073A003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8" authorId="0" shapeId="0" xr:uid="{4DD8DFCF-A731-4D28-A257-93A653D77A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9" authorId="0" shapeId="0" xr:uid="{5BADE356-D31F-440F-B487-23E1BE1CCE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9" authorId="0" shapeId="0" xr:uid="{2E1F0E5E-3994-4451-B0EE-A77FA4C543A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9" authorId="0" shapeId="0" xr:uid="{348426E4-4C33-4A58-82FA-400874EF25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0" authorId="0" shapeId="0" xr:uid="{9329A988-6462-43BC-AD46-CCACAA2852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0" authorId="0" shapeId="0" xr:uid="{D37068D5-A3BD-4303-A007-399312B3F6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0" authorId="0" shapeId="0" xr:uid="{1C584698-E568-4B72-908A-F6A300730D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1" authorId="0" shapeId="0" xr:uid="{09A98A80-07D9-41CB-B334-E0B6052C5A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1" authorId="0" shapeId="0" xr:uid="{4937C3B9-C7CC-4CD0-816A-BF70613CF4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1" authorId="0" shapeId="0" xr:uid="{47413326-2173-4E8B-A7B8-00CA8CC8395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5" authorId="0" shapeId="0" xr:uid="{50CB96B5-D82C-4C0B-B3FD-52B824F6442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5" authorId="0" shapeId="0" xr:uid="{95EDAA8B-793A-4945-91D0-AA87000B59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5" authorId="0" shapeId="0" xr:uid="{DDB4AE40-80D7-4439-8A22-58A1F120245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6" authorId="0" shapeId="0" xr:uid="{6B069848-3A91-4826-B81C-4B3ECFC5475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6" authorId="0" shapeId="0" xr:uid="{0D04B52C-F5DC-4819-BE27-E47B78A31EE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6" authorId="0" shapeId="0" xr:uid="{71C466F7-8CBE-4FA4-BEF4-6FCE521360C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7" authorId="0" shapeId="0" xr:uid="{04CE04A7-E922-4FBC-B28E-C473D786F04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7" authorId="0" shapeId="0" xr:uid="{80BE76BB-9F4E-4BDA-B15B-2B70692F26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7" authorId="0" shapeId="0" xr:uid="{6CC443ED-3756-4438-B314-2FA5CCFBB0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8" authorId="0" shapeId="0" xr:uid="{054A8FD5-E07D-4119-B47A-AA30EC7C7B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8" authorId="0" shapeId="0" xr:uid="{C349E5DA-D47F-427B-86EF-5F49C0D392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8" authorId="0" shapeId="0" xr:uid="{535F2E56-554A-4E3D-8D50-B077567660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9" authorId="0" shapeId="0" xr:uid="{35CFD9E6-38D0-4815-B41D-8F38983F17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9" authorId="0" shapeId="0" xr:uid="{F25C670D-126D-4C85-8C00-3CA492EB658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9" authorId="0" shapeId="0" xr:uid="{49FBE907-71F3-47FE-AF24-12EB0462B7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0" authorId="0" shapeId="0" xr:uid="{C742D7E5-90DB-45D0-9B18-4AB0B57D67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0" authorId="0" shapeId="0" xr:uid="{335C7247-5896-44EA-8EAA-1AA51CDF67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0" authorId="0" shapeId="0" xr:uid="{E095F0A5-98A3-435B-AEEB-C09222940D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1" authorId="0" shapeId="0" xr:uid="{296A78D6-6AF9-458A-93E6-957DE7E600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1" authorId="0" shapeId="0" xr:uid="{3FC4A583-2AC5-4D02-843C-8D664DA58E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1" authorId="0" shapeId="0" xr:uid="{E69E7059-BD7B-4011-AF13-9DFD7851C2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5" authorId="0" shapeId="0" xr:uid="{2272B7AF-63D3-4510-A6CA-AFB8F58EA2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5" authorId="0" shapeId="0" xr:uid="{286B4849-7DEA-4C01-B7DD-3206D1DAF9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5" authorId="0" shapeId="0" xr:uid="{40A6ED3F-2198-494B-8FCE-25C747BEC1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6" authorId="0" shapeId="0" xr:uid="{131CF747-CDF9-4AED-82D9-554CB53006E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6" authorId="0" shapeId="0" xr:uid="{C1067F55-AF0A-497D-9007-1E5373BEFB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6" authorId="0" shapeId="0" xr:uid="{A094073F-9D19-4940-AED3-371D92A1AF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7" authorId="0" shapeId="0" xr:uid="{0C11DAE1-EB8A-4FDE-A58E-BE2395FB3B8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7" authorId="0" shapeId="0" xr:uid="{DD175F35-54EA-45AD-AE34-E62F8169DA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7" authorId="0" shapeId="0" xr:uid="{75167DEB-1E46-48DD-AD83-A03DDF1F54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8" authorId="0" shapeId="0" xr:uid="{9BAA88C5-62B4-478D-8F36-47936E2C72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8" authorId="0" shapeId="0" xr:uid="{C4778A34-3435-41AB-BA47-222B297E32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8" authorId="0" shapeId="0" xr:uid="{A55DACEB-6161-4911-8DD2-2385FE8A1F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9" authorId="0" shapeId="0" xr:uid="{EED0DC50-3BA0-45E4-AF58-A6147938E4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9" authorId="0" shapeId="0" xr:uid="{799CD361-F42B-4282-9130-4862CF76DB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9" authorId="0" shapeId="0" xr:uid="{E6596C97-E07D-4FA5-9943-B03225C0CA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3" authorId="0" shapeId="0" xr:uid="{EA5BAE6D-6288-449C-9CC0-C0E385ACAC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3" authorId="0" shapeId="0" xr:uid="{804899F7-3FB4-4269-B65A-575EC3B8D7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3" authorId="0" shapeId="0" xr:uid="{2F7099E9-D7AF-415A-8039-FF0692B62D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4" authorId="0" shapeId="0" xr:uid="{9F1C5697-A41F-4B55-BBC1-EC5530B846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4" authorId="0" shapeId="0" xr:uid="{1711967C-334A-4573-9851-E2CF0B9A552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4" authorId="0" shapeId="0" xr:uid="{206A5222-8D4A-4776-B74E-D955133A64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3" authorId="0" shapeId="0" xr:uid="{E7236CC6-CF3E-44EC-8365-20513C4A71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3" authorId="0" shapeId="0" xr:uid="{E5F701EA-249A-4CD0-A4EC-A83078B7BE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3" authorId="0" shapeId="0" xr:uid="{D3B91682-254B-4C50-888A-52E33D6E96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4" authorId="0" shapeId="0" xr:uid="{8F301D25-903B-4F7E-90E0-B92B5EBC9BA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4" authorId="0" shapeId="0" xr:uid="{AD1DACB5-C69F-4F3D-AE4E-77AAE4C2AE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4" authorId="0" shapeId="0" xr:uid="{BBD8896A-AEEB-4EED-ABDF-3FA512F7D2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5" authorId="0" shapeId="0" xr:uid="{704FB8F6-E17B-49FC-9F5D-E475940E72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5" authorId="0" shapeId="0" xr:uid="{7728EDF9-A165-4957-8E8C-3E162F597C6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5" authorId="0" shapeId="0" xr:uid="{D8597CEB-B3A1-4156-987B-10F90DBCB1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6" authorId="0" shapeId="0" xr:uid="{C60682AB-BE94-416F-A08C-B485A3C170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6" authorId="0" shapeId="0" xr:uid="{AB8974F6-0A4F-442F-86C2-F4FD8F83D7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6" authorId="0" shapeId="0" xr:uid="{909E0CAB-135D-4513-8C49-4C049A47E8F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7" authorId="0" shapeId="0" xr:uid="{7A2B3F73-BA82-4AAA-A0D9-AEAD1D9672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7" authorId="0" shapeId="0" xr:uid="{665D1AB8-FE00-4CB0-B617-DC7F6261F2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7" authorId="0" shapeId="0" xr:uid="{D4FB8EA5-C78D-4703-9113-C84882F693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8" authorId="0" shapeId="0" xr:uid="{60CF8C2C-75A7-4A7F-82E1-7A9C8D513E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8" authorId="0" shapeId="0" xr:uid="{F56007C2-2BE1-4315-97D7-DB1A870695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8" authorId="0" shapeId="0" xr:uid="{8515BAEE-8B83-48AC-9F68-6019ADB2B2E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9" authorId="0" shapeId="0" xr:uid="{837B59A1-B2E5-49B5-B36C-CDE4CC08D4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9" authorId="0" shapeId="0" xr:uid="{3A639388-37DD-4BE0-99BB-CF93D2D462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9" authorId="0" shapeId="0" xr:uid="{A8048037-DF4E-4794-BCA5-C23CE8D86F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0" authorId="0" shapeId="0" xr:uid="{C5E1AAC5-9A8C-42E5-9A82-83A78BB0B7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0" authorId="0" shapeId="0" xr:uid="{97D36E2E-2175-408E-84A1-E6635F0F625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0" authorId="0" shapeId="0" xr:uid="{FB6100B5-F6F3-48E2-9278-D601270379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1" authorId="0" shapeId="0" xr:uid="{B3840108-81ED-41CA-A8F5-F2B399AC60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1" authorId="0" shapeId="0" xr:uid="{30EEB701-6F8A-443F-B029-163F50057A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1" authorId="0" shapeId="0" xr:uid="{8F1796AD-9561-424C-B98B-1AA39FCBD26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2" authorId="0" shapeId="0" xr:uid="{C09AAC18-5578-4565-A14E-51CF2FE82B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2" authorId="0" shapeId="0" xr:uid="{FCDD0136-8186-4450-89AD-1DA9DFD0E7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2" authorId="0" shapeId="0" xr:uid="{018E4DC3-A485-4B2D-8FA9-6EA64B82C4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3" authorId="0" shapeId="0" xr:uid="{8A36CFFB-3BC3-4A3E-BA61-3D4C7E3895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3" authorId="0" shapeId="0" xr:uid="{37888E90-7D7C-4DBF-BFA9-90B2879806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3" authorId="0" shapeId="0" xr:uid="{5BABB754-7228-4A75-A5C9-31D2FCE961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4" authorId="0" shapeId="0" xr:uid="{4FD3418C-F0A1-44D2-9193-22010D7993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4" authorId="0" shapeId="0" xr:uid="{54502DAB-D4DD-41F4-B682-CD6D74F6314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4" authorId="0" shapeId="0" xr:uid="{5BBF1BC2-AD70-48D9-BB32-6FAE53E2F3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5" authorId="0" shapeId="0" xr:uid="{00B3BCD7-0B7D-49F5-A21A-06D12F84C7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5" authorId="0" shapeId="0" xr:uid="{208ED766-03E7-40D0-999E-C01F20688B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5" authorId="0" shapeId="0" xr:uid="{9778604D-CCD2-49CC-9B2A-4EDBB1EE9C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6" authorId="0" shapeId="0" xr:uid="{0ED59919-A04E-4E40-A65E-315964343E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6" authorId="0" shapeId="0" xr:uid="{D02F0EA0-BF10-402B-8D32-EC507DB887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6" authorId="0" shapeId="0" xr:uid="{D7C2BC0B-C77A-4B71-8D15-EE7C7FEAA9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7" authorId="0" shapeId="0" xr:uid="{CF21049C-4E31-4FEB-B3DC-781E93B09E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7" authorId="0" shapeId="0" xr:uid="{EDC87449-16FE-47BC-A60A-3F465E0E2C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7" authorId="0" shapeId="0" xr:uid="{8142E5A3-F21A-4786-A14E-9495FF07E4C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8" authorId="0" shapeId="0" xr:uid="{505A3158-DFA0-4FD4-952A-3F73E7F77C2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8" authorId="0" shapeId="0" xr:uid="{D4C3A57F-530E-4D48-A42A-3682EA27AD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8" authorId="0" shapeId="0" xr:uid="{29936B07-CDB3-45EB-9759-E8802171B2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2" authorId="0" shapeId="0" xr:uid="{B1CC8548-78A9-41E2-BCF3-2DAED3198A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2" authorId="0" shapeId="0" xr:uid="{7DE627C1-8538-4A35-8288-B1255D40B7F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2" authorId="0" shapeId="0" xr:uid="{D2A2841F-B009-44C0-93F3-BEF5C810D46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3" authorId="0" shapeId="0" xr:uid="{5A4D8561-283C-4190-B08F-8CA513EDF4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3" authorId="0" shapeId="0" xr:uid="{326461D6-B65B-466C-89E0-A9944D6CF6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3" authorId="0" shapeId="0" xr:uid="{BE1BE375-67D5-469B-92B7-CF57F14E9F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4" authorId="0" shapeId="0" xr:uid="{5369B43E-2B72-4782-9658-C6E5F05638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4" authorId="0" shapeId="0" xr:uid="{357B5B2C-3EA6-40BD-BEA2-064CC6444D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4" authorId="0" shapeId="0" xr:uid="{9F345E6A-7C34-4BF1-871C-9250B32EA6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5" authorId="0" shapeId="0" xr:uid="{C0C23D30-EB74-4D53-A19C-F7762D5BCE0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5" authorId="0" shapeId="0" xr:uid="{BAEF6A75-D100-4A9C-88BD-B6C80E2551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5" authorId="0" shapeId="0" xr:uid="{3DFB0B86-E184-4CE8-A449-DC6E343CB2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6" authorId="0" shapeId="0" xr:uid="{091A97F2-BA85-4623-9AC9-4D5ED896952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6" authorId="0" shapeId="0" xr:uid="{D212636C-6EE8-48A7-A6B2-858E9D65DA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6" authorId="0" shapeId="0" xr:uid="{32E62471-6BE7-4E35-9AB8-0BEA776761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7" authorId="0" shapeId="0" xr:uid="{95F7F284-B8D6-469B-92A1-72C718CACD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7" authorId="0" shapeId="0" xr:uid="{7C14EE97-693D-48AB-A2B5-FB1DF9B3D0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7" authorId="0" shapeId="0" xr:uid="{39AE9BE1-8984-4284-9443-35A32CAA7E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8" authorId="0" shapeId="0" xr:uid="{7F79C540-4882-44EC-995B-2052FEC293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8" authorId="0" shapeId="0" xr:uid="{19805F24-FF7B-4DCD-BEEA-F93928195D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8" authorId="0" shapeId="0" xr:uid="{6071C771-035E-4866-95B8-EE4BAB0A05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4" authorId="0" shapeId="0" xr:uid="{41DFFEFD-D976-40EA-BBB2-D90AFA1A1F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4" authorId="0" shapeId="0" xr:uid="{518029A0-4EF6-43A2-883F-88F313A7DE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4" authorId="0" shapeId="0" xr:uid="{A942C1AD-7DEB-4B7A-A03E-C7E6FC9ED7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5" authorId="0" shapeId="0" xr:uid="{A4A80329-CA9E-46B8-B36B-84E026630B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5" authorId="0" shapeId="0" xr:uid="{EE46FB38-8729-4ADB-BCA7-019E1BC90E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5" authorId="0" shapeId="0" xr:uid="{80977AE8-FE88-4C20-9354-6F6689CD49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6" authorId="0" shapeId="0" xr:uid="{AC844D93-6571-492F-B53F-24DD3671EC5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6" authorId="0" shapeId="0" xr:uid="{DF13D385-F447-4EF7-945C-54F3582191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6" authorId="0" shapeId="0" xr:uid="{D68557ED-013B-4B06-9D5F-B4B5DF8D87D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7" authorId="0" shapeId="0" xr:uid="{79EAAC39-183E-45B2-A571-7C23C3A818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7" authorId="0" shapeId="0" xr:uid="{7937A902-B2BD-457A-AFF7-B8CBD49A74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7" authorId="0" shapeId="0" xr:uid="{16AE371B-6494-482B-BA2B-8019160C719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8" authorId="0" shapeId="0" xr:uid="{B336C2B0-7798-400C-9558-29B8318B9F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8" authorId="0" shapeId="0" xr:uid="{EDDE4A1E-94B5-4313-98E6-C0C1F07EF78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8" authorId="0" shapeId="0" xr:uid="{44C9ACA9-75C1-412B-8AC1-A0843CFFA8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9" authorId="0" shapeId="0" xr:uid="{FF074FD1-9BFE-4575-88BF-6112662C35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9" authorId="0" shapeId="0" xr:uid="{D863AB37-DF73-454D-97E5-BA09FB7547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9" authorId="0" shapeId="0" xr:uid="{548A5583-677D-4830-A97C-18E7FF78EF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0" authorId="0" shapeId="0" xr:uid="{28219E16-C385-4688-9DE0-61EEDCC291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0" authorId="0" shapeId="0" xr:uid="{000584D7-37AE-4C6C-A75E-47749761A8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0" authorId="0" shapeId="0" xr:uid="{2CC5E88C-54EF-4D9F-88E8-4E29660CC1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6" authorId="0" shapeId="0" xr:uid="{20243B99-36B2-470C-AEDF-6BEEDABDB1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6" authorId="0" shapeId="0" xr:uid="{E2B6B097-A3FF-411D-81E9-06B0E5330B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6" authorId="0" shapeId="0" xr:uid="{7D0D3799-5896-42F4-B2B5-CAEE654529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7" authorId="0" shapeId="0" xr:uid="{7ED4AB28-BF84-4627-B6FD-CA3E95696C0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7" authorId="0" shapeId="0" xr:uid="{B2746EEE-073B-4E1D-8034-E7D48FC20E5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7" authorId="0" shapeId="0" xr:uid="{1208A7BA-A78D-4250-88D3-520D7223EC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8" authorId="0" shapeId="0" xr:uid="{364E288E-B7C7-4826-BB71-55787A3DAFC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8" authorId="0" shapeId="0" xr:uid="{DA11F9DB-D7D0-4FE7-972E-776A99D208D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8" authorId="0" shapeId="0" xr:uid="{7BDFBEC5-6429-4D7B-8FBC-8AFD774E22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9" authorId="0" shapeId="0" xr:uid="{3EA87D66-6B0E-4FDD-BBB4-6F923D8BAC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9" authorId="0" shapeId="0" xr:uid="{9FA5796E-87BB-4DE4-9435-AD6C0F3BBB5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9" authorId="0" shapeId="0" xr:uid="{648EF129-A0CC-4DEE-A0D7-10FAA15EF3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0" authorId="0" shapeId="0" xr:uid="{4C102929-7D8D-4D42-9436-9E5AFC20867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0" authorId="0" shapeId="0" xr:uid="{9BAFD62C-9A38-4C23-B4FF-D7F00EE71E9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0" authorId="0" shapeId="0" xr:uid="{89D8B529-12B1-4AB0-9AE9-29F6B4BAA1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1" authorId="0" shapeId="0" xr:uid="{92568852-C1C1-43F0-9147-FB5A7A04C9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1" authorId="0" shapeId="0" xr:uid="{6CE45F31-45C9-4E5C-97DF-FBC21EA1D9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1" authorId="0" shapeId="0" xr:uid="{B1EBDD28-55E5-4F55-B8FD-C1FD8758D2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2" authorId="0" shapeId="0" xr:uid="{1BFB45C8-204C-490F-96DF-BE27B2BBC0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2" authorId="0" shapeId="0" xr:uid="{9654081C-2CCD-4FC8-B60C-951AE9F909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2" authorId="0" shapeId="0" xr:uid="{3128E543-7FEA-4A1A-880B-8CE6361E09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3" authorId="0" shapeId="0" xr:uid="{FA2DD475-D7DF-4D7B-A289-EE89B74F0F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3" authorId="0" shapeId="0" xr:uid="{A330A9FF-B42B-44C2-A269-1E8566FD00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3" authorId="0" shapeId="0" xr:uid="{439CCF22-4046-419C-9453-B5AEBAE990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4" authorId="0" shapeId="0" xr:uid="{061FF30A-6079-4B23-A1A1-783D43C8FA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4" authorId="0" shapeId="0" xr:uid="{E496E7F4-A166-41B0-B809-6C5906A38FA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4" authorId="0" shapeId="0" xr:uid="{616CFA41-6B51-4537-8B2D-1F19A234B1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5" authorId="0" shapeId="0" xr:uid="{ABE9B616-2F1B-4085-8F46-345B89F5685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5" authorId="0" shapeId="0" xr:uid="{28A48E2D-2936-4C84-8A14-FBB608ECE0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5" authorId="0" shapeId="0" xr:uid="{2B1B93E6-5DF9-41D6-918F-3AF5834FA6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6" authorId="0" shapeId="0" xr:uid="{778BDCE1-9444-421F-BFA1-F100C0D93F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6" authorId="0" shapeId="0" xr:uid="{9BEBEBAB-4C95-46F4-B98C-1A968EEA13A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6" authorId="0" shapeId="0" xr:uid="{BE0C78DE-64BD-4DB3-AF6A-EB3F804C9F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7" authorId="0" shapeId="0" xr:uid="{63906E4E-7292-442D-B137-A3254116E3E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7" authorId="0" shapeId="0" xr:uid="{9CCED473-A8C7-4C1B-B812-BC2B3FBAD3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7" authorId="0" shapeId="0" xr:uid="{120A285E-8DB3-4548-B569-0EF42B0FC4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8" authorId="0" shapeId="0" xr:uid="{64638C2C-2AD0-4F6A-A17D-C786614D834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8" authorId="0" shapeId="0" xr:uid="{C3B1EBD9-5CFD-46CB-9754-72F94B9923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8" authorId="0" shapeId="0" xr:uid="{B9315263-6DB7-43D5-B568-382BDEDA9D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9" authorId="0" shapeId="0" xr:uid="{9A09F25B-57A7-4B2E-9099-EB7738F0AE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9" authorId="0" shapeId="0" xr:uid="{55E8FA2F-2E15-4FD2-A245-F153489A925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9" authorId="0" shapeId="0" xr:uid="{DF9ED859-956E-4EC8-A694-C2B3CB7E52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0" authorId="0" shapeId="0" xr:uid="{2AC6B6DD-2504-4BCD-8A43-0976498DC5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0" authorId="0" shapeId="0" xr:uid="{8299C2F8-71CC-4F88-BFF1-D1EE8C475A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0" authorId="0" shapeId="0" xr:uid="{25DC638B-2A60-4E79-9363-D1F9D24F01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1" authorId="0" shapeId="0" xr:uid="{4A561D6D-9F9D-4026-9D80-486F79B3EC1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1" authorId="0" shapeId="0" xr:uid="{7DD1C4E0-D669-4DD0-890B-E4C2644B52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1" authorId="0" shapeId="0" xr:uid="{38D4A3D3-9481-4697-A530-F1A299B60A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2" authorId="0" shapeId="0" xr:uid="{A2D1A4B3-B5CD-4DA1-9379-171FE39CB9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2" authorId="0" shapeId="0" xr:uid="{E9D9D02B-DFBF-4CB2-AD5B-76A302D0F4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2" authorId="0" shapeId="0" xr:uid="{759A63E0-A9F0-43EE-8B54-E3BBD9F4F2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3" authorId="0" shapeId="0" xr:uid="{BF7EE7BA-E110-4F97-B168-E57507613ED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3" authorId="0" shapeId="0" xr:uid="{3AE328DE-9D99-4E23-8DF5-46BA3729C6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3" authorId="0" shapeId="0" xr:uid="{776287C4-825C-4EEF-873C-8C2F03F26C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4" authorId="0" shapeId="0" xr:uid="{B3010D48-85AF-4BF6-A0A6-061B70C172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4" authorId="0" shapeId="0" xr:uid="{F5E2E42C-0F7F-48F7-BBBD-86F276694D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4" authorId="0" shapeId="0" xr:uid="{9EF1352B-11BC-41B1-AB84-3881BCF87A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5" authorId="0" shapeId="0" xr:uid="{538989B0-4C8A-4495-9787-7EC9034D8A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5" authorId="0" shapeId="0" xr:uid="{4328130E-5F01-4088-A0E2-80B64B4E2A4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5" authorId="0" shapeId="0" xr:uid="{9BB5264B-D5DA-43EA-8972-589328D916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6" authorId="0" shapeId="0" xr:uid="{4565918C-62B1-4ADA-B392-B329AA9356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6" authorId="0" shapeId="0" xr:uid="{0279383A-41E1-47DE-B21D-5D15F9E7DD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6" authorId="0" shapeId="0" xr:uid="{91763124-1DEE-4875-ACC5-F20CD2FEB0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7" authorId="0" shapeId="0" xr:uid="{1FEB5116-DF5B-4013-99CB-4A574655EE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7" authorId="0" shapeId="0" xr:uid="{1AC3C9DB-B35B-4FF4-942C-19EFDC459C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7" authorId="0" shapeId="0" xr:uid="{EFC25F22-16B2-4665-A47F-DF9F72C093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8" authorId="0" shapeId="0" xr:uid="{3A301595-CA6B-408E-A6A9-A737800668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8" authorId="0" shapeId="0" xr:uid="{AD48D4E7-9E5D-4271-9B44-F2B98954178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8" authorId="0" shapeId="0" xr:uid="{9FF790DE-A0EE-4F68-B055-6B1B99793B9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9" authorId="0" shapeId="0" xr:uid="{BAB86B86-3613-4FB4-8E64-A1C1E28A89C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9" authorId="0" shapeId="0" xr:uid="{6910ECBF-884F-437E-8502-826AA8F376D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9" authorId="0" shapeId="0" xr:uid="{80146CFC-33AF-4A1E-BB82-1C2C4B702ED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0" authorId="0" shapeId="0" xr:uid="{8059FA2C-D572-49A8-9C05-957FA21F9D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0" authorId="0" shapeId="0" xr:uid="{BD207AB1-5EF8-4877-86C4-17509DD876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0" authorId="0" shapeId="0" xr:uid="{D846303B-61C8-48A6-B648-B532331962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1" authorId="0" shapeId="0" xr:uid="{6992EAFA-3749-468A-A682-A57016F02E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1" authorId="0" shapeId="0" xr:uid="{9D840F14-C1B8-40AC-90AE-5D5D2DBBB3F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1" authorId="0" shapeId="0" xr:uid="{3EB687E4-FC84-40A5-8B0C-C69747DD33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2" authorId="0" shapeId="0" xr:uid="{9E236F2C-4F4B-41D8-ADF0-EB762D315F3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2" authorId="0" shapeId="0" xr:uid="{0B3F917F-BE6C-4A7D-B6E4-01E2A79D03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2" authorId="0" shapeId="0" xr:uid="{6FE1CC0C-8D0E-4774-AF43-3259BC7CE9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8" authorId="0" shapeId="0" xr:uid="{86E07ED2-B4A1-4091-9D78-C669611F4B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8" authorId="0" shapeId="0" xr:uid="{EF744AD5-1132-4F69-8AEA-707D9E52306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8" authorId="0" shapeId="0" xr:uid="{02D8F9CF-BC77-4051-910A-3E4A1865A96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9" authorId="0" shapeId="0" xr:uid="{7817392E-2A85-40EC-873B-2F0EA4DA08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9" authorId="0" shapeId="0" xr:uid="{38C368A7-91FF-4475-B718-1B5301A07AD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9" authorId="0" shapeId="0" xr:uid="{9DC5F916-88CE-4B3F-B504-BF05B756B8E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7" authorId="0" shapeId="0" xr:uid="{951F772F-5DA6-4845-BADF-3EF7DC001D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7" authorId="0" shapeId="0" xr:uid="{004867D4-EC2F-4B92-93DE-65B345DDC2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7" authorId="0" shapeId="0" xr:uid="{6FC8CEF3-60D9-4D3A-8A64-95DF47CC28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8" authorId="0" shapeId="0" xr:uid="{42ED9690-D0CE-4320-873A-01F719E242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8" authorId="0" shapeId="0" xr:uid="{EC800448-FFC4-4DC9-BA46-285365486FA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8" authorId="0" shapeId="0" xr:uid="{60E38128-EA01-46C0-B581-0900AA7B95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9" authorId="0" shapeId="0" xr:uid="{BBD1D29D-58B1-43DF-BEA0-FC827B69F0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9" authorId="0" shapeId="0" xr:uid="{349FC187-0E7C-4120-A61E-976070FAE6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9" authorId="0" shapeId="0" xr:uid="{1EA05631-ECC5-4F65-9E84-B29F317C949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0" authorId="0" shapeId="0" xr:uid="{1FCC1902-9758-40AE-9F0A-F508691A38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0" authorId="0" shapeId="0" xr:uid="{696F28DD-BDC4-4CDF-B650-D9F2F18E75D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0" authorId="0" shapeId="0" xr:uid="{85D6449E-8DEB-40CD-8E19-B31BAF9A1E5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1" authorId="0" shapeId="0" xr:uid="{3876B698-B63A-4531-A2C5-BA11D35D50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1" authorId="0" shapeId="0" xr:uid="{3020E57E-5C76-4B66-A487-F93AA0AA9B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1" authorId="0" shapeId="0" xr:uid="{7178C65C-C3B7-4601-A7BF-FC8D8AD994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2" authorId="0" shapeId="0" xr:uid="{955AF13D-355E-479D-9ED0-EF43458092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2" authorId="0" shapeId="0" xr:uid="{44473EA7-95E8-4087-9AB5-1203945F11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2" authorId="0" shapeId="0" xr:uid="{891A8598-233C-4712-9ED7-E6ECC68040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3" authorId="0" shapeId="0" xr:uid="{115C7C1F-1BA9-4D06-A9D8-2198941247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3" authorId="0" shapeId="0" xr:uid="{E2BFF739-C307-4BC8-BEE9-A365130E34D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3" authorId="0" shapeId="0" xr:uid="{A5542B56-1DD4-4AC5-8A47-538537839D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4" authorId="0" shapeId="0" xr:uid="{0E3E2738-FF0C-46AE-916E-BB156235EE4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4" authorId="0" shapeId="0" xr:uid="{94F58DB9-BC0C-4D0E-A285-1BBA9A1548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4" authorId="0" shapeId="0" xr:uid="{84D5ABF5-69B9-479B-A50A-E576C7B820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7" authorId="0" shapeId="0" xr:uid="{BB2EC3D4-5A67-47AC-9748-9BB633F59F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7" authorId="0" shapeId="0" xr:uid="{D972D990-AECD-47BB-B2E6-7A59262FF5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7" authorId="0" shapeId="0" xr:uid="{8A111BBC-74BB-41F8-9E8C-369821F134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8" authorId="0" shapeId="0" xr:uid="{30F7F515-2B00-418D-B623-CDEE87698D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8" authorId="0" shapeId="0" xr:uid="{A60BFFF3-EA81-445E-9487-62BC19F1ED5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8" authorId="0" shapeId="0" xr:uid="{E84B9460-A56D-4E50-9C84-CDE8C03BBC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1" authorId="0" shapeId="0" xr:uid="{3091AB35-6ABF-44D8-B8D0-ACB0D0795E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2" authorId="0" shapeId="0" xr:uid="{C6943117-C2CE-4A24-8575-18FCAB6D4B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5" authorId="0" shapeId="0" xr:uid="{48417583-65D7-4855-9D4A-6FE572161A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6" authorId="0" shapeId="0" xr:uid="{B33CEA36-40AC-44C0-9040-894189E2D920}">
      <text>
        <r>
          <rPr>
            <sz val="8"/>
            <color indexed="81"/>
            <rFont val="Tahoma"/>
            <family val="2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<sst xmlns="http://schemas.openxmlformats.org/spreadsheetml/2006/main" count="554" uniqueCount="540">
  <si>
    <t>***FINAL***</t>
  </si>
  <si>
    <t xml:space="preserve">                        JUNIOR CHAMBER INTERNATIONAL (JCI), INC.</t>
  </si>
  <si>
    <t xml:space="preserve">                                 STATEMENTS OF FINANCIAL POSITION</t>
  </si>
  <si>
    <t xml:space="preserve">                                                   JULY 31, 2002 AND 2001</t>
  </si>
  <si>
    <t xml:space="preserve">                                     ASSETS</t>
  </si>
  <si>
    <t xml:space="preserve">                    2002</t>
  </si>
  <si>
    <t xml:space="preserve">                    2001</t>
  </si>
  <si>
    <t>Current assets:</t>
  </si>
  <si>
    <t xml:space="preserve">     Cash and cash equivalents</t>
  </si>
  <si>
    <t xml:space="preserve">     Short-term investments</t>
  </si>
  <si>
    <t xml:space="preserve">     Accounts receivable, less allowance</t>
  </si>
  <si>
    <t xml:space="preserve">     Due rom officers and employeess</t>
  </si>
  <si>
    <t xml:space="preserve">     Due from Foundation</t>
  </si>
  <si>
    <t xml:space="preserve">     Inventories</t>
  </si>
  <si>
    <t xml:space="preserve">     Prepaid expenses</t>
  </si>
  <si>
    <t xml:space="preserve">     Other current assets </t>
  </si>
  <si>
    <t xml:space="preserve">          Total current assets</t>
  </si>
  <si>
    <t>Restricted cash</t>
  </si>
  <si>
    <t xml:space="preserve">     Less allowance for possible nonavailability</t>
  </si>
  <si>
    <t xml:space="preserve">          Total restricted cash</t>
  </si>
  <si>
    <t>Property andequipment:</t>
  </si>
  <si>
    <t xml:space="preserve">     Land and landscaping</t>
  </si>
  <si>
    <t xml:space="preserve">     Building</t>
  </si>
  <si>
    <t xml:space="preserve">     SG residential property</t>
  </si>
  <si>
    <t xml:space="preserve">     Furniture, fixtures and equipment</t>
  </si>
  <si>
    <t xml:space="preserve">          Total property and equipment</t>
  </si>
  <si>
    <t xml:space="preserve">               Less accumulated depreciation</t>
  </si>
  <si>
    <t xml:space="preserve">          Net property and equipment</t>
  </si>
  <si>
    <t>Other assets</t>
  </si>
  <si>
    <t xml:space="preserve">                    Total assets</t>
  </si>
  <si>
    <t xml:space="preserve">                    LIABILITIES AND NET ASSETS</t>
  </si>
  <si>
    <t>Curent liabilities:</t>
  </si>
  <si>
    <t xml:space="preserve">     Accounts payable</t>
  </si>
  <si>
    <t xml:space="preserve">     Accrued liabilities</t>
  </si>
  <si>
    <t xml:space="preserve">     Due to Foundation</t>
  </si>
  <si>
    <t xml:space="preserve">     Congress and conference bid bonds</t>
  </si>
  <si>
    <t xml:space="preserve">     Deferred revenues</t>
  </si>
  <si>
    <t xml:space="preserve">          Total current liabilities</t>
  </si>
  <si>
    <t>Net assets:</t>
  </si>
  <si>
    <t xml:space="preserve">     Unrestricted</t>
  </si>
  <si>
    <t xml:space="preserve">     Temporarily restricted</t>
  </si>
  <si>
    <t xml:space="preserve">     Permanently restricted</t>
  </si>
  <si>
    <t xml:space="preserve">     Increase/(decrease) in current year net assets</t>
  </si>
  <si>
    <t xml:space="preserve">     </t>
  </si>
  <si>
    <t xml:space="preserve">          Total net assets</t>
  </si>
  <si>
    <t xml:space="preserve">                    Total liabilities and net assets</t>
  </si>
  <si>
    <t xml:space="preserve">  prepared:</t>
  </si>
  <si>
    <t>EXTENSION</t>
  </si>
  <si>
    <t>000..999</t>
  </si>
  <si>
    <t>EXPENSE</t>
  </si>
  <si>
    <t>MAIN</t>
  </si>
  <si>
    <t>3005..9999</t>
  </si>
  <si>
    <t>TYPE</t>
  </si>
  <si>
    <t>ACTUAL</t>
  </si>
  <si>
    <t>TYPE2</t>
  </si>
  <si>
    <t>Last Year Year To Date 12</t>
  </si>
  <si>
    <t>YEAR</t>
  </si>
  <si>
    <t>2002</t>
  </si>
  <si>
    <t>MTD ACTUAL</t>
  </si>
  <si>
    <t>YEAR TO DATE</t>
  </si>
  <si>
    <t>YEAR END</t>
  </si>
  <si>
    <t>PERIOD</t>
  </si>
  <si>
    <t>YEAR TO DATE 7</t>
  </si>
  <si>
    <t>12/31/01</t>
  </si>
  <si>
    <t>COMPANY</t>
  </si>
  <si>
    <t>55</t>
  </si>
  <si>
    <t>BUDGET</t>
  </si>
  <si>
    <t>2002BUD</t>
  </si>
  <si>
    <t>ASSETS</t>
  </si>
  <si>
    <t xml:space="preserve"> </t>
  </si>
  <si>
    <t>ACCOUNTS</t>
  </si>
  <si>
    <t>PERIOD1</t>
  </si>
  <si>
    <t>Transactions Month 7</t>
  </si>
  <si>
    <t>PETTY CASH</t>
  </si>
  <si>
    <t>1005-000-000</t>
  </si>
  <si>
    <t>((1005-000-000)(000..999)(000..999))</t>
  </si>
  <si>
    <t>^-^-^</t>
  </si>
  <si>
    <t>CITIBANK-INDIA</t>
  </si>
  <si>
    <t>1006-000-000</t>
  </si>
  <si>
    <t>((1006-000-000)(000..999)(000..999))</t>
  </si>
  <si>
    <t>ALLOW FOR FX LOSS-INDIA</t>
  </si>
  <si>
    <t>1006-001-000</t>
  </si>
  <si>
    <t>((1006-001-000)(000..999)(000..999))</t>
  </si>
  <si>
    <t>CITIBANK-OPERATING (NEW)</t>
  </si>
  <si>
    <t>1007-000-000</t>
  </si>
  <si>
    <t>((1007-000-000)(000..999)(000..999))</t>
  </si>
  <si>
    <t>CITIBANK-OPERATING (OLD)</t>
  </si>
  <si>
    <t>1008-000-000</t>
  </si>
  <si>
    <t>((1008-000-000)(000..999)(000..999))</t>
  </si>
  <si>
    <t>CITIBANK-PAYROLL</t>
  </si>
  <si>
    <t>1009-000-000</t>
  </si>
  <si>
    <t>((1009-000-000)(000..999)(000..999))</t>
  </si>
  <si>
    <t>CITIBANK-CONGRESS</t>
  </si>
  <si>
    <t>1010-000-000</t>
  </si>
  <si>
    <t>((1010-000-000)(000..999)(000..999))</t>
  </si>
  <si>
    <t>CITIBANK-MONEY MARKET</t>
  </si>
  <si>
    <t>1011-000-000</t>
  </si>
  <si>
    <t>((1011-000-000)(000..999)(000..999))</t>
  </si>
  <si>
    <t>BANK OF AMERICA</t>
  </si>
  <si>
    <t>1014-000-000</t>
  </si>
  <si>
    <t>((1014-000-000)(000..999)(000..999))</t>
  </si>
  <si>
    <t xml:space="preserve">          TOTAL CASH AND EQUIVALENTS</t>
  </si>
  <si>
    <t>CITICORP-INVESTMENTS</t>
  </si>
  <si>
    <t>1012-000-000</t>
  </si>
  <si>
    <t>((1012-000-000)(000..999)(000..999))</t>
  </si>
  <si>
    <t>HOKUYO BANK - SAPPORO (YEN)</t>
  </si>
  <si>
    <t>1013-000-000</t>
  </si>
  <si>
    <t>((1013-000-000)(000..999)(000..999))</t>
  </si>
  <si>
    <t>CREDIT LYONNAIS-CD(USD)</t>
  </si>
  <si>
    <t>1016-000-000</t>
  </si>
  <si>
    <t>((1016-000-000)(000..999)(000..999))</t>
  </si>
  <si>
    <t>CREDIT LYONNAIS-FF</t>
  </si>
  <si>
    <t>1017-000-000</t>
  </si>
  <si>
    <t>((1017-000-000)(000..999)(000..999))</t>
  </si>
  <si>
    <t>SUN BANK-OPERATING</t>
  </si>
  <si>
    <t>1018-000-000</t>
  </si>
  <si>
    <t>((1018-000-000)(000..999)(000..999))</t>
  </si>
  <si>
    <t>CREDIT LYONNAIS-INVESTMENTS</t>
  </si>
  <si>
    <t>1019-000-000</t>
  </si>
  <si>
    <t>((1019-000-000)(000..999)(000..999))</t>
  </si>
  <si>
    <t>PREMIUMS (DISCOUNTS)</t>
  </si>
  <si>
    <t>1020-000-000</t>
  </si>
  <si>
    <t>((1020-000-000)(000..999)(000..999))</t>
  </si>
  <si>
    <t>BANCO SABADELL-USA</t>
  </si>
  <si>
    <t>1021-000-000</t>
  </si>
  <si>
    <t>((1021-000-000)(000..999)(000..999))</t>
  </si>
  <si>
    <t>BANCO SAVADELL-PTS</t>
  </si>
  <si>
    <t>1022-000-000</t>
  </si>
  <si>
    <t>((1022-000-000)(000..999)(000..999))</t>
  </si>
  <si>
    <t>CREDIT CARD</t>
  </si>
  <si>
    <t>1023-000-000</t>
  </si>
  <si>
    <t>((1023-000-000)(000..999)(000..999))</t>
  </si>
  <si>
    <t xml:space="preserve">         TOTAL INVESTMENTS</t>
  </si>
  <si>
    <t>A/R-DUES</t>
  </si>
  <si>
    <t>1025-*-000</t>
  </si>
  <si>
    <t>((1025-*-000)(000..999)(000..999))</t>
  </si>
  <si>
    <t>A/R-OFFICERS</t>
  </si>
  <si>
    <t>1030-*-000</t>
  </si>
  <si>
    <t>((1030-*-000)(000..999)(000..999))</t>
  </si>
  <si>
    <t>A/R-STAFF</t>
  </si>
  <si>
    <t>1032-*-000</t>
  </si>
  <si>
    <t>((1032-*-000)(000..999)(000..999))</t>
  </si>
  <si>
    <t>A/R-SAPPORO (2000)</t>
  </si>
  <si>
    <t>1035-000-000</t>
  </si>
  <si>
    <t>((1035-000-000)(000..999)(000..999))</t>
  </si>
  <si>
    <t>A/R-MANILA (98)</t>
  </si>
  <si>
    <t>1040-000-000</t>
  </si>
  <si>
    <t>((1040-000-000)(000..999)(000..999))</t>
  </si>
  <si>
    <t>A/R-CANNES COC (99)</t>
  </si>
  <si>
    <t>1045-000-000</t>
  </si>
  <si>
    <t>((1045-000-000)(000..999)(000..999))</t>
  </si>
  <si>
    <t>A/R-INSURANCE</t>
  </si>
  <si>
    <t>1050-000-000</t>
  </si>
  <si>
    <t>((1050-000-000)(000..999)(000..999))</t>
  </si>
  <si>
    <t>A/R-GENERAL</t>
  </si>
  <si>
    <t>1055-000-000</t>
  </si>
  <si>
    <t>((1055-000-000)(000..999)(000..999))</t>
  </si>
  <si>
    <t>A/R-SALES</t>
  </si>
  <si>
    <t>1058-000-000</t>
  </si>
  <si>
    <t>((1058-000-000)(000..999)(000..999))</t>
  </si>
  <si>
    <t>A/R-JCI FOUNDATION</t>
  </si>
  <si>
    <t>1060-000-000</t>
  </si>
  <si>
    <t>((1060-000-000)(000..999)(000..999))</t>
  </si>
  <si>
    <t>ACCRUED INT RECEIVABLE</t>
  </si>
  <si>
    <t>1065-000-000</t>
  </si>
  <si>
    <t>((1065-000-000)(000..999)(000..999))</t>
  </si>
  <si>
    <t>NOTES RECEIVABLE</t>
  </si>
  <si>
    <t>1070-000-000</t>
  </si>
  <si>
    <t>((1070-000-000)(000..999)(000..999))</t>
  </si>
  <si>
    <t>A/R-LONG TERM</t>
  </si>
  <si>
    <t>1075-000-000</t>
  </si>
  <si>
    <t>((1075-000-000)(000..999)(000..999))</t>
  </si>
  <si>
    <t>BAD DEBT PROV-DUES</t>
  </si>
  <si>
    <t>1080-000-000</t>
  </si>
  <si>
    <t>((1080-000-000)(000..999)(000..999))</t>
  </si>
  <si>
    <t>BAD DEBT PROV-OTHER</t>
  </si>
  <si>
    <t>1085-000-000</t>
  </si>
  <si>
    <t>((1085-000-000)(000..999)(000..999))</t>
  </si>
  <si>
    <t xml:space="preserve">          TOTAL RECEIVABLES</t>
  </si>
  <si>
    <t>INVENTORY-JCI PRODUCTS</t>
  </si>
  <si>
    <t>1100-000-000</t>
  </si>
  <si>
    <t>((1100-000-000)(000..999)(000..999))</t>
  </si>
  <si>
    <t>INVENTORY-US PRODUCTS</t>
  </si>
  <si>
    <t>1100-000-005</t>
  </si>
  <si>
    <t>((1100-000-005)(000..999)(000..999))</t>
  </si>
  <si>
    <t>PURCHASES-JCI</t>
  </si>
  <si>
    <t>1100-001-000</t>
  </si>
  <si>
    <t>((1100-001-000)(000..999)(000..999))</t>
  </si>
  <si>
    <t>PURCHASES-US</t>
  </si>
  <si>
    <t>1100-001-005</t>
  </si>
  <si>
    <t>((1100-001-005)(000..999)(000..999))</t>
  </si>
  <si>
    <t>INVENTORY-OFFICER PINS</t>
  </si>
  <si>
    <t>1105-000-000</t>
  </si>
  <si>
    <t>((1105-000-000)(000..999)(000..999))</t>
  </si>
  <si>
    <t>RESERVE-OBSOLETE INVENTORY</t>
  </si>
  <si>
    <t>1110-000-000</t>
  </si>
  <si>
    <t>((1110-000-000)(000..999)(000..999))</t>
  </si>
  <si>
    <t>INVENTORY CLEARING</t>
  </si>
  <si>
    <t>1111-000-000</t>
  </si>
  <si>
    <t>((1111-000-000)(000..999)(000..999))</t>
  </si>
  <si>
    <t>INVENTORY IN-PROGRESS:</t>
  </si>
  <si>
    <t>1115-000-000</t>
  </si>
  <si>
    <t>((1115-000-000)(000..999)(000..999))</t>
  </si>
  <si>
    <t>VANGUARD LEADERS</t>
  </si>
  <si>
    <t>1115-005-000</t>
  </si>
  <si>
    <t>((1115-005-000)(000..999)(000..999))</t>
  </si>
  <si>
    <t>PRIME</t>
  </si>
  <si>
    <t>1115-010-000</t>
  </si>
  <si>
    <t>((1115-010-000)(000..999)(000..999))</t>
  </si>
  <si>
    <t>CHAPTER DEVELOPMENT</t>
  </si>
  <si>
    <t>1115-015-000</t>
  </si>
  <si>
    <t>((1115-015-000)(000..999)(000..999))</t>
  </si>
  <si>
    <t>OPPORTUNITY TO SUCCEED</t>
  </si>
  <si>
    <t>1115-020-000</t>
  </si>
  <si>
    <t>((1115-020-000)(000..999)(000..999))</t>
  </si>
  <si>
    <t>NATIONAL LEADERS</t>
  </si>
  <si>
    <t>1115-025-000</t>
  </si>
  <si>
    <t>((1115-025-000)(000..999)(000..999))</t>
  </si>
  <si>
    <t>TRANSPARENCIES</t>
  </si>
  <si>
    <t>1115-030-000</t>
  </si>
  <si>
    <t>((1115-030-000)(000..999)(000..999))</t>
  </si>
  <si>
    <t>LOCAL LEADERS</t>
  </si>
  <si>
    <t>1115-035-000</t>
  </si>
  <si>
    <t>((1115-035-000)(000..999)(000..999))</t>
  </si>
  <si>
    <t xml:space="preserve">          TOTAL INVENTORY</t>
  </si>
  <si>
    <t>PREPAIDS-GENERAL</t>
  </si>
  <si>
    <t>1205-000-000</t>
  </si>
  <si>
    <t>((1205-000-000)(000..999)(000..999))</t>
  </si>
  <si>
    <t>PREPAIDS-POSTAGE METER</t>
  </si>
  <si>
    <t>1210-000-000</t>
  </si>
  <si>
    <t>((1210-000-000)(000..999)(000..999))</t>
  </si>
  <si>
    <t>PREPAIDS-SPC</t>
  </si>
  <si>
    <t>1215-000-000</t>
  </si>
  <si>
    <t>((1215-000-000)(000..999)(000..999))</t>
  </si>
  <si>
    <t>PREPAIDS-INSURANCE</t>
  </si>
  <si>
    <t>1220-000-000</t>
  </si>
  <si>
    <t>((1220-000-000)(000..999)(000..999))</t>
  </si>
  <si>
    <t xml:space="preserve">          TOTAL PREPAID</t>
  </si>
  <si>
    <t>DEPOSITS-ELECTRICITY</t>
  </si>
  <si>
    <t>1250-000-000</t>
  </si>
  <si>
    <t>((1250-000-000)(000..999)(000..999))</t>
  </si>
  <si>
    <t>3005..3135</t>
  </si>
  <si>
    <t>^-^-^((3005..3135)(000..999)(000..999))</t>
  </si>
  <si>
    <t>DEPOSITS-SUNDRY</t>
  </si>
  <si>
    <t>1255-000-000</t>
  </si>
  <si>
    <t>((1255-000-000)(000..999)(000..999))</t>
  </si>
  <si>
    <t>4000..9999</t>
  </si>
  <si>
    <t>^-^-^((4000..9999)(000..999)(000..999))</t>
  </si>
  <si>
    <t xml:space="preserve">          TOTAL DEPOSITS</t>
  </si>
  <si>
    <t>SUSPENSE-DEFAULT ACCOUNT</t>
  </si>
  <si>
    <t>1300-000-000</t>
  </si>
  <si>
    <t>((1300-000-000)(000..999)(000..999))</t>
  </si>
  <si>
    <t>SUSPENSE-GENERAL</t>
  </si>
  <si>
    <t>1305-000-000</t>
  </si>
  <si>
    <t>((1305-000-000)(000..999)(000..999))</t>
  </si>
  <si>
    <t>SUSPENSE-SENATE</t>
  </si>
  <si>
    <t>1310-000-000</t>
  </si>
  <si>
    <t>((1310-000-000)(000..999)(000..999))</t>
  </si>
  <si>
    <t>1000..1999</t>
  </si>
  <si>
    <t>^-^-^((1000..1999)(000..999)(000..999))</t>
  </si>
  <si>
    <t>SUSPENSE-CONGRESS MISC</t>
  </si>
  <si>
    <t>1330-000-000</t>
  </si>
  <si>
    <t>((1330-000-000)(000..999)(000..999))</t>
  </si>
  <si>
    <t>SUSPENSE-CONG REG CLEARING</t>
  </si>
  <si>
    <t>1335-000-000</t>
  </si>
  <si>
    <t>((1335-000-000)(000..999)(000..999))</t>
  </si>
  <si>
    <t xml:space="preserve">          TOTAL OTHER CURRENT ASSETS</t>
  </si>
  <si>
    <t>LIBRARY EXT/LOBBY</t>
  </si>
  <si>
    <t>1505-000-000</t>
  </si>
  <si>
    <t>((1505-000-000)(000..999)(000..999))</t>
  </si>
  <si>
    <t>LAND &amp; LANDSCAPING</t>
  </si>
  <si>
    <t>1510-000-000</t>
  </si>
  <si>
    <t>((1510-000-000)(000..999)(000..999))</t>
  </si>
  <si>
    <t>RENOVATIONS-2/4 FL</t>
  </si>
  <si>
    <t>1515-000-000</t>
  </si>
  <si>
    <t>((1515-000-000)(000..999)(000..999))</t>
  </si>
  <si>
    <t>RENOVATIONS-3 FL</t>
  </si>
  <si>
    <t>1517-000-000</t>
  </si>
  <si>
    <t>((1517-000-000)(000..999)(000..999))</t>
  </si>
  <si>
    <t>SECRETARIAT BUILDING</t>
  </si>
  <si>
    <t>1525-000-000</t>
  </si>
  <si>
    <t>((1525-000-000)(000..999)(000..999))</t>
  </si>
  <si>
    <t>PLANT &amp; MACHINERY</t>
  </si>
  <si>
    <t>1530-000-000</t>
  </si>
  <si>
    <t>((1530-000-000)(000..999)(000..999))</t>
  </si>
  <si>
    <t>FURNITURE &amp; EQUIPMENT</t>
  </si>
  <si>
    <t>1535-000-000</t>
  </si>
  <si>
    <t>((1535-000-000)(000..999)(000..999))</t>
  </si>
  <si>
    <t xml:space="preserve">          TOTAL PROPERTY AND EQUIPMENT</t>
  </si>
  <si>
    <t>ACC DEPR-PLANT/MACHINERY</t>
  </si>
  <si>
    <t>1605-000-000</t>
  </si>
  <si>
    <t>((1605-000-000)(000..999)(000..999))</t>
  </si>
  <si>
    <t>ACC DEPR-BUILDING</t>
  </si>
  <si>
    <t>1610-000-000</t>
  </si>
  <si>
    <t>((1610-000-000)(000..999)(000..999))</t>
  </si>
  <si>
    <t>ACC DEPR-FURNITURE</t>
  </si>
  <si>
    <t>1615-000-000</t>
  </si>
  <si>
    <t>((1615-000-000)(000..999)(000..999))</t>
  </si>
  <si>
    <t>ACC DEPR-3RD FL RENOVATIONS</t>
  </si>
  <si>
    <t>1622-000-000</t>
  </si>
  <si>
    <t>((1622-000-000)(000..999)(000..999))</t>
  </si>
  <si>
    <t>ACC DEPR-2/4 RENOVATIONS</t>
  </si>
  <si>
    <t>1625-000-000</t>
  </si>
  <si>
    <t>((1625-000-000)(000..999)(000..999))</t>
  </si>
  <si>
    <t xml:space="preserve">          TOTAL ACCUMULATED DEPRECIATION</t>
  </si>
  <si>
    <t>USJCC CONTRACT RIGHTS</t>
  </si>
  <si>
    <t>1705-000-000</t>
  </si>
  <si>
    <t>((1705-000-000)(000..999)(000..999))</t>
  </si>
  <si>
    <t>ACC AMORTIZATION - USJCC RIGHTS</t>
  </si>
  <si>
    <t>1805-000-000</t>
  </si>
  <si>
    <t>((1805-000-000)(000..999)(000..999))</t>
  </si>
  <si>
    <t xml:space="preserve">          TOTAL OTHER ASSETS</t>
  </si>
  <si>
    <t xml:space="preserve">                    TOTAL ASSETS</t>
  </si>
  <si>
    <t>LIABILITIES</t>
  </si>
  <si>
    <t>ACCOUNTS PAYABLE-GENERAL</t>
  </si>
  <si>
    <t>2005-000-000</t>
  </si>
  <si>
    <t>((2005-000-000)(000..999)(000..999))</t>
  </si>
  <si>
    <t>REFUNDS OVERPAYMENTS-SALES</t>
  </si>
  <si>
    <t>2006-000-000</t>
  </si>
  <si>
    <t>((2006-000-000)(000..999)(000..999))</t>
  </si>
  <si>
    <t>CANDIDATES FILING FEES</t>
  </si>
  <si>
    <t>2007-000-000</t>
  </si>
  <si>
    <t>((2007-000-000)(000..999)(000..999))</t>
  </si>
  <si>
    <t>A/P-DUE TO FOUNDATION</t>
  </si>
  <si>
    <t>2010-000-000</t>
  </si>
  <si>
    <t>((2010-000-000)(000..999)(000..999))</t>
  </si>
  <si>
    <t>WITHHOLDING TAXES</t>
  </si>
  <si>
    <t>2015-000-000</t>
  </si>
  <si>
    <t>((2015-000-000)(000..999)(000..999))</t>
  </si>
  <si>
    <t>MO STATE WITHHOLDING</t>
  </si>
  <si>
    <t>2016-000-000</t>
  </si>
  <si>
    <t>((2016-000-000)(000..999)(000..999))</t>
  </si>
  <si>
    <t>FED UNEMPLOYMENT</t>
  </si>
  <si>
    <t>2017-000-000</t>
  </si>
  <si>
    <t>((2017-000-000)(000..999)(000..999))</t>
  </si>
  <si>
    <t>2018-000-000</t>
  </si>
  <si>
    <t>((2018-000-000)(000..999)(000..999))</t>
  </si>
  <si>
    <t>SOCIAL SECURITY TAXES</t>
  </si>
  <si>
    <t>2020-000-000</t>
  </si>
  <si>
    <t>((2020-000-000)(000..999)(000..999))</t>
  </si>
  <si>
    <t>INSURANCE EMPLOYEE CO PAY</t>
  </si>
  <si>
    <t>2022-000-000</t>
  </si>
  <si>
    <t>((2022-000-000)(000..999)(000..999))</t>
  </si>
  <si>
    <t>401K EMPLOYEE</t>
  </si>
  <si>
    <t>2023-000-000</t>
  </si>
  <si>
    <t>((2023-000-000)(000..999)(000..999))</t>
  </si>
  <si>
    <t>DISABILITY</t>
  </si>
  <si>
    <t>2024-000-000</t>
  </si>
  <si>
    <t>((2024-000-000)(000..999)(000..999))</t>
  </si>
  <si>
    <t>A/P-SALES TAX</t>
  </si>
  <si>
    <t>2025-000-000</t>
  </si>
  <si>
    <t>((2025-000-000)(000..999)(000..999))</t>
  </si>
  <si>
    <t>401K EMPLOYER</t>
  </si>
  <si>
    <t>2026-000-000</t>
  </si>
  <si>
    <t>((2026-000-000)(000..999)(000..999))</t>
  </si>
  <si>
    <t>401K 2%</t>
  </si>
  <si>
    <t>2027-000-000</t>
  </si>
  <si>
    <t>((2027-000-000)(000..999)(000..999))</t>
  </si>
  <si>
    <t>PO CLEARING</t>
  </si>
  <si>
    <t>2030-000-000</t>
  </si>
  <si>
    <t>((2030-000-000)(000..999)(000..999))</t>
  </si>
  <si>
    <t xml:space="preserve">          TOTAL PAYABLES</t>
  </si>
  <si>
    <t>STAFF LEAVES</t>
  </si>
  <si>
    <t>2150-000-000</t>
  </si>
  <si>
    <t>((2150-000-000)(000..999)(000..999))</t>
  </si>
  <si>
    <t>RELOCATION EXPENSES</t>
  </si>
  <si>
    <t>2170-000-000</t>
  </si>
  <si>
    <t>((2170-000-000)(000..999)(000..999))</t>
  </si>
  <si>
    <t>COLOMBIA EARTHQUAKE RELIEF</t>
  </si>
  <si>
    <t>2175-000-000</t>
  </si>
  <si>
    <t>((2175-000-000)(000..999)(000..999))</t>
  </si>
  <si>
    <t>TURKEY EARTHQUAKE RELIEF</t>
  </si>
  <si>
    <t>2177-000-000</t>
  </si>
  <si>
    <t>((2177-000-000)(000..999)(000..999))</t>
  </si>
  <si>
    <t>UNICEF-POE DONATION</t>
  </si>
  <si>
    <t>2185-000-000</t>
  </si>
  <si>
    <t>((2185-000-000)(000..999)(000..999))</t>
  </si>
  <si>
    <t>HONDURAS HURRICANE RELIEF</t>
  </si>
  <si>
    <t>2190-000-000</t>
  </si>
  <si>
    <t>((2190-000-000)(000..999)(000..999))</t>
  </si>
  <si>
    <t>ACCRUED EXPENSES-SPC</t>
  </si>
  <si>
    <t>2195-000-000</t>
  </si>
  <si>
    <t>((2195-000-000)(000..999)(000..999))</t>
  </si>
  <si>
    <t xml:space="preserve">          TOTAL ACCRUED LIABILITIES</t>
  </si>
  <si>
    <t>CONGRESS BID BONDS</t>
  </si>
  <si>
    <t>BARCELONA-2001</t>
  </si>
  <si>
    <t>2205-000-000</t>
  </si>
  <si>
    <t>((2205-000-000)(000..999)(000..999))</t>
  </si>
  <si>
    <t>NEW DEHLI-2002</t>
  </si>
  <si>
    <t>2210-000-000</t>
  </si>
  <si>
    <t>((2210-000-000)(000..999)(000..999))</t>
  </si>
  <si>
    <t>LAS VEGAS-2002</t>
  </si>
  <si>
    <t>2215-000-000</t>
  </si>
  <si>
    <t>((2215-000-000)(000..999)(000..999))</t>
  </si>
  <si>
    <t>MANILA-1998</t>
  </si>
  <si>
    <t>2230-000-000</t>
  </si>
  <si>
    <t>((2230-000-000)(000..999)(000..999))</t>
  </si>
  <si>
    <t>CANNES-1999</t>
  </si>
  <si>
    <t>2240-000-000</t>
  </si>
  <si>
    <t>((2240-000-000)(000..999)(000..999))</t>
  </si>
  <si>
    <t>SAPPORO-2000</t>
  </si>
  <si>
    <t>2245-000-000</t>
  </si>
  <si>
    <t>((2245-000-000)(000..999)(000..999))</t>
  </si>
  <si>
    <t>FUKUOKA 2004</t>
  </si>
  <si>
    <t>2255-000-000</t>
  </si>
  <si>
    <t>((2255-000-000)(000..999)(000..999))</t>
  </si>
  <si>
    <t xml:space="preserve">          TOTAL CONGRESS BID BONDS</t>
  </si>
  <si>
    <t>CONFERENCE BID BONDS</t>
  </si>
  <si>
    <t>ISTANBUL-2002</t>
  </si>
  <si>
    <t>2305-000-000</t>
  </si>
  <si>
    <t>((2305-000-000)(000..999)(000..999))</t>
  </si>
  <si>
    <t>SENDAI-2002</t>
  </si>
  <si>
    <t>2310-000-000</t>
  </si>
  <si>
    <t>((2310-000-000)(000..999)(000..999))</t>
  </si>
  <si>
    <t>REP DOMINICANA - 2002</t>
  </si>
  <si>
    <t>2315-000-000</t>
  </si>
  <si>
    <t>((2315-000-000)(000..999)(000..999))</t>
  </si>
  <si>
    <t>CEBU - 2003</t>
  </si>
  <si>
    <t>2320-000-000</t>
  </si>
  <si>
    <t>((2320-000-000)(000..999)(000..999))</t>
  </si>
  <si>
    <t>EDMONTON 2003</t>
  </si>
  <si>
    <t>2325-000-000</t>
  </si>
  <si>
    <t>((2325-000-000)(000..999)(000..999))</t>
  </si>
  <si>
    <t>SOUSSE 2002</t>
  </si>
  <si>
    <t>2330-000-000</t>
  </si>
  <si>
    <t>((2330-000-000)(000..999)(000..999))</t>
  </si>
  <si>
    <t>LAUSANNE</t>
  </si>
  <si>
    <t>2335-000-000</t>
  </si>
  <si>
    <t>((2335-000-000)(000..999)(000..999))</t>
  </si>
  <si>
    <t>BIRMINGHAM 2003</t>
  </si>
  <si>
    <t>2340-000-000</t>
  </si>
  <si>
    <t>((2340-000-000)(000..999)(000..999))</t>
  </si>
  <si>
    <t>GABON 2003</t>
  </si>
  <si>
    <t>2345-000-000</t>
  </si>
  <si>
    <t>((2345-000-000)(000..999)(000..999))</t>
  </si>
  <si>
    <t>PENANG 2004</t>
  </si>
  <si>
    <t>2348-000-000</t>
  </si>
  <si>
    <t>((2348-000-000)(000..999)(000..999))</t>
  </si>
  <si>
    <t>MONACO-1998</t>
  </si>
  <si>
    <t>2410-000-000</t>
  </si>
  <si>
    <t>((2410-000-000)(000..999)(000..999))</t>
  </si>
  <si>
    <t>PAN-MAC (MACAU)-1998</t>
  </si>
  <si>
    <t>2415-000-000</t>
  </si>
  <si>
    <t>((2415-000-000)(000..999)(000..999))</t>
  </si>
  <si>
    <t>BOLIVIA-1998</t>
  </si>
  <si>
    <t>2420-000-000</t>
  </si>
  <si>
    <t>((2420-000-000)(000..999)(000..999))</t>
  </si>
  <si>
    <t>BALI (INDO)-1999</t>
  </si>
  <si>
    <t>2430-000-000</t>
  </si>
  <si>
    <t>((2430-000-000)(000..999)(000..999))</t>
  </si>
  <si>
    <t>JAKARTA (INDO)-1999</t>
  </si>
  <si>
    <t>2435-000-000</t>
  </si>
  <si>
    <t>((2435-000-000)(000..999)(000..999))</t>
  </si>
  <si>
    <t>KAOHSIUNG-2000</t>
  </si>
  <si>
    <t>2440-000-000</t>
  </si>
  <si>
    <t>((2440-000-000)(000..999)(000..999))</t>
  </si>
  <si>
    <t>MAURICE-1999</t>
  </si>
  <si>
    <t>2445-000-000</t>
  </si>
  <si>
    <t>((2445-000-000)(000..999)(000..999))</t>
  </si>
  <si>
    <t>GERMANY-1999</t>
  </si>
  <si>
    <t>2450-000-000</t>
  </si>
  <si>
    <t>((2450-000-000)(000..999)(000..999))</t>
  </si>
  <si>
    <t>PANAMA-1999</t>
  </si>
  <si>
    <t>2455-000-000</t>
  </si>
  <si>
    <t>((2455-000-000)(000..999)(000..999))</t>
  </si>
  <si>
    <t>NAIROBI - 2000</t>
  </si>
  <si>
    <t>2460-000-000</t>
  </si>
  <si>
    <t>((2460-000-000)(000..999)(000..999))</t>
  </si>
  <si>
    <t>OOSTENDE - 2000</t>
  </si>
  <si>
    <t>2465-000-000</t>
  </si>
  <si>
    <t>((2465-000-000)(000..999)(000..999))</t>
  </si>
  <si>
    <t>MALI - 2000</t>
  </si>
  <si>
    <t>2470-000-000</t>
  </si>
  <si>
    <t>((2470-000-000)(000..999)(000..999))</t>
  </si>
  <si>
    <t>CURITIBA - 2000</t>
  </si>
  <si>
    <t>2475-000-000</t>
  </si>
  <si>
    <t>((2475-000-000)(000..999)(000..999))</t>
  </si>
  <si>
    <t>TAMPERE-2001</t>
  </si>
  <si>
    <t>2480-000-000</t>
  </si>
  <si>
    <t>((2480-000-000)(000..999)(000..999))</t>
  </si>
  <si>
    <t>CAMEROUN-2001</t>
  </si>
  <si>
    <t>2485-000-000</t>
  </si>
  <si>
    <t>((2485-000-000)(000..999)(000..999))</t>
  </si>
  <si>
    <t>ATLANTA-2001</t>
  </si>
  <si>
    <t>2490-000-000</t>
  </si>
  <si>
    <t>((2490-000-000)(000..999)(000..999))</t>
  </si>
  <si>
    <t>TAEGU(KOREA)-2001</t>
  </si>
  <si>
    <t>2495-000-000</t>
  </si>
  <si>
    <t>((2495-000-000)(000..999)(000..999))</t>
  </si>
  <si>
    <t xml:space="preserve">          TOTAL CONFERENCE BID BONDS</t>
  </si>
  <si>
    <t xml:space="preserve">               TOTAL BID BONDS</t>
  </si>
  <si>
    <t>DEFERRED INCOME-SENATE</t>
  </si>
  <si>
    <t>2505-000-000</t>
  </si>
  <si>
    <t>((2505-000-000)(000..999)(000..999))</t>
  </si>
  <si>
    <t>DEFERRED INCOME-OTHER</t>
  </si>
  <si>
    <t>2515-000-000</t>
  </si>
  <si>
    <t>((2515-000-000)(000..999)(000..999))</t>
  </si>
  <si>
    <t xml:space="preserve">          TOTAL DEFERRED REVENUES</t>
  </si>
  <si>
    <t xml:space="preserve">               TOTAL LIABILITIES</t>
  </si>
  <si>
    <t>CAPITAL</t>
  </si>
  <si>
    <t>A/C REPAIRS</t>
  </si>
  <si>
    <t>3005-000-000</t>
  </si>
  <si>
    <t>((3005-000-000)(000..999)(000..999))</t>
  </si>
  <si>
    <t>BUILDING-GENERAL</t>
  </si>
  <si>
    <t>3010-000-000</t>
  </si>
  <si>
    <t>((3010-000-000)(000..999)(000..999))</t>
  </si>
  <si>
    <t>COMPUTER SYSTEM</t>
  </si>
  <si>
    <t>3015-000-000</t>
  </si>
  <si>
    <t>((3015-000-000)(000..999)(000..999))</t>
  </si>
  <si>
    <t>SECURITY SYSTEM-PARKING LOT</t>
  </si>
  <si>
    <t>3032-000-000</t>
  </si>
  <si>
    <t>((3032-000-000)(000..999)(000..999))</t>
  </si>
  <si>
    <t>NAGOYA AWARD FUND</t>
  </si>
  <si>
    <t>3035-000-000</t>
  </si>
  <si>
    <t>((3035-000-000)(000..999)(000..999))</t>
  </si>
  <si>
    <t>YOKOHAMA AWARD FUND</t>
  </si>
  <si>
    <t>3040-000-000</t>
  </si>
  <si>
    <t>((3040-000-000)(000..999)(000..999))</t>
  </si>
  <si>
    <t>JUNYA YOSHIDA FUND</t>
  </si>
  <si>
    <t>3045-000-000</t>
  </si>
  <si>
    <t>((3045-000-000)(000..999)(000..999))</t>
  </si>
  <si>
    <t>OPERATING SURPLUS RESERVE</t>
  </si>
  <si>
    <t>3130-000-000</t>
  </si>
  <si>
    <t>((3130-000-000)(000..999)(000..999))</t>
  </si>
  <si>
    <t xml:space="preserve">          TOTAL APPROPRIATED</t>
  </si>
  <si>
    <t>UNAPPROPRIATED SURPLUS</t>
  </si>
  <si>
    <t>3135-000-000</t>
  </si>
  <si>
    <t>((3135-000-000)(000..999)(000..999))</t>
  </si>
  <si>
    <t>NET INCOME/(LOSS)</t>
  </si>
  <si>
    <t xml:space="preserve">          UNAPPROPRIATED SURPLUS</t>
  </si>
  <si>
    <t>YTD ACTUAL</t>
  </si>
  <si>
    <t xml:space="preserve">               TOTAL CAPITAL</t>
  </si>
  <si>
    <t>PROFIT/LOSS</t>
  </si>
  <si>
    <t xml:space="preserve">                    TOTAL LIABILITIES &amp; CAPITAL</t>
  </si>
  <si>
    <t>FUND BALANCE</t>
  </si>
  <si>
    <t>ASSETS =</t>
  </si>
  <si>
    <t>LIABILITIES/CAPITAL</t>
  </si>
  <si>
    <t>2000..9999</t>
  </si>
  <si>
    <t>^-^-^((2000..9999)(000..999)(000..999))</t>
  </si>
  <si>
    <t>DIFF SHOULD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</si>
</sst>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_)"/>
    <numFmt numFmtId="173" formatCode="hh:mm:ss\ AM/PM_)"/>
    <numFmt numFmtId="174" formatCode="mm/dd/yy_)"/>
  </numFmts>
  <fonts count="9">
    <font>
      <sz val="8"/>
      <name val="AvantGarde"/>
    </font>
    <font>
      <b/>
      <sz val="8"/>
      <color indexed="8"/>
      <name val="Times New Roman"/>
      <family val="1"/>
    </font>
    <font>
      <sz val="8"/>
      <color indexed="8"/>
      <name val="AvantGarde"/>
    </font>
    <font>
      <sz val="8"/>
      <color indexed="8"/>
      <name val="Times New Roman"/>
      <family val="1"/>
    </font>
    <font>
      <b/>
      <u/>
      <sz val="8"/>
      <color indexed="8"/>
      <name val="Times New Roman"/>
      <family val="1"/>
    </font>
    <font>
      <b/>
      <i/>
      <u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37" fontId="0" fillId="0" borderId="0"/>
  </cellStyleXfs>
  <cellXfs count="29">
    <xf numFmtId="37" fontId="0" fillId="0" borderId="0" xfId="0"/>
    <xf numFmtId="37" fontId="1" fillId="0" borderId="0" xfId="0" applyNumberFormat="1" applyFont="1" applyProtection="1"/>
    <xf numFmtId="37" fontId="1" fillId="0" borderId="1" xfId="0" applyNumberFormat="1" applyFont="1" applyBorder="1" applyProtection="1"/>
    <xf numFmtId="39" fontId="1" fillId="0" borderId="2" xfId="0" applyNumberFormat="1" applyFont="1" applyBorder="1" applyProtection="1"/>
    <xf numFmtId="39" fontId="1" fillId="0" borderId="3" xfId="0" applyNumberFormat="1" applyFont="1" applyBorder="1" applyProtection="1"/>
    <xf numFmtId="37" fontId="2" fillId="0" borderId="0" xfId="0" applyNumberFormat="1" applyFont="1" applyProtection="1"/>
    <xf numFmtId="37" fontId="3" fillId="0" borderId="0" xfId="0" applyNumberFormat="1" applyFont="1" applyProtection="1"/>
    <xf numFmtId="37" fontId="1" fillId="0" borderId="4" xfId="0" applyNumberFormat="1" applyFont="1" applyBorder="1" applyProtection="1"/>
    <xf numFmtId="39" fontId="1" fillId="0" borderId="0" xfId="0" applyNumberFormat="1" applyFont="1" applyProtection="1"/>
    <xf numFmtId="39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9" fontId="3" fillId="0" borderId="0" xfId="0" applyNumberFormat="1" applyFont="1" applyProtection="1"/>
    <xf numFmtId="37" fontId="3" fillId="0" borderId="0" xfId="0" applyNumberFormat="1" applyFont="1" applyAlignment="1" applyProtection="1">
      <alignment horizontal="center"/>
    </xf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7" fontId="3" fillId="0" borderId="0" xfId="0" applyNumberFormat="1" applyFont="1" applyAlignment="1" applyProtection="1">
      <alignment horizontal="right"/>
    </xf>
    <xf numFmtId="172" fontId="3" fillId="0" borderId="0" xfId="0" applyNumberFormat="1" applyFont="1" applyProtection="1"/>
    <xf numFmtId="173" fontId="3" fillId="0" borderId="0" xfId="0" applyNumberFormat="1" applyFont="1" applyProtection="1"/>
    <xf numFmtId="39" fontId="1" fillId="0" borderId="0" xfId="0" applyNumberFormat="1" applyFont="1" applyAlignment="1" applyProtection="1">
      <alignment horizontal="center"/>
    </xf>
    <xf numFmtId="37" fontId="1" fillId="0" borderId="0" xfId="0" applyNumberFormat="1" applyFont="1" applyAlignment="1" applyProtection="1">
      <alignment horizontal="center"/>
    </xf>
    <xf numFmtId="174" fontId="4" fillId="0" borderId="0" xfId="0" applyNumberFormat="1" applyFont="1" applyAlignment="1" applyProtection="1">
      <alignment horizontal="center"/>
    </xf>
    <xf numFmtId="39" fontId="4" fillId="0" borderId="0" xfId="0" applyNumberFormat="1" applyFont="1" applyAlignment="1" applyProtection="1">
      <alignment horizontal="center"/>
    </xf>
    <xf numFmtId="37" fontId="4" fillId="0" borderId="0" xfId="0" applyNumberFormat="1" applyFont="1" applyAlignment="1" applyProtection="1">
      <alignment horizontal="center"/>
    </xf>
    <xf numFmtId="37" fontId="5" fillId="0" borderId="0" xfId="0" applyNumberFormat="1" applyFont="1" applyProtection="1"/>
    <xf numFmtId="37" fontId="6" fillId="0" borderId="0" xfId="0" applyNumberFormat="1" applyFont="1" applyProtection="1"/>
    <xf numFmtId="37" fontId="7" fillId="0" borderId="0" xfId="0" applyNumberFormat="1" applyFont="1" applyProtection="1"/>
    <xf numFmtId="37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3D74-64D6-4085-A4C4-B75B106CC174}">
  <sheetPr transitionEvaluation="1"/>
  <dimension ref="A1:J317"/>
  <sheetViews>
    <sheetView tabSelected="1" defaultGridColor="0" colorId="22" zoomScale="87" workbookViewId="0">
      <selection activeCell="B2" sqref="B2"/>
    </sheetView>
  </sheetViews>
  <sheetFormatPr baseColWidth="10" defaultColWidth="15.83203125" defaultRowHeight="11.25"/>
  <cols>
    <col min="1" max="2" width="12.83203125" customWidth="1"/>
    <col min="3" max="5" width="10.83203125" customWidth="1"/>
    <col min="6" max="6" width="9.83203125" customWidth="1"/>
    <col min="9" max="10" width="7.83203125" customWidth="1"/>
    <col min="11" max="11" width="12.83203125" customWidth="1"/>
  </cols>
  <sheetData>
    <row r="1" spans="1:10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6"/>
      <c r="J1" s="6"/>
    </row>
    <row r="2" spans="1:10">
      <c r="A2" s="6"/>
      <c r="B2" s="7" t="s">
        <v>2</v>
      </c>
      <c r="C2" s="8"/>
      <c r="D2" s="8"/>
      <c r="E2" s="9"/>
      <c r="F2" s="5"/>
      <c r="G2" s="5"/>
      <c r="H2" s="5"/>
      <c r="I2" s="6"/>
      <c r="J2" s="6"/>
    </row>
    <row r="3" spans="1:10" ht="12" thickBot="1">
      <c r="A3" s="6"/>
      <c r="B3" s="10" t="s">
        <v>3</v>
      </c>
      <c r="C3" s="11"/>
      <c r="D3" s="11"/>
      <c r="E3" s="12"/>
      <c r="F3" s="5"/>
      <c r="G3" s="5"/>
      <c r="H3" s="5"/>
      <c r="I3" s="6"/>
      <c r="J3" s="6"/>
    </row>
    <row r="4" spans="1:10">
      <c r="A4" s="6"/>
      <c r="B4" s="6"/>
      <c r="C4" s="13"/>
      <c r="D4" s="13"/>
      <c r="E4" s="13"/>
      <c r="F4" s="5"/>
      <c r="G4" s="5"/>
      <c r="H4" s="5"/>
      <c r="I4" s="6"/>
      <c r="J4" s="6"/>
    </row>
    <row r="5" spans="1:10">
      <c r="A5" s="6"/>
      <c r="B5" s="6"/>
      <c r="C5" s="13"/>
      <c r="D5" s="13"/>
      <c r="E5" s="13"/>
      <c r="F5" s="6"/>
      <c r="G5" s="6"/>
      <c r="H5" s="6"/>
      <c r="I5" s="6"/>
      <c r="J5" s="6"/>
    </row>
    <row r="6" spans="1:10">
      <c r="A6" s="6"/>
      <c r="B6" s="13" t="s">
        <v>4</v>
      </c>
      <c r="C6" s="5"/>
      <c r="D6" s="14" t="s">
        <v>5</v>
      </c>
      <c r="E6" s="14" t="s">
        <v>6</v>
      </c>
      <c r="F6" s="6"/>
      <c r="G6" s="6"/>
      <c r="H6" s="6"/>
      <c r="I6" s="6"/>
      <c r="J6" s="6"/>
    </row>
    <row r="7" spans="1:10">
      <c r="A7" s="6"/>
      <c r="B7" s="6"/>
      <c r="C7" s="13"/>
      <c r="D7" s="6"/>
      <c r="E7" s="6"/>
      <c r="F7" s="6"/>
      <c r="G7" s="6"/>
      <c r="H7" s="6"/>
      <c r="I7" s="6"/>
      <c r="J7" s="6"/>
    </row>
    <row r="8" spans="1:10">
      <c r="A8" s="6" t="s">
        <v>7</v>
      </c>
      <c r="B8" s="6"/>
      <c r="C8" s="13"/>
      <c r="D8" s="6"/>
      <c r="E8" s="6"/>
      <c r="F8" s="6"/>
      <c r="G8" s="6"/>
      <c r="H8" s="6"/>
      <c r="I8" s="6"/>
      <c r="J8" s="6"/>
    </row>
    <row r="9" spans="1:10">
      <c r="A9" s="6" t="s">
        <v>8</v>
      </c>
      <c r="B9" s="6"/>
      <c r="C9" s="13"/>
      <c r="D9" s="6">
        <f>D83</f>
        <v>356950.8</v>
      </c>
      <c r="E9" s="6">
        <f>E83</f>
        <v>745173.24971665989</v>
      </c>
      <c r="F9" s="6"/>
      <c r="G9" s="6"/>
      <c r="H9" s="6"/>
      <c r="I9" s="6"/>
      <c r="J9" s="6"/>
    </row>
    <row r="10" spans="1:10">
      <c r="A10" s="6" t="s">
        <v>9</v>
      </c>
      <c r="B10" s="6"/>
      <c r="C10" s="13"/>
      <c r="D10" s="6">
        <f>D96</f>
        <v>1408082.6099999999</v>
      </c>
      <c r="E10" s="6">
        <f>E96</f>
        <v>2163863.1799999997</v>
      </c>
      <c r="F10" s="6"/>
      <c r="G10" s="6"/>
      <c r="H10" s="6"/>
      <c r="I10" s="6"/>
      <c r="J10" s="6"/>
    </row>
    <row r="11" spans="1:10">
      <c r="A11" s="6" t="s">
        <v>10</v>
      </c>
      <c r="B11" s="6"/>
      <c r="C11" s="13"/>
      <c r="D11" s="6">
        <f>D98+D99+D102+D103+D104+D105+D106+D107+D109+D110+D111+D112+D113</f>
        <v>1326155.8799999999</v>
      </c>
      <c r="E11" s="6">
        <f>E98+E99+E102+E103+E104+E105+E106+E107+E109+E110+E111+E112+E113</f>
        <v>59643.920000000013</v>
      </c>
      <c r="F11" s="6"/>
      <c r="G11" s="6"/>
      <c r="H11" s="6"/>
      <c r="I11" s="6"/>
      <c r="J11" s="6"/>
    </row>
    <row r="12" spans="1:10">
      <c r="A12" s="6" t="s">
        <v>11</v>
      </c>
      <c r="B12" s="6"/>
      <c r="C12" s="13"/>
      <c r="D12" s="6">
        <f>D100+D101</f>
        <v>59418.659999999996</v>
      </c>
      <c r="E12" s="6">
        <f>E100+E101</f>
        <v>10724.49</v>
      </c>
      <c r="F12" s="6"/>
      <c r="G12" s="6"/>
      <c r="H12" s="6"/>
      <c r="I12" s="6"/>
      <c r="J12" s="6"/>
    </row>
    <row r="13" spans="1:10">
      <c r="A13" s="6" t="s">
        <v>12</v>
      </c>
      <c r="B13" s="6"/>
      <c r="C13" s="13"/>
      <c r="D13" s="6">
        <f>D108</f>
        <v>46642.5</v>
      </c>
      <c r="E13" s="6">
        <f>E108</f>
        <v>122159.2</v>
      </c>
      <c r="F13" s="6"/>
      <c r="G13" s="6"/>
      <c r="H13" s="6"/>
      <c r="I13" s="6"/>
      <c r="J13" s="6"/>
    </row>
    <row r="14" spans="1:10">
      <c r="A14" s="6" t="s">
        <v>13</v>
      </c>
      <c r="B14" s="6"/>
      <c r="C14" s="13"/>
      <c r="D14" s="6">
        <f>D132</f>
        <v>111116.55</v>
      </c>
      <c r="E14" s="6">
        <f>E132</f>
        <v>112233.37000000001</v>
      </c>
      <c r="F14" s="6"/>
      <c r="G14" s="6"/>
      <c r="H14" s="6"/>
      <c r="I14" s="6"/>
      <c r="J14" s="6"/>
    </row>
    <row r="15" spans="1:10">
      <c r="A15" s="6" t="s">
        <v>14</v>
      </c>
      <c r="B15" s="6"/>
      <c r="C15" s="13"/>
      <c r="D15" s="6">
        <f>D139+D144</f>
        <v>88355.89</v>
      </c>
      <c r="E15" s="6">
        <f>E139+E144</f>
        <v>101617.34000000001</v>
      </c>
      <c r="F15" s="6"/>
      <c r="G15" s="6"/>
      <c r="H15" s="6"/>
      <c r="I15" s="6"/>
      <c r="J15" s="6"/>
    </row>
    <row r="16" spans="1:10">
      <c r="A16" s="6" t="s">
        <v>15</v>
      </c>
      <c r="B16" s="6"/>
      <c r="C16" s="13"/>
      <c r="D16" s="15">
        <f>D152</f>
        <v>-6960.9799999999959</v>
      </c>
      <c r="E16" s="15">
        <f>E152</f>
        <v>-34121.53</v>
      </c>
      <c r="F16" s="6"/>
      <c r="G16" s="6"/>
      <c r="H16" s="6"/>
      <c r="I16" s="6"/>
      <c r="J16" s="6"/>
    </row>
    <row r="17" spans="1:10">
      <c r="A17" s="6"/>
      <c r="B17" s="6"/>
      <c r="C17" s="13"/>
      <c r="D17" s="6"/>
      <c r="E17" s="6"/>
      <c r="F17" s="6"/>
      <c r="G17" s="6"/>
      <c r="H17" s="6"/>
      <c r="I17" s="6"/>
      <c r="J17" s="6"/>
    </row>
    <row r="18" spans="1:10">
      <c r="A18" s="6" t="s">
        <v>16</v>
      </c>
      <c r="B18" s="6"/>
      <c r="C18" s="13"/>
      <c r="D18" s="15">
        <f>SUM(D8:D17)</f>
        <v>3389761.91</v>
      </c>
      <c r="E18" s="15">
        <f>SUM(E8:E17)</f>
        <v>3281293.2197166602</v>
      </c>
      <c r="F18" s="6"/>
      <c r="G18" s="6"/>
      <c r="H18" s="6"/>
      <c r="I18" s="6"/>
      <c r="J18" s="6"/>
    </row>
    <row r="19" spans="1:10">
      <c r="A19" s="6"/>
      <c r="B19" s="6"/>
      <c r="C19" s="13"/>
      <c r="D19" s="6"/>
      <c r="E19" s="6"/>
      <c r="F19" s="6"/>
      <c r="G19" s="6"/>
      <c r="H19" s="6"/>
      <c r="I19" s="6"/>
      <c r="J19" s="6"/>
    </row>
    <row r="20" spans="1:10">
      <c r="A20" s="6" t="s">
        <v>17</v>
      </c>
      <c r="B20" s="6"/>
      <c r="C20" s="13"/>
      <c r="D20" s="6"/>
      <c r="E20" s="6"/>
      <c r="F20" s="6"/>
      <c r="G20" s="6"/>
      <c r="H20" s="6"/>
      <c r="I20" s="6"/>
      <c r="J20" s="6"/>
    </row>
    <row r="21" spans="1:10">
      <c r="A21" s="6" t="s">
        <v>18</v>
      </c>
      <c r="B21" s="6"/>
      <c r="C21" s="13"/>
      <c r="D21" s="15"/>
      <c r="E21" s="15"/>
      <c r="F21" s="6"/>
      <c r="G21" s="6"/>
      <c r="H21" s="6"/>
      <c r="I21" s="6"/>
      <c r="J21" s="6"/>
    </row>
    <row r="22" spans="1:10">
      <c r="A22" s="6" t="s">
        <v>19</v>
      </c>
      <c r="B22" s="6"/>
      <c r="C22" s="13"/>
      <c r="D22" s="6">
        <f>SUM(D19:D21)</f>
        <v>0</v>
      </c>
      <c r="E22" s="6">
        <f>SUM(E19:E21)</f>
        <v>0</v>
      </c>
      <c r="F22" s="6"/>
      <c r="G22" s="6"/>
      <c r="H22" s="6"/>
      <c r="I22" s="6"/>
      <c r="J22" s="6"/>
    </row>
    <row r="23" spans="1:10">
      <c r="A23" s="6"/>
      <c r="B23" s="6"/>
      <c r="C23" s="13"/>
      <c r="D23" s="6"/>
      <c r="E23" s="6"/>
      <c r="F23" s="6"/>
      <c r="G23" s="6"/>
      <c r="H23" s="6"/>
      <c r="I23" s="6"/>
      <c r="J23" s="6"/>
    </row>
    <row r="24" spans="1:10">
      <c r="A24" s="6" t="s">
        <v>20</v>
      </c>
      <c r="B24" s="6"/>
      <c r="C24" s="13"/>
      <c r="D24" s="6"/>
      <c r="E24" s="6"/>
      <c r="F24" s="6"/>
      <c r="G24" s="6"/>
      <c r="H24" s="6"/>
      <c r="I24" s="6"/>
      <c r="J24" s="6"/>
    </row>
    <row r="25" spans="1:10">
      <c r="A25" s="6" t="s">
        <v>21</v>
      </c>
      <c r="B25" s="6"/>
      <c r="C25" s="13"/>
      <c r="D25" s="6">
        <f>D156</f>
        <v>63712.95</v>
      </c>
      <c r="E25" s="6">
        <f>E156</f>
        <v>63712.95</v>
      </c>
      <c r="F25" s="6"/>
      <c r="G25" s="6"/>
      <c r="H25" s="6"/>
      <c r="I25" s="6"/>
      <c r="J25" s="6"/>
    </row>
    <row r="26" spans="1:10">
      <c r="A26" s="6" t="s">
        <v>22</v>
      </c>
      <c r="B26" s="6"/>
      <c r="C26" s="13"/>
      <c r="D26" s="6">
        <f>D155+D157+D158+D159+D160</f>
        <v>1450653.37</v>
      </c>
      <c r="E26" s="6">
        <f>E155+E157+E158+E159+E160</f>
        <v>1450653.37</v>
      </c>
      <c r="F26" s="6"/>
      <c r="G26" s="6"/>
      <c r="H26" s="6"/>
      <c r="I26" s="6"/>
      <c r="J26" s="6"/>
    </row>
    <row r="27" spans="1:10">
      <c r="A27" s="6" t="s">
        <v>23</v>
      </c>
      <c r="B27" s="6"/>
      <c r="C27" s="13"/>
      <c r="D27" s="6"/>
      <c r="E27" s="6"/>
      <c r="F27" s="6"/>
      <c r="G27" s="6"/>
      <c r="H27" s="6"/>
      <c r="I27" s="6"/>
      <c r="J27" s="6"/>
    </row>
    <row r="28" spans="1:10">
      <c r="A28" s="6" t="s">
        <v>24</v>
      </c>
      <c r="B28" s="6"/>
      <c r="C28" s="13"/>
      <c r="D28" s="15">
        <f>D161</f>
        <v>373938.32</v>
      </c>
      <c r="E28" s="15">
        <f>E161</f>
        <v>367571.27</v>
      </c>
      <c r="F28" s="6"/>
      <c r="G28" s="6"/>
      <c r="H28" s="6"/>
      <c r="I28" s="6"/>
      <c r="J28" s="6"/>
    </row>
    <row r="29" spans="1:10">
      <c r="A29" s="6"/>
      <c r="B29" s="6"/>
      <c r="C29" s="13"/>
      <c r="D29" s="6"/>
      <c r="E29" s="6"/>
      <c r="F29" s="6"/>
      <c r="G29" s="6"/>
      <c r="H29" s="6"/>
      <c r="I29" s="6"/>
      <c r="J29" s="6"/>
    </row>
    <row r="30" spans="1:10">
      <c r="A30" s="6" t="s">
        <v>25</v>
      </c>
      <c r="B30" s="6"/>
      <c r="C30" s="13"/>
      <c r="D30" s="6">
        <f>SUM(D24:D29)</f>
        <v>1888304.6400000001</v>
      </c>
      <c r="E30" s="6">
        <f>SUM(E24:E29)</f>
        <v>1881937.59</v>
      </c>
      <c r="F30" s="6"/>
      <c r="G30" s="6"/>
      <c r="H30" s="6"/>
      <c r="I30" s="6"/>
      <c r="J30" s="6"/>
    </row>
    <row r="31" spans="1:10">
      <c r="A31" s="6"/>
      <c r="B31" s="6"/>
      <c r="C31" s="13"/>
      <c r="D31" s="6"/>
      <c r="E31" s="6"/>
      <c r="F31" s="6"/>
      <c r="G31" s="6"/>
      <c r="H31" s="6"/>
      <c r="I31" s="6"/>
      <c r="J31" s="6"/>
    </row>
    <row r="32" spans="1:10">
      <c r="A32" s="6" t="s">
        <v>26</v>
      </c>
      <c r="B32" s="6"/>
      <c r="C32" s="13"/>
      <c r="D32" s="15">
        <f>D170</f>
        <v>-1433439.4300000002</v>
      </c>
      <c r="E32" s="15">
        <f>E170</f>
        <v>-1343022.67</v>
      </c>
      <c r="F32" s="6"/>
      <c r="G32" s="6"/>
      <c r="H32" s="6"/>
      <c r="I32" s="6"/>
      <c r="J32" s="6"/>
    </row>
    <row r="33" spans="1:10">
      <c r="A33" s="6"/>
      <c r="B33" s="6"/>
      <c r="C33" s="13"/>
      <c r="D33" s="6"/>
      <c r="E33" s="6"/>
      <c r="F33" s="6"/>
      <c r="G33" s="6"/>
      <c r="H33" s="6"/>
      <c r="I33" s="6"/>
      <c r="J33" s="6"/>
    </row>
    <row r="34" spans="1:10">
      <c r="A34" s="6" t="s">
        <v>27</v>
      </c>
      <c r="B34" s="6"/>
      <c r="C34" s="13"/>
      <c r="D34" s="6">
        <f>D30+D32</f>
        <v>454865.20999999996</v>
      </c>
      <c r="E34" s="6">
        <f>E30+E32</f>
        <v>538914.92000000016</v>
      </c>
      <c r="F34" s="6"/>
      <c r="G34" s="6"/>
      <c r="H34" s="6"/>
      <c r="I34" s="6"/>
      <c r="J34" s="6"/>
    </row>
    <row r="35" spans="1:10">
      <c r="A35" s="6"/>
      <c r="B35" s="6"/>
      <c r="C35" s="13"/>
      <c r="D35" s="6"/>
      <c r="E35" s="6"/>
      <c r="F35" s="6"/>
      <c r="G35" s="6"/>
      <c r="H35" s="6"/>
      <c r="I35" s="6"/>
      <c r="J35" s="6"/>
    </row>
    <row r="36" spans="1:10">
      <c r="A36" s="6" t="s">
        <v>28</v>
      </c>
      <c r="B36" s="6"/>
      <c r="C36" s="13"/>
      <c r="D36" s="15">
        <f>D175</f>
        <v>9087.3999999999651</v>
      </c>
      <c r="E36" s="15">
        <f>E175</f>
        <v>9087.3999999999651</v>
      </c>
      <c r="F36" s="6"/>
      <c r="G36" s="6"/>
      <c r="H36" s="6"/>
      <c r="I36" s="6"/>
      <c r="J36" s="6"/>
    </row>
    <row r="37" spans="1:10">
      <c r="A37" s="6"/>
      <c r="B37" s="6"/>
      <c r="C37" s="13"/>
      <c r="D37" s="6"/>
      <c r="E37" s="6"/>
      <c r="F37" s="6"/>
      <c r="G37" s="6"/>
      <c r="H37" s="6"/>
      <c r="I37" s="6"/>
      <c r="J37" s="6"/>
    </row>
    <row r="38" spans="1:10" ht="12" thickBot="1">
      <c r="A38" s="6" t="s">
        <v>29</v>
      </c>
      <c r="B38" s="6"/>
      <c r="C38" s="13"/>
      <c r="D38" s="16">
        <f>D18+D22+D34+D36</f>
        <v>3853714.52</v>
      </c>
      <c r="E38" s="16">
        <f>E18+E22+E34+E36</f>
        <v>3829295.5397166605</v>
      </c>
      <c r="F38" s="6"/>
      <c r="G38" s="6"/>
      <c r="H38" s="6"/>
      <c r="I38" s="6"/>
      <c r="J38" s="6"/>
    </row>
    <row r="39" spans="1:10" ht="12" thickTop="1">
      <c r="A39" s="6"/>
      <c r="B39" s="6"/>
      <c r="C39" s="13"/>
      <c r="D39" s="6"/>
      <c r="E39" s="6"/>
      <c r="F39" s="6"/>
      <c r="G39" s="6"/>
      <c r="H39" s="6"/>
      <c r="I39" s="6"/>
      <c r="J39" s="6"/>
    </row>
    <row r="40" spans="1:10">
      <c r="A40" s="6"/>
      <c r="B40" s="13" t="s">
        <v>30</v>
      </c>
      <c r="C40" s="5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13"/>
      <c r="D41" s="6"/>
      <c r="E41" s="6"/>
      <c r="F41" s="6"/>
      <c r="G41" s="6"/>
      <c r="H41" s="6"/>
      <c r="I41" s="6"/>
      <c r="J41" s="6"/>
    </row>
    <row r="42" spans="1:10">
      <c r="A42" s="6" t="s">
        <v>31</v>
      </c>
      <c r="B42" s="6"/>
      <c r="C42" s="13"/>
      <c r="D42" s="6"/>
      <c r="E42" s="6"/>
      <c r="F42" s="6"/>
      <c r="G42" s="6"/>
      <c r="H42" s="6"/>
      <c r="I42" s="6"/>
      <c r="J42" s="6"/>
    </row>
    <row r="43" spans="1:10">
      <c r="A43" s="6" t="s">
        <v>32</v>
      </c>
      <c r="B43" s="6"/>
      <c r="C43" s="13"/>
      <c r="D43" s="6">
        <f>D183+D184+D185+D187+D188+D189+D190+D191+D192+D193+D194+D195+D196+D197+D198</f>
        <v>52609.15</v>
      </c>
      <c r="E43" s="6">
        <f>E183+E184+E185+E187+E188+E189+E190+E191+E192+E193+E194+E195+E196+E197+E198</f>
        <v>96924.13</v>
      </c>
      <c r="F43" s="6"/>
      <c r="G43" s="6"/>
      <c r="H43" s="6"/>
      <c r="I43" s="6"/>
      <c r="J43" s="6"/>
    </row>
    <row r="44" spans="1:10">
      <c r="A44" s="6" t="s">
        <v>33</v>
      </c>
      <c r="B44" s="6"/>
      <c r="C44" s="13"/>
      <c r="D44" s="6">
        <f>D209</f>
        <v>80844.56</v>
      </c>
      <c r="E44" s="6">
        <f>E209</f>
        <v>190933.05999999997</v>
      </c>
      <c r="F44" s="6"/>
      <c r="G44" s="6"/>
      <c r="H44" s="6"/>
      <c r="I44" s="6"/>
      <c r="J44" s="6"/>
    </row>
    <row r="45" spans="1:10">
      <c r="A45" s="6" t="s">
        <v>34</v>
      </c>
      <c r="B45" s="6"/>
      <c r="C45" s="13"/>
      <c r="D45" s="6">
        <f>D186</f>
        <v>0</v>
      </c>
      <c r="E45" s="6">
        <f>E186</f>
        <v>34750</v>
      </c>
      <c r="F45" s="6"/>
      <c r="G45" s="6"/>
      <c r="H45" s="6"/>
      <c r="I45" s="6"/>
      <c r="J45" s="6"/>
    </row>
    <row r="46" spans="1:10">
      <c r="A46" s="6" t="s">
        <v>35</v>
      </c>
      <c r="B46" s="6"/>
      <c r="C46" s="13"/>
      <c r="D46" s="6">
        <f>D221+D253</f>
        <v>102944.04000000001</v>
      </c>
      <c r="E46" s="6">
        <f>E221+E253</f>
        <v>112107.73</v>
      </c>
      <c r="F46" s="6"/>
      <c r="G46" s="6"/>
      <c r="H46" s="6"/>
      <c r="I46" s="6"/>
      <c r="J46" s="6"/>
    </row>
    <row r="47" spans="1:10">
      <c r="A47" s="6" t="s">
        <v>36</v>
      </c>
      <c r="B47" s="6"/>
      <c r="C47" s="13"/>
      <c r="D47" s="15">
        <f>D260</f>
        <v>12808.2</v>
      </c>
      <c r="E47" s="15">
        <f>E260</f>
        <v>26004.2</v>
      </c>
      <c r="F47" s="6"/>
      <c r="G47" s="6"/>
      <c r="H47" s="6"/>
      <c r="I47" s="6"/>
      <c r="J47" s="6"/>
    </row>
    <row r="48" spans="1:10">
      <c r="A48" s="6"/>
      <c r="B48" s="6"/>
      <c r="C48" s="13"/>
      <c r="D48" s="6"/>
      <c r="E48" s="6"/>
      <c r="F48" s="6"/>
      <c r="G48" s="6"/>
      <c r="H48" s="6"/>
      <c r="I48" s="6"/>
      <c r="J48" s="6"/>
    </row>
    <row r="49" spans="1:10">
      <c r="A49" s="6" t="s">
        <v>37</v>
      </c>
      <c r="B49" s="6"/>
      <c r="C49" s="13"/>
      <c r="D49" s="15">
        <f>SUM(D42:D47)</f>
        <v>249205.95</v>
      </c>
      <c r="E49" s="15">
        <f>SUM(E42:E47)</f>
        <v>460719.11999999994</v>
      </c>
      <c r="F49" s="6"/>
      <c r="G49" s="6"/>
      <c r="H49" s="6"/>
      <c r="I49" s="6"/>
      <c r="J49" s="6"/>
    </row>
    <row r="50" spans="1:10">
      <c r="A50" s="6"/>
      <c r="B50" s="6"/>
      <c r="C50" s="13"/>
      <c r="D50" s="6"/>
      <c r="E50" s="6"/>
      <c r="F50" s="6"/>
      <c r="G50" s="6"/>
      <c r="H50" s="6"/>
      <c r="I50" s="6"/>
      <c r="J50" s="6"/>
    </row>
    <row r="51" spans="1:10">
      <c r="A51" s="6" t="s">
        <v>38</v>
      </c>
      <c r="B51" s="6"/>
      <c r="C51" s="13"/>
      <c r="D51" s="6"/>
      <c r="E51" s="6"/>
      <c r="F51" s="6"/>
      <c r="G51" s="6"/>
      <c r="H51" s="6"/>
      <c r="I51" s="6"/>
      <c r="J51" s="6"/>
    </row>
    <row r="52" spans="1:10">
      <c r="A52" s="6" t="s">
        <v>39</v>
      </c>
      <c r="B52" s="6"/>
      <c r="C52" s="13"/>
      <c r="D52" s="6">
        <f>-D273+D275+D277</f>
        <v>3320635.63</v>
      </c>
      <c r="E52" s="6">
        <f>-E273+E275+E277</f>
        <v>3246042.0300000003</v>
      </c>
      <c r="F52" s="6"/>
      <c r="G52" s="6"/>
      <c r="H52" s="6"/>
      <c r="I52" s="6"/>
      <c r="J52" s="6"/>
    </row>
    <row r="53" spans="1:10">
      <c r="A53" s="6" t="s">
        <v>40</v>
      </c>
      <c r="B53" s="6"/>
      <c r="C53" s="13"/>
      <c r="D53" s="6"/>
      <c r="E53" s="6"/>
      <c r="F53" s="6"/>
      <c r="G53" s="6"/>
      <c r="H53" s="6"/>
      <c r="I53" s="6"/>
      <c r="J53" s="6"/>
    </row>
    <row r="54" spans="1:10">
      <c r="A54" s="6" t="s">
        <v>41</v>
      </c>
      <c r="B54" s="6"/>
      <c r="C54" s="13"/>
      <c r="D54" s="6">
        <f>D273</f>
        <v>47940.15</v>
      </c>
      <c r="E54" s="6">
        <f>E273</f>
        <v>47940.15</v>
      </c>
      <c r="F54" s="6"/>
      <c r="G54" s="6"/>
      <c r="H54" s="6"/>
      <c r="I54" s="6"/>
      <c r="J54" s="6"/>
    </row>
    <row r="55" spans="1:10">
      <c r="A55" s="6" t="s">
        <v>42</v>
      </c>
      <c r="B55" s="6"/>
      <c r="C55" s="13"/>
      <c r="D55" s="15">
        <f>D278</f>
        <v>235932.79</v>
      </c>
      <c r="E55" s="15">
        <f>E278</f>
        <v>74593.600000000006</v>
      </c>
      <c r="F55" s="6"/>
      <c r="G55" s="6"/>
      <c r="H55" s="6"/>
      <c r="I55" s="6"/>
      <c r="J55" s="6"/>
    </row>
    <row r="56" spans="1:10">
      <c r="A56" s="6" t="s">
        <v>43</v>
      </c>
      <c r="B56" s="6"/>
      <c r="C56" s="13"/>
      <c r="D56" s="6"/>
      <c r="E56" s="6"/>
      <c r="F56" s="6"/>
      <c r="G56" s="6"/>
      <c r="H56" s="6"/>
      <c r="I56" s="6"/>
      <c r="J56" s="6"/>
    </row>
    <row r="57" spans="1:10">
      <c r="A57" s="6" t="s">
        <v>44</v>
      </c>
      <c r="B57" s="6"/>
      <c r="C57" s="13"/>
      <c r="D57" s="15">
        <f>SUM(D51:D56)</f>
        <v>3604508.57</v>
      </c>
      <c r="E57" s="15">
        <f>SUM(E51:E56)</f>
        <v>3368575.7800000003</v>
      </c>
      <c r="F57" s="6"/>
      <c r="G57" s="6"/>
      <c r="H57" s="6"/>
      <c r="I57" s="6"/>
      <c r="J57" s="6"/>
    </row>
    <row r="58" spans="1:10">
      <c r="A58" s="6"/>
      <c r="B58" s="6"/>
      <c r="C58" s="13"/>
      <c r="D58" s="6"/>
      <c r="E58" s="6"/>
      <c r="F58" s="6"/>
      <c r="G58" s="6"/>
      <c r="H58" s="6"/>
      <c r="I58" s="6"/>
      <c r="J58" s="6"/>
    </row>
    <row r="59" spans="1:10" ht="12" thickBot="1">
      <c r="A59" s="6" t="s">
        <v>45</v>
      </c>
      <c r="B59" s="6"/>
      <c r="C59" s="13"/>
      <c r="D59" s="16">
        <f>D49+D57</f>
        <v>3853714.52</v>
      </c>
      <c r="E59" s="16">
        <f>E49+E57</f>
        <v>3829294.9000000004</v>
      </c>
      <c r="F59" s="6"/>
      <c r="G59" s="6"/>
      <c r="H59" s="6"/>
      <c r="I59" s="6"/>
      <c r="J59" s="6"/>
    </row>
    <row r="60" spans="1:10" ht="12" thickTop="1">
      <c r="A60" s="6"/>
      <c r="B60" s="6"/>
      <c r="C60" s="13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13"/>
      <c r="D61" s="13"/>
      <c r="E61" s="13"/>
      <c r="F61" s="6"/>
      <c r="G61" s="6"/>
      <c r="H61" s="6"/>
      <c r="I61" s="6"/>
      <c r="J61" s="6"/>
    </row>
    <row r="62" spans="1:10">
      <c r="A62" s="6"/>
      <c r="B62" s="6"/>
      <c r="C62" s="13"/>
      <c r="D62" s="13"/>
      <c r="E62" s="13"/>
      <c r="F62" s="6"/>
      <c r="G62" s="17" t="s">
        <v>46</v>
      </c>
      <c r="H62" s="6" t="s">
        <v>47</v>
      </c>
      <c r="I62" s="6" t="s">
        <v>48</v>
      </c>
      <c r="J62" s="6"/>
    </row>
    <row r="63" spans="1:10">
      <c r="A63" s="6"/>
      <c r="B63" s="6"/>
      <c r="C63" s="13"/>
      <c r="D63" s="13"/>
      <c r="E63" s="13"/>
      <c r="F63" s="6"/>
      <c r="G63" s="18">
        <f ca="1">NOW()</f>
        <v>46056.576542361108</v>
      </c>
      <c r="H63" s="6" t="s">
        <v>49</v>
      </c>
      <c r="I63" s="6" t="s">
        <v>48</v>
      </c>
      <c r="J63" s="6"/>
    </row>
    <row r="64" spans="1:10">
      <c r="A64" s="6"/>
      <c r="B64" s="6"/>
      <c r="C64" s="13"/>
      <c r="D64" s="13"/>
      <c r="E64" s="13"/>
      <c r="F64" s="6"/>
      <c r="G64" s="19">
        <f ca="1">NOW()</f>
        <v>46056.576542361108</v>
      </c>
      <c r="H64" s="6" t="s">
        <v>50</v>
      </c>
      <c r="I64" s="6" t="s">
        <v>51</v>
      </c>
      <c r="J64" s="6"/>
    </row>
    <row r="65" spans="1:10">
      <c r="A65" s="6"/>
      <c r="B65" s="6"/>
      <c r="C65" s="13"/>
      <c r="D65" s="13"/>
      <c r="E65" s="13"/>
      <c r="F65" s="6"/>
      <c r="G65" s="6"/>
      <c r="H65" s="6" t="s">
        <v>52</v>
      </c>
      <c r="I65" s="6" t="s">
        <v>53</v>
      </c>
      <c r="J65" s="6"/>
    </row>
    <row r="66" spans="1:10">
      <c r="A66" s="6"/>
      <c r="B66" s="6"/>
      <c r="C66" s="13"/>
      <c r="D66" s="13"/>
      <c r="E66" s="13"/>
      <c r="F66" s="6"/>
      <c r="G66" s="6"/>
      <c r="H66" s="6"/>
      <c r="I66" s="6"/>
      <c r="J66" s="6"/>
    </row>
    <row r="67" spans="1:10">
      <c r="A67" s="6"/>
      <c r="B67" s="6"/>
      <c r="C67" s="13"/>
      <c r="D67" s="13"/>
      <c r="E67" s="13"/>
      <c r="F67" s="6"/>
      <c r="G67" s="6" t="s">
        <v>54</v>
      </c>
      <c r="H67" s="6" t="s">
        <v>55</v>
      </c>
      <c r="I67" s="6"/>
      <c r="J67" s="6"/>
    </row>
    <row r="68" spans="1:10">
      <c r="A68" s="6"/>
      <c r="B68" s="6"/>
      <c r="C68" s="13"/>
      <c r="D68" s="13"/>
      <c r="E68" s="13"/>
      <c r="F68" s="6"/>
      <c r="G68" s="6" t="s">
        <v>56</v>
      </c>
      <c r="H68" s="6" t="s">
        <v>57</v>
      </c>
      <c r="I68" s="6"/>
      <c r="J68" s="6"/>
    </row>
    <row r="69" spans="1:10">
      <c r="A69" s="6"/>
      <c r="B69" s="6"/>
      <c r="C69" s="20" t="s">
        <v>58</v>
      </c>
      <c r="D69" s="20" t="s">
        <v>59</v>
      </c>
      <c r="E69" s="20" t="s">
        <v>60</v>
      </c>
      <c r="F69" s="21"/>
      <c r="G69" s="6" t="s">
        <v>61</v>
      </c>
      <c r="H69" s="6" t="s">
        <v>62</v>
      </c>
      <c r="I69" s="6"/>
      <c r="J69" s="6"/>
    </row>
    <row r="70" spans="1:10">
      <c r="A70" s="6"/>
      <c r="B70" s="6"/>
      <c r="C70" s="22">
        <v>912</v>
      </c>
      <c r="D70" s="22">
        <v>912</v>
      </c>
      <c r="E70" s="23" t="s">
        <v>63</v>
      </c>
      <c r="F70" s="24"/>
      <c r="G70" s="6" t="s">
        <v>64</v>
      </c>
      <c r="H70" s="6" t="s">
        <v>65</v>
      </c>
      <c r="I70" s="6"/>
      <c r="J70" s="6"/>
    </row>
    <row r="71" spans="1:10">
      <c r="A71" s="6"/>
      <c r="B71" s="6"/>
      <c r="C71" s="13"/>
      <c r="D71" s="13"/>
      <c r="E71" s="13"/>
      <c r="F71" s="6"/>
      <c r="G71" s="6" t="s">
        <v>66</v>
      </c>
      <c r="H71" s="6" t="s">
        <v>67</v>
      </c>
      <c r="I71" s="6"/>
      <c r="J71" s="6"/>
    </row>
    <row r="72" spans="1:10">
      <c r="A72" s="25" t="s">
        <v>68</v>
      </c>
      <c r="B72" s="6"/>
      <c r="C72" s="6"/>
      <c r="D72" s="6" t="s">
        <v>69</v>
      </c>
      <c r="E72" s="6" t="s">
        <v>69</v>
      </c>
      <c r="F72" s="6"/>
      <c r="G72" s="6" t="s">
        <v>70</v>
      </c>
      <c r="H72" s="6"/>
      <c r="I72" s="6"/>
      <c r="J72" s="6"/>
    </row>
    <row r="73" spans="1:10">
      <c r="A73" s="6"/>
      <c r="B73" s="6"/>
      <c r="C73" s="6" t="s">
        <v>69</v>
      </c>
      <c r="D73" s="6"/>
      <c r="E73" s="6"/>
      <c r="F73" s="6"/>
      <c r="G73" s="6" t="s">
        <v>71</v>
      </c>
      <c r="H73" s="6" t="s">
        <v>72</v>
      </c>
      <c r="I73" s="6"/>
      <c r="J73" s="6"/>
    </row>
    <row r="74" spans="1:10">
      <c r="A74" s="6" t="s">
        <v>73</v>
      </c>
      <c r="B74" s="6"/>
      <c r="C74" s="6">
        <f>0</f>
        <v>0</v>
      </c>
      <c r="D74" s="6">
        <f>700</f>
        <v>700</v>
      </c>
      <c r="E74" s="6">
        <f>700</f>
        <v>700</v>
      </c>
      <c r="F74" s="6"/>
      <c r="G74" s="6" t="s">
        <v>74</v>
      </c>
      <c r="H74" s="6" t="s">
        <v>75</v>
      </c>
      <c r="I74" s="17" t="s">
        <v>76</v>
      </c>
      <c r="J74" s="6"/>
    </row>
    <row r="75" spans="1:10">
      <c r="A75" s="6" t="s">
        <v>77</v>
      </c>
      <c r="B75" s="6"/>
      <c r="C75" s="6">
        <f>0</f>
        <v>0</v>
      </c>
      <c r="D75" s="6">
        <f>33654.45</f>
        <v>33654.449999999997</v>
      </c>
      <c r="E75" s="6">
        <f>33655.08971666</f>
        <v>33655.08971665999</v>
      </c>
      <c r="F75" s="6"/>
      <c r="G75" s="6" t="s">
        <v>78</v>
      </c>
      <c r="H75" s="6" t="s">
        <v>79</v>
      </c>
      <c r="I75" s="6"/>
      <c r="J75" s="6"/>
    </row>
    <row r="76" spans="1:10">
      <c r="A76" s="6" t="s">
        <v>80</v>
      </c>
      <c r="B76" s="6"/>
      <c r="C76" s="6">
        <f>0</f>
        <v>0</v>
      </c>
      <c r="D76" s="6">
        <f>-33654.45</f>
        <v>-33654.449999999997</v>
      </c>
      <c r="E76" s="6">
        <f>-33654.45</f>
        <v>-33654.449999999997</v>
      </c>
      <c r="F76" s="6"/>
      <c r="G76" s="6" t="s">
        <v>81</v>
      </c>
      <c r="H76" s="6" t="s">
        <v>82</v>
      </c>
      <c r="I76" s="6"/>
      <c r="J76" s="6"/>
    </row>
    <row r="77" spans="1:10">
      <c r="A77" s="6" t="s">
        <v>83</v>
      </c>
      <c r="B77" s="6"/>
      <c r="C77" s="6">
        <f>-33071.43</f>
        <v>-33071.43</v>
      </c>
      <c r="D77" s="6">
        <f>105041.72</f>
        <v>105041.72</v>
      </c>
      <c r="E77" s="6">
        <f>-21859.58</f>
        <v>-21859.58</v>
      </c>
      <c r="F77" s="6"/>
      <c r="G77" s="6" t="s">
        <v>84</v>
      </c>
      <c r="H77" s="6" t="s">
        <v>85</v>
      </c>
      <c r="I77" s="6"/>
      <c r="J77" s="6"/>
    </row>
    <row r="78" spans="1:10">
      <c r="A78" s="6" t="s">
        <v>86</v>
      </c>
      <c r="B78" s="6"/>
      <c r="C78" s="6">
        <f>0</f>
        <v>0</v>
      </c>
      <c r="D78" s="6">
        <f>0</f>
        <v>0</v>
      </c>
      <c r="E78" s="6">
        <f>17798.99</f>
        <v>17798.990000000002</v>
      </c>
      <c r="F78" s="6"/>
      <c r="G78" s="6" t="s">
        <v>87</v>
      </c>
      <c r="H78" s="6" t="s">
        <v>88</v>
      </c>
      <c r="I78" s="6"/>
      <c r="J78" s="6"/>
    </row>
    <row r="79" spans="1:10">
      <c r="A79" s="6" t="s">
        <v>89</v>
      </c>
      <c r="B79" s="6"/>
      <c r="C79" s="6">
        <f>0</f>
        <v>0</v>
      </c>
      <c r="D79" s="6">
        <f>-2205.94</f>
        <v>-2205.94</v>
      </c>
      <c r="E79" s="6">
        <f>900</f>
        <v>900</v>
      </c>
      <c r="F79" s="6"/>
      <c r="G79" s="6" t="s">
        <v>90</v>
      </c>
      <c r="H79" s="6" t="s">
        <v>91</v>
      </c>
      <c r="I79" s="6"/>
      <c r="J79" s="6"/>
    </row>
    <row r="80" spans="1:10">
      <c r="A80" s="6" t="s">
        <v>92</v>
      </c>
      <c r="B80" s="6"/>
      <c r="C80" s="6">
        <f>0</f>
        <v>0</v>
      </c>
      <c r="D80" s="6">
        <f>-6945.61</f>
        <v>-6945.61</v>
      </c>
      <c r="E80" s="6">
        <f>4527.51</f>
        <v>4527.51</v>
      </c>
      <c r="F80" s="6"/>
      <c r="G80" s="6" t="s">
        <v>93</v>
      </c>
      <c r="H80" s="6" t="s">
        <v>94</v>
      </c>
      <c r="I80" s="6"/>
      <c r="J80" s="6"/>
    </row>
    <row r="81" spans="1:10">
      <c r="A81" s="6" t="s">
        <v>95</v>
      </c>
      <c r="B81" s="6"/>
      <c r="C81" s="6">
        <f>0</f>
        <v>0</v>
      </c>
      <c r="D81" s="6">
        <f>92421.7</f>
        <v>92421.7</v>
      </c>
      <c r="E81" s="6">
        <f>743105.69</f>
        <v>743105.69</v>
      </c>
      <c r="F81" s="6"/>
      <c r="G81" s="6" t="s">
        <v>96</v>
      </c>
      <c r="H81" s="6" t="s">
        <v>97</v>
      </c>
      <c r="I81" s="6"/>
      <c r="J81" s="6"/>
    </row>
    <row r="82" spans="1:10">
      <c r="A82" s="6" t="s">
        <v>98</v>
      </c>
      <c r="B82" s="6"/>
      <c r="C82" s="15">
        <f>-290626.07</f>
        <v>-290626.07</v>
      </c>
      <c r="D82" s="15">
        <f>167938.93</f>
        <v>167938.93</v>
      </c>
      <c r="E82" s="15">
        <f>0</f>
        <v>0</v>
      </c>
      <c r="F82" s="6"/>
      <c r="G82" s="6" t="s">
        <v>99</v>
      </c>
      <c r="H82" s="6" t="s">
        <v>100</v>
      </c>
      <c r="I82" s="6"/>
      <c r="J82" s="6"/>
    </row>
    <row r="83" spans="1:10">
      <c r="A83" s="6" t="s">
        <v>101</v>
      </c>
      <c r="B83" s="6"/>
      <c r="C83" s="6">
        <f>SUM(C74:C82)</f>
        <v>-323697.5</v>
      </c>
      <c r="D83" s="6">
        <f>SUM(D74:D82)</f>
        <v>356950.8</v>
      </c>
      <c r="E83" s="6">
        <f>SUM(E74:E82)</f>
        <v>745173.24971665989</v>
      </c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 t="s">
        <v>102</v>
      </c>
      <c r="B86" s="6"/>
      <c r="C86" s="6">
        <f>0</f>
        <v>0</v>
      </c>
      <c r="D86" s="6">
        <f>1397749.25</f>
        <v>1397749.25</v>
      </c>
      <c r="E86" s="6">
        <f>2130000</f>
        <v>2130000</v>
      </c>
      <c r="F86" s="6"/>
      <c r="G86" s="6" t="s">
        <v>103</v>
      </c>
      <c r="H86" s="6" t="s">
        <v>104</v>
      </c>
      <c r="I86" s="6"/>
      <c r="J86" s="6"/>
    </row>
    <row r="87" spans="1:10">
      <c r="A87" s="6" t="s">
        <v>105</v>
      </c>
      <c r="B87" s="6"/>
      <c r="C87" s="6">
        <f>0</f>
        <v>0</v>
      </c>
      <c r="D87" s="6">
        <f>0</f>
        <v>0</v>
      </c>
      <c r="E87" s="6">
        <f>0</f>
        <v>0</v>
      </c>
      <c r="F87" s="6"/>
      <c r="G87" s="6" t="s">
        <v>106</v>
      </c>
      <c r="H87" s="6" t="s">
        <v>107</v>
      </c>
      <c r="I87" s="6"/>
      <c r="J87" s="6"/>
    </row>
    <row r="88" spans="1:10">
      <c r="A88" s="6" t="s">
        <v>108</v>
      </c>
      <c r="B88" s="6"/>
      <c r="C88" s="6">
        <f>0</f>
        <v>0</v>
      </c>
      <c r="D88" s="6">
        <f>0</f>
        <v>0</v>
      </c>
      <c r="E88" s="6">
        <f>0</f>
        <v>0</v>
      </c>
      <c r="F88" s="6"/>
      <c r="G88" s="6" t="s">
        <v>109</v>
      </c>
      <c r="H88" s="6" t="s">
        <v>110</v>
      </c>
      <c r="I88" s="6"/>
      <c r="J88" s="6"/>
    </row>
    <row r="89" spans="1:10">
      <c r="A89" s="6" t="s">
        <v>111</v>
      </c>
      <c r="B89" s="6"/>
      <c r="C89" s="6">
        <f>0</f>
        <v>0</v>
      </c>
      <c r="D89" s="6">
        <f>1451.4</f>
        <v>1451.4</v>
      </c>
      <c r="E89" s="6">
        <f>1451.4</f>
        <v>1451.4</v>
      </c>
      <c r="F89" s="6"/>
      <c r="G89" s="6" t="s">
        <v>112</v>
      </c>
      <c r="H89" s="6" t="s">
        <v>113</v>
      </c>
      <c r="I89" s="6"/>
      <c r="J89" s="6"/>
    </row>
    <row r="90" spans="1:10">
      <c r="A90" s="6" t="s">
        <v>114</v>
      </c>
      <c r="B90" s="6"/>
      <c r="C90" s="6">
        <f>0</f>
        <v>0</v>
      </c>
      <c r="D90" s="6">
        <f>0</f>
        <v>0</v>
      </c>
      <c r="E90" s="6">
        <f>0</f>
        <v>0</v>
      </c>
      <c r="F90" s="6"/>
      <c r="G90" s="6" t="s">
        <v>115</v>
      </c>
      <c r="H90" s="6" t="s">
        <v>116</v>
      </c>
      <c r="I90" s="6"/>
      <c r="J90" s="6"/>
    </row>
    <row r="91" spans="1:10">
      <c r="A91" s="6" t="s">
        <v>117</v>
      </c>
      <c r="B91" s="6"/>
      <c r="C91" s="6">
        <f>0</f>
        <v>0</v>
      </c>
      <c r="D91" s="6">
        <f>0</f>
        <v>0</v>
      </c>
      <c r="E91" s="6">
        <f>0</f>
        <v>0</v>
      </c>
      <c r="F91" s="6"/>
      <c r="G91" s="6" t="s">
        <v>118</v>
      </c>
      <c r="H91" s="6" t="s">
        <v>119</v>
      </c>
      <c r="I91" s="6"/>
      <c r="J91" s="6"/>
    </row>
    <row r="92" spans="1:10">
      <c r="A92" s="6" t="s">
        <v>120</v>
      </c>
      <c r="B92" s="6"/>
      <c r="C92" s="6">
        <f>0</f>
        <v>0</v>
      </c>
      <c r="D92" s="6">
        <f>-3665.43</f>
        <v>-3665.43</v>
      </c>
      <c r="E92" s="6">
        <f>-12574.18</f>
        <v>-12574.18</v>
      </c>
      <c r="F92" s="6"/>
      <c r="G92" s="6" t="s">
        <v>121</v>
      </c>
      <c r="H92" s="6" t="s">
        <v>122</v>
      </c>
      <c r="I92" s="6"/>
      <c r="J92" s="6"/>
    </row>
    <row r="93" spans="1:10">
      <c r="A93" s="6" t="s">
        <v>123</v>
      </c>
      <c r="B93" s="6"/>
      <c r="C93" s="6">
        <f>0</f>
        <v>0</v>
      </c>
      <c r="D93" s="6">
        <f>0</f>
        <v>0</v>
      </c>
      <c r="E93" s="6">
        <f>30132.06</f>
        <v>30132.06</v>
      </c>
      <c r="F93" s="6"/>
      <c r="G93" s="6" t="s">
        <v>124</v>
      </c>
      <c r="H93" s="6" t="s">
        <v>125</v>
      </c>
      <c r="I93" s="6"/>
      <c r="J93" s="6"/>
    </row>
    <row r="94" spans="1:10">
      <c r="A94" s="6" t="s">
        <v>126</v>
      </c>
      <c r="B94" s="6"/>
      <c r="C94" s="6">
        <f>0</f>
        <v>0</v>
      </c>
      <c r="D94" s="6">
        <f>319.7</f>
        <v>319.7</v>
      </c>
      <c r="E94" s="6">
        <f>14853.9</f>
        <v>14853.9</v>
      </c>
      <c r="F94" s="6"/>
      <c r="G94" s="6" t="s">
        <v>127</v>
      </c>
      <c r="H94" s="6" t="s">
        <v>128</v>
      </c>
      <c r="I94" s="6"/>
      <c r="J94" s="6"/>
    </row>
    <row r="95" spans="1:10">
      <c r="A95" s="6" t="s">
        <v>129</v>
      </c>
      <c r="B95" s="6"/>
      <c r="C95" s="15">
        <f>0</f>
        <v>0</v>
      </c>
      <c r="D95" s="15">
        <f>12227.69</f>
        <v>12227.69</v>
      </c>
      <c r="E95" s="15">
        <f>0</f>
        <v>0</v>
      </c>
      <c r="F95" s="6"/>
      <c r="G95" s="6" t="s">
        <v>130</v>
      </c>
      <c r="H95" s="6" t="s">
        <v>131</v>
      </c>
      <c r="I95" s="6"/>
      <c r="J95" s="6"/>
    </row>
    <row r="96" spans="1:10">
      <c r="A96" s="6" t="s">
        <v>132</v>
      </c>
      <c r="B96" s="6"/>
      <c r="C96" s="6">
        <f>SUM(C86:C95)</f>
        <v>0</v>
      </c>
      <c r="D96" s="6">
        <f>SUM(D86:D95)</f>
        <v>1408082.6099999999</v>
      </c>
      <c r="E96" s="6">
        <f>SUM(E86:E95)</f>
        <v>2163863.1799999997</v>
      </c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>
      <c r="A99" s="6" t="s">
        <v>133</v>
      </c>
      <c r="B99" s="6"/>
      <c r="C99" s="6">
        <f>0</f>
        <v>0</v>
      </c>
      <c r="D99" s="6">
        <f>1260374.99</f>
        <v>1260374.99</v>
      </c>
      <c r="E99" s="6">
        <f>114195.12</f>
        <v>114195.12</v>
      </c>
      <c r="F99" s="6"/>
      <c r="G99" s="6" t="s">
        <v>134</v>
      </c>
      <c r="H99" s="6" t="s">
        <v>135</v>
      </c>
      <c r="I99" s="6"/>
      <c r="J99" s="6"/>
    </row>
    <row r="100" spans="1:10">
      <c r="A100" s="6" t="s">
        <v>136</v>
      </c>
      <c r="B100" s="6"/>
      <c r="C100" s="6">
        <f>-12966.32</f>
        <v>-12966.32</v>
      </c>
      <c r="D100" s="6">
        <f>54558.96</f>
        <v>54558.96</v>
      </c>
      <c r="E100" s="6">
        <f>6712.66</f>
        <v>6712.66</v>
      </c>
      <c r="F100" s="6"/>
      <c r="G100" s="6" t="s">
        <v>137</v>
      </c>
      <c r="H100" s="6" t="s">
        <v>138</v>
      </c>
      <c r="I100" s="6"/>
      <c r="J100" s="6"/>
    </row>
    <row r="101" spans="1:10">
      <c r="A101" s="6" t="s">
        <v>139</v>
      </c>
      <c r="B101" s="6"/>
      <c r="C101" s="6">
        <f>-3866.57</f>
        <v>-3866.57</v>
      </c>
      <c r="D101" s="6">
        <f>4859.7</f>
        <v>4859.7</v>
      </c>
      <c r="E101" s="6">
        <f>4011.83</f>
        <v>4011.83</v>
      </c>
      <c r="F101" s="6"/>
      <c r="G101" s="6" t="s">
        <v>140</v>
      </c>
      <c r="H101" s="6" t="s">
        <v>141</v>
      </c>
      <c r="I101" s="6"/>
      <c r="J101" s="6"/>
    </row>
    <row r="102" spans="1:10">
      <c r="A102" s="6" t="s">
        <v>142</v>
      </c>
      <c r="B102" s="6"/>
      <c r="C102" s="6">
        <f>0</f>
        <v>0</v>
      </c>
      <c r="D102" s="6">
        <f>30230.45</f>
        <v>30230.45</v>
      </c>
      <c r="E102" s="6">
        <f>30230.45</f>
        <v>30230.45</v>
      </c>
      <c r="F102" s="6"/>
      <c r="G102" s="6" t="s">
        <v>143</v>
      </c>
      <c r="H102" s="6" t="s">
        <v>144</v>
      </c>
      <c r="I102" s="6"/>
      <c r="J102" s="6"/>
    </row>
    <row r="103" spans="1:10">
      <c r="A103" s="6" t="s">
        <v>145</v>
      </c>
      <c r="B103" s="6"/>
      <c r="C103" s="6">
        <f>0</f>
        <v>0</v>
      </c>
      <c r="D103" s="6">
        <f>50395.93</f>
        <v>50395.93</v>
      </c>
      <c r="E103" s="6">
        <f>-55347.74</f>
        <v>-55347.74</v>
      </c>
      <c r="F103" s="6"/>
      <c r="G103" s="6" t="s">
        <v>146</v>
      </c>
      <c r="H103" s="6" t="s">
        <v>147</v>
      </c>
      <c r="I103" s="6"/>
      <c r="J103" s="6"/>
    </row>
    <row r="104" spans="1:10">
      <c r="A104" s="6" t="s">
        <v>148</v>
      </c>
      <c r="B104" s="6"/>
      <c r="C104" s="6">
        <f>0</f>
        <v>0</v>
      </c>
      <c r="D104" s="6">
        <f>0</f>
        <v>0</v>
      </c>
      <c r="E104" s="6">
        <f>0</f>
        <v>0</v>
      </c>
      <c r="F104" s="6"/>
      <c r="G104" s="6" t="s">
        <v>149</v>
      </c>
      <c r="H104" s="6" t="s">
        <v>150</v>
      </c>
      <c r="I104" s="6"/>
      <c r="J104" s="6"/>
    </row>
    <row r="105" spans="1:10">
      <c r="A105" s="6" t="s">
        <v>151</v>
      </c>
      <c r="B105" s="6"/>
      <c r="C105" s="6">
        <f>0</f>
        <v>0</v>
      </c>
      <c r="D105" s="6">
        <f>2299.36</f>
        <v>2299.36</v>
      </c>
      <c r="E105" s="6">
        <f>1031.88</f>
        <v>1031.8800000000001</v>
      </c>
      <c r="F105" s="6"/>
      <c r="G105" s="6" t="s">
        <v>152</v>
      </c>
      <c r="H105" s="6" t="s">
        <v>153</v>
      </c>
      <c r="I105" s="6"/>
      <c r="J105" s="6"/>
    </row>
    <row r="106" spans="1:10">
      <c r="A106" s="6" t="s">
        <v>154</v>
      </c>
      <c r="B106" s="6"/>
      <c r="C106" s="6">
        <f>0</f>
        <v>0</v>
      </c>
      <c r="D106" s="6">
        <f>4170.17</f>
        <v>4170.17</v>
      </c>
      <c r="E106" s="6">
        <f>-8947.77</f>
        <v>-8947.77</v>
      </c>
      <c r="F106" s="6"/>
      <c r="G106" s="6" t="s">
        <v>155</v>
      </c>
      <c r="H106" s="6" t="s">
        <v>156</v>
      </c>
      <c r="I106" s="6"/>
      <c r="J106" s="6"/>
    </row>
    <row r="107" spans="1:10">
      <c r="A107" s="6" t="s">
        <v>157</v>
      </c>
      <c r="B107" s="6"/>
      <c r="C107" s="6">
        <f>0</f>
        <v>0</v>
      </c>
      <c r="D107" s="6">
        <f>311.5</f>
        <v>311.5</v>
      </c>
      <c r="E107" s="6">
        <f>108.5</f>
        <v>108.5</v>
      </c>
      <c r="F107" s="6"/>
      <c r="G107" s="6" t="s">
        <v>158</v>
      </c>
      <c r="H107" s="6" t="s">
        <v>159</v>
      </c>
      <c r="I107" s="6"/>
      <c r="J107" s="6"/>
    </row>
    <row r="108" spans="1:10">
      <c r="A108" s="6" t="s">
        <v>160</v>
      </c>
      <c r="B108" s="6"/>
      <c r="C108" s="6">
        <f>21762.9</f>
        <v>21762.9</v>
      </c>
      <c r="D108" s="6">
        <f>46642.5</f>
        <v>46642.5</v>
      </c>
      <c r="E108" s="6">
        <f>122159.2</f>
        <v>122159.2</v>
      </c>
      <c r="F108" s="6"/>
      <c r="G108" s="6" t="s">
        <v>161</v>
      </c>
      <c r="H108" s="6" t="s">
        <v>162</v>
      </c>
      <c r="I108" s="6"/>
      <c r="J108" s="6"/>
    </row>
    <row r="109" spans="1:10">
      <c r="A109" s="6" t="s">
        <v>163</v>
      </c>
      <c r="B109" s="6"/>
      <c r="C109" s="6">
        <f>0</f>
        <v>0</v>
      </c>
      <c r="D109" s="6">
        <f>0</f>
        <v>0</v>
      </c>
      <c r="E109" s="6">
        <f>0</f>
        <v>0</v>
      </c>
      <c r="F109" s="6"/>
      <c r="G109" s="6" t="s">
        <v>164</v>
      </c>
      <c r="H109" s="6" t="s">
        <v>165</v>
      </c>
      <c r="I109" s="6"/>
      <c r="J109" s="6"/>
    </row>
    <row r="110" spans="1:10">
      <c r="A110" s="6" t="s">
        <v>166</v>
      </c>
      <c r="B110" s="6"/>
      <c r="C110" s="6">
        <f>0</f>
        <v>0</v>
      </c>
      <c r="D110" s="6">
        <f>0</f>
        <v>0</v>
      </c>
      <c r="E110" s="6">
        <f>0</f>
        <v>0</v>
      </c>
      <c r="F110" s="6"/>
      <c r="G110" s="6" t="s">
        <v>167</v>
      </c>
      <c r="H110" s="6" t="s">
        <v>168</v>
      </c>
      <c r="I110" s="6"/>
      <c r="J110" s="6"/>
    </row>
    <row r="111" spans="1:10">
      <c r="A111" s="6" t="s">
        <v>169</v>
      </c>
      <c r="B111" s="6"/>
      <c r="C111" s="6">
        <f>0</f>
        <v>0</v>
      </c>
      <c r="D111" s="6">
        <f>0</f>
        <v>0</v>
      </c>
      <c r="E111" s="6">
        <f>0</f>
        <v>0</v>
      </c>
      <c r="F111" s="6"/>
      <c r="G111" s="6" t="s">
        <v>170</v>
      </c>
      <c r="H111" s="6" t="s">
        <v>171</v>
      </c>
      <c r="I111" s="6"/>
      <c r="J111" s="6"/>
    </row>
    <row r="112" spans="1:10">
      <c r="A112" s="6" t="s">
        <v>172</v>
      </c>
      <c r="B112" s="6"/>
      <c r="C112" s="6">
        <f>0</f>
        <v>0</v>
      </c>
      <c r="D112" s="6">
        <f>-21626.52</f>
        <v>-21626.52</v>
      </c>
      <c r="E112" s="6">
        <f>-21626.52</f>
        <v>-21626.52</v>
      </c>
      <c r="F112" s="6"/>
      <c r="G112" s="6" t="s">
        <v>173</v>
      </c>
      <c r="H112" s="6" t="s">
        <v>174</v>
      </c>
      <c r="I112" s="6"/>
      <c r="J112" s="6"/>
    </row>
    <row r="113" spans="1:10">
      <c r="A113" s="6" t="s">
        <v>175</v>
      </c>
      <c r="B113" s="6"/>
      <c r="C113" s="15">
        <f>0</f>
        <v>0</v>
      </c>
      <c r="D113" s="15">
        <f>0</f>
        <v>0</v>
      </c>
      <c r="E113" s="15">
        <f>0</f>
        <v>0</v>
      </c>
      <c r="F113" s="6"/>
      <c r="G113" s="6" t="s">
        <v>176</v>
      </c>
      <c r="H113" s="6" t="s">
        <v>177</v>
      </c>
      <c r="I113" s="6"/>
      <c r="J113" s="6"/>
    </row>
    <row r="114" spans="1:10">
      <c r="A114" s="6" t="s">
        <v>178</v>
      </c>
      <c r="B114" s="6"/>
      <c r="C114" s="6">
        <f>SUM(C99:C113)</f>
        <v>4930.010000000002</v>
      </c>
      <c r="D114" s="6">
        <f>SUM(D99:D113)</f>
        <v>1432217.0399999998</v>
      </c>
      <c r="E114" s="6">
        <f>SUM(E99:E113)</f>
        <v>192527.61000000002</v>
      </c>
      <c r="F114" s="6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>
      <c r="A117" s="6" t="s">
        <v>179</v>
      </c>
      <c r="B117" s="6"/>
      <c r="C117" s="6">
        <f>-93.65</f>
        <v>-93.65</v>
      </c>
      <c r="D117" s="6">
        <f>35967.39</f>
        <v>35967.39</v>
      </c>
      <c r="E117" s="6">
        <f>39568.97</f>
        <v>39568.97</v>
      </c>
      <c r="F117" s="6"/>
      <c r="G117" s="6" t="s">
        <v>180</v>
      </c>
      <c r="H117" s="6" t="s">
        <v>181</v>
      </c>
      <c r="I117" s="6"/>
      <c r="J117" s="6"/>
    </row>
    <row r="118" spans="1:10">
      <c r="A118" s="6" t="s">
        <v>182</v>
      </c>
      <c r="B118" s="6"/>
      <c r="C118" s="6">
        <f>-187.3</f>
        <v>-187.3</v>
      </c>
      <c r="D118" s="6">
        <f>11902.98</f>
        <v>11902.98</v>
      </c>
      <c r="E118" s="6">
        <f>18233.82</f>
        <v>18233.82</v>
      </c>
      <c r="F118" s="6"/>
      <c r="G118" s="6" t="s">
        <v>183</v>
      </c>
      <c r="H118" s="6" t="s">
        <v>184</v>
      </c>
      <c r="I118" s="6"/>
      <c r="J118" s="6"/>
    </row>
    <row r="119" spans="1:10">
      <c r="A119" s="6" t="s">
        <v>185</v>
      </c>
      <c r="B119" s="6"/>
      <c r="C119" s="6">
        <f>326.03</f>
        <v>326.02999999999997</v>
      </c>
      <c r="D119" s="6">
        <f>19030.52</f>
        <v>19030.52</v>
      </c>
      <c r="E119" s="6">
        <f>18704.49</f>
        <v>18704.490000000002</v>
      </c>
      <c r="F119" s="6"/>
      <c r="G119" s="6" t="s">
        <v>186</v>
      </c>
      <c r="H119" s="6" t="s">
        <v>187</v>
      </c>
      <c r="I119" s="6"/>
      <c r="J119" s="6"/>
    </row>
    <row r="120" spans="1:10">
      <c r="A120" s="6" t="s">
        <v>188</v>
      </c>
      <c r="B120" s="6"/>
      <c r="C120" s="6">
        <f>4203.92</f>
        <v>4203.92</v>
      </c>
      <c r="D120" s="6">
        <f>39114.31</f>
        <v>39114.31</v>
      </c>
      <c r="E120" s="6">
        <f>30531.74</f>
        <v>30531.74</v>
      </c>
      <c r="F120" s="6"/>
      <c r="G120" s="6" t="s">
        <v>189</v>
      </c>
      <c r="H120" s="6" t="s">
        <v>190</v>
      </c>
      <c r="I120" s="6"/>
      <c r="J120" s="6"/>
    </row>
    <row r="121" spans="1:10">
      <c r="A121" s="6" t="s">
        <v>191</v>
      </c>
      <c r="B121" s="6"/>
      <c r="C121" s="6">
        <f>0</f>
        <v>0</v>
      </c>
      <c r="D121" s="6">
        <f>5101.35</f>
        <v>5101.3500000000004</v>
      </c>
      <c r="E121" s="6">
        <f>5194.35</f>
        <v>5194.3500000000004</v>
      </c>
      <c r="F121" s="6"/>
      <c r="G121" s="6" t="s">
        <v>192</v>
      </c>
      <c r="H121" s="6" t="s">
        <v>193</v>
      </c>
      <c r="I121" s="6"/>
      <c r="J121" s="6"/>
    </row>
    <row r="122" spans="1:10">
      <c r="A122" s="6" t="s">
        <v>194</v>
      </c>
      <c r="B122" s="6"/>
      <c r="C122" s="6">
        <f>0</f>
        <v>0</v>
      </c>
      <c r="D122" s="6">
        <f>0</f>
        <v>0</v>
      </c>
      <c r="E122" s="6">
        <f>0</f>
        <v>0</v>
      </c>
      <c r="F122" s="6"/>
      <c r="G122" s="6" t="s">
        <v>195</v>
      </c>
      <c r="H122" s="6" t="s">
        <v>196</v>
      </c>
      <c r="I122" s="6"/>
      <c r="J122" s="6"/>
    </row>
    <row r="123" spans="1:10">
      <c r="A123" s="6" t="s">
        <v>197</v>
      </c>
      <c r="B123" s="6"/>
      <c r="C123" s="6">
        <f>0</f>
        <v>0</v>
      </c>
      <c r="D123" s="6">
        <f>0</f>
        <v>0</v>
      </c>
      <c r="E123" s="6">
        <f>0</f>
        <v>0</v>
      </c>
      <c r="F123" s="6"/>
      <c r="G123" s="6" t="s">
        <v>198</v>
      </c>
      <c r="H123" s="6" t="s">
        <v>199</v>
      </c>
      <c r="I123" s="6"/>
      <c r="J123" s="6"/>
    </row>
    <row r="124" spans="1:10">
      <c r="A124" s="6" t="s">
        <v>200</v>
      </c>
      <c r="B124" s="6"/>
      <c r="C124" s="6">
        <f>0</f>
        <v>0</v>
      </c>
      <c r="D124" s="6">
        <f>0</f>
        <v>0</v>
      </c>
      <c r="E124" s="6">
        <f>0</f>
        <v>0</v>
      </c>
      <c r="F124" s="6"/>
      <c r="G124" s="6" t="s">
        <v>201</v>
      </c>
      <c r="H124" s="6" t="s">
        <v>202</v>
      </c>
      <c r="I124" s="6"/>
      <c r="J124" s="6"/>
    </row>
    <row r="125" spans="1:10">
      <c r="A125" s="6" t="s">
        <v>203</v>
      </c>
      <c r="B125" s="6"/>
      <c r="C125" s="6">
        <f>0</f>
        <v>0</v>
      </c>
      <c r="D125" s="6">
        <f>0</f>
        <v>0</v>
      </c>
      <c r="E125" s="6">
        <f>0</f>
        <v>0</v>
      </c>
      <c r="F125" s="6"/>
      <c r="G125" s="6" t="s">
        <v>204</v>
      </c>
      <c r="H125" s="6" t="s">
        <v>205</v>
      </c>
      <c r="I125" s="6"/>
      <c r="J125" s="6"/>
    </row>
    <row r="126" spans="1:10">
      <c r="A126" s="6" t="s">
        <v>206</v>
      </c>
      <c r="B126" s="6"/>
      <c r="C126" s="6">
        <f>0</f>
        <v>0</v>
      </c>
      <c r="D126" s="6">
        <f>0</f>
        <v>0</v>
      </c>
      <c r="E126" s="6">
        <f>0</f>
        <v>0</v>
      </c>
      <c r="F126" s="6"/>
      <c r="G126" s="6" t="s">
        <v>207</v>
      </c>
      <c r="H126" s="6" t="s">
        <v>208</v>
      </c>
      <c r="I126" s="6"/>
      <c r="J126" s="6"/>
    </row>
    <row r="127" spans="1:10">
      <c r="A127" s="6" t="s">
        <v>209</v>
      </c>
      <c r="B127" s="6"/>
      <c r="C127" s="6">
        <f>0</f>
        <v>0</v>
      </c>
      <c r="D127" s="6">
        <f>0</f>
        <v>0</v>
      </c>
      <c r="E127" s="6">
        <f>0</f>
        <v>0</v>
      </c>
      <c r="F127" s="6"/>
      <c r="G127" s="6" t="s">
        <v>210</v>
      </c>
      <c r="H127" s="6" t="s">
        <v>211</v>
      </c>
      <c r="I127" s="6"/>
      <c r="J127" s="6"/>
    </row>
    <row r="128" spans="1:10">
      <c r="A128" s="6" t="s">
        <v>212</v>
      </c>
      <c r="B128" s="6"/>
      <c r="C128" s="6">
        <f>0</f>
        <v>0</v>
      </c>
      <c r="D128" s="6">
        <f>0</f>
        <v>0</v>
      </c>
      <c r="E128" s="6">
        <f>0</f>
        <v>0</v>
      </c>
      <c r="F128" s="6"/>
      <c r="G128" s="6" t="s">
        <v>213</v>
      </c>
      <c r="H128" s="6" t="s">
        <v>214</v>
      </c>
      <c r="I128" s="6"/>
      <c r="J128" s="6"/>
    </row>
    <row r="129" spans="1:10">
      <c r="A129" s="6" t="s">
        <v>215</v>
      </c>
      <c r="B129" s="6"/>
      <c r="C129" s="6">
        <f>0</f>
        <v>0</v>
      </c>
      <c r="D129" s="6">
        <f>0</f>
        <v>0</v>
      </c>
      <c r="E129" s="6">
        <f>0</f>
        <v>0</v>
      </c>
      <c r="F129" s="6"/>
      <c r="G129" s="6" t="s">
        <v>216</v>
      </c>
      <c r="H129" s="6" t="s">
        <v>217</v>
      </c>
      <c r="I129" s="6"/>
      <c r="J129" s="6"/>
    </row>
    <row r="130" spans="1:10">
      <c r="A130" s="6" t="s">
        <v>218</v>
      </c>
      <c r="B130" s="6"/>
      <c r="C130" s="6">
        <f>0</f>
        <v>0</v>
      </c>
      <c r="D130" s="6">
        <f>0</f>
        <v>0</v>
      </c>
      <c r="E130" s="6">
        <f>0</f>
        <v>0</v>
      </c>
      <c r="F130" s="6"/>
      <c r="G130" s="6" t="s">
        <v>219</v>
      </c>
      <c r="H130" s="6" t="s">
        <v>220</v>
      </c>
      <c r="I130" s="6"/>
      <c r="J130" s="6"/>
    </row>
    <row r="131" spans="1:10">
      <c r="A131" s="6" t="s">
        <v>221</v>
      </c>
      <c r="B131" s="6"/>
      <c r="C131" s="15">
        <f>0</f>
        <v>0</v>
      </c>
      <c r="D131" s="15">
        <f>0</f>
        <v>0</v>
      </c>
      <c r="E131" s="15">
        <f>0</f>
        <v>0</v>
      </c>
      <c r="F131" s="6"/>
      <c r="G131" s="6" t="s">
        <v>222</v>
      </c>
      <c r="H131" s="6" t="s">
        <v>223</v>
      </c>
      <c r="I131" s="6"/>
      <c r="J131" s="6"/>
    </row>
    <row r="132" spans="1:10">
      <c r="A132" s="6" t="s">
        <v>224</v>
      </c>
      <c r="B132" s="6"/>
      <c r="C132" s="6">
        <f>SUM(C117:C131)</f>
        <v>4249</v>
      </c>
      <c r="D132" s="6">
        <f>SUM(D117:D131)</f>
        <v>111116.55</v>
      </c>
      <c r="E132" s="6">
        <f>SUM(E117:E131)</f>
        <v>112233.37000000001</v>
      </c>
      <c r="F132" s="6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>
      <c r="A135" s="6" t="s">
        <v>225</v>
      </c>
      <c r="B135" s="6"/>
      <c r="C135" s="6">
        <f>46200.18</f>
        <v>46200.18</v>
      </c>
      <c r="D135" s="6">
        <f>86101.47</f>
        <v>86101.47</v>
      </c>
      <c r="E135" s="6">
        <f>99443.57</f>
        <v>99443.57</v>
      </c>
      <c r="F135" s="6"/>
      <c r="G135" s="6" t="s">
        <v>226</v>
      </c>
      <c r="H135" s="6" t="s">
        <v>227</v>
      </c>
      <c r="I135" s="6"/>
      <c r="J135" s="6"/>
    </row>
    <row r="136" spans="1:10">
      <c r="A136" s="6" t="s">
        <v>228</v>
      </c>
      <c r="B136" s="6"/>
      <c r="C136" s="6">
        <f>0</f>
        <v>0</v>
      </c>
      <c r="D136" s="6">
        <f>5798.24</f>
        <v>5798.24</v>
      </c>
      <c r="E136" s="6">
        <f>2173.77</f>
        <v>2173.77</v>
      </c>
      <c r="F136" s="6"/>
      <c r="G136" s="6" t="s">
        <v>229</v>
      </c>
      <c r="H136" s="6" t="s">
        <v>230</v>
      </c>
      <c r="I136" s="6"/>
      <c r="J136" s="6"/>
    </row>
    <row r="137" spans="1:10">
      <c r="A137" s="6" t="s">
        <v>231</v>
      </c>
      <c r="B137" s="6"/>
      <c r="C137" s="6">
        <f>0</f>
        <v>0</v>
      </c>
      <c r="D137" s="6">
        <f>0</f>
        <v>0</v>
      </c>
      <c r="E137" s="6">
        <f>0</f>
        <v>0</v>
      </c>
      <c r="F137" s="6"/>
      <c r="G137" s="6" t="s">
        <v>232</v>
      </c>
      <c r="H137" s="6" t="s">
        <v>233</v>
      </c>
      <c r="I137" s="6"/>
      <c r="J137" s="6"/>
    </row>
    <row r="138" spans="1:10">
      <c r="A138" s="6" t="s">
        <v>234</v>
      </c>
      <c r="B138" s="6"/>
      <c r="C138" s="15">
        <f>-7087.64</f>
        <v>-7087.64</v>
      </c>
      <c r="D138" s="15">
        <f>-3543.82</f>
        <v>-3543.82</v>
      </c>
      <c r="E138" s="15">
        <f>0</f>
        <v>0</v>
      </c>
      <c r="F138" s="6"/>
      <c r="G138" s="6" t="s">
        <v>235</v>
      </c>
      <c r="H138" s="6" t="s">
        <v>236</v>
      </c>
      <c r="I138" s="6"/>
      <c r="J138" s="6"/>
    </row>
    <row r="139" spans="1:10">
      <c r="A139" s="6" t="s">
        <v>237</v>
      </c>
      <c r="B139" s="6"/>
      <c r="C139" s="6">
        <f>SUM(C135:C138)</f>
        <v>39112.54</v>
      </c>
      <c r="D139" s="6">
        <f>SUM(D135:D138)</f>
        <v>88355.89</v>
      </c>
      <c r="E139" s="6">
        <f>SUM(E135:E138)</f>
        <v>101617.34000000001</v>
      </c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>
      <c r="A142" s="6" t="s">
        <v>238</v>
      </c>
      <c r="B142" s="6"/>
      <c r="C142" s="6">
        <f>0</f>
        <v>0</v>
      </c>
      <c r="D142" s="6">
        <f>0</f>
        <v>0</v>
      </c>
      <c r="E142" s="6">
        <f>0</f>
        <v>0</v>
      </c>
      <c r="F142" s="6"/>
      <c r="G142" s="6" t="s">
        <v>239</v>
      </c>
      <c r="H142" s="6" t="s">
        <v>240</v>
      </c>
      <c r="I142" s="6" t="s">
        <v>241</v>
      </c>
      <c r="J142" s="6" t="s">
        <v>242</v>
      </c>
    </row>
    <row r="143" spans="1:10">
      <c r="A143" s="6" t="s">
        <v>243</v>
      </c>
      <c r="B143" s="6"/>
      <c r="C143" s="15">
        <f>-500</f>
        <v>-500</v>
      </c>
      <c r="D143" s="15">
        <f>0</f>
        <v>0</v>
      </c>
      <c r="E143" s="15">
        <f>0</f>
        <v>0</v>
      </c>
      <c r="F143" s="6"/>
      <c r="G143" s="6" t="s">
        <v>244</v>
      </c>
      <c r="H143" s="6" t="s">
        <v>245</v>
      </c>
      <c r="I143" s="6" t="s">
        <v>246</v>
      </c>
      <c r="J143" s="6" t="s">
        <v>247</v>
      </c>
    </row>
    <row r="144" spans="1:10">
      <c r="A144" s="6" t="s">
        <v>248</v>
      </c>
      <c r="B144" s="6"/>
      <c r="C144" s="6">
        <f>SUM(C142:C143)</f>
        <v>-500</v>
      </c>
      <c r="D144" s="6">
        <f>SUM(D142:D143)</f>
        <v>0</v>
      </c>
      <c r="E144" s="6">
        <f>SUM(E142:E143)</f>
        <v>0</v>
      </c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 t="s">
        <v>249</v>
      </c>
      <c r="B147" s="6"/>
      <c r="C147" s="6">
        <f>0</f>
        <v>0</v>
      </c>
      <c r="D147" s="6">
        <f>-5897.9</f>
        <v>-5897.9</v>
      </c>
      <c r="E147" s="6">
        <f>0</f>
        <v>0</v>
      </c>
      <c r="F147" s="6"/>
      <c r="G147" s="6" t="s">
        <v>250</v>
      </c>
      <c r="H147" s="6" t="s">
        <v>251</v>
      </c>
      <c r="I147" s="6"/>
      <c r="J147" s="6"/>
    </row>
    <row r="148" spans="1:10">
      <c r="A148" s="6" t="s">
        <v>252</v>
      </c>
      <c r="B148" s="6"/>
      <c r="C148" s="6">
        <f>-81442.7</f>
        <v>-81442.7</v>
      </c>
      <c r="D148" s="6">
        <f>27408.45</f>
        <v>27408.45</v>
      </c>
      <c r="E148" s="6">
        <f>0</f>
        <v>0</v>
      </c>
      <c r="F148" s="6"/>
      <c r="G148" s="6" t="s">
        <v>253</v>
      </c>
      <c r="H148" s="6" t="s">
        <v>254</v>
      </c>
      <c r="I148" s="6"/>
      <c r="J148" s="6"/>
    </row>
    <row r="149" spans="1:10">
      <c r="A149" s="6" t="s">
        <v>255</v>
      </c>
      <c r="B149" s="6"/>
      <c r="C149" s="6">
        <f>0</f>
        <v>0</v>
      </c>
      <c r="D149" s="6">
        <f>5650</f>
        <v>5650</v>
      </c>
      <c r="E149" s="6">
        <f>0</f>
        <v>0</v>
      </c>
      <c r="F149" s="6"/>
      <c r="G149" s="6" t="s">
        <v>256</v>
      </c>
      <c r="H149" s="6" t="s">
        <v>257</v>
      </c>
      <c r="I149" s="6" t="s">
        <v>258</v>
      </c>
      <c r="J149" s="6" t="s">
        <v>259</v>
      </c>
    </row>
    <row r="150" spans="1:10">
      <c r="A150" s="6" t="s">
        <v>260</v>
      </c>
      <c r="B150" s="6"/>
      <c r="C150" s="6">
        <f>0</f>
        <v>0</v>
      </c>
      <c r="D150" s="6">
        <f>-3031.09</f>
        <v>-3031.09</v>
      </c>
      <c r="E150" s="6">
        <f>-3031.09</f>
        <v>-3031.09</v>
      </c>
      <c r="F150" s="6"/>
      <c r="G150" s="6" t="s">
        <v>261</v>
      </c>
      <c r="H150" s="6" t="s">
        <v>262</v>
      </c>
      <c r="I150" s="6"/>
      <c r="J150" s="6"/>
    </row>
    <row r="151" spans="1:10">
      <c r="A151" s="6" t="s">
        <v>263</v>
      </c>
      <c r="B151" s="6"/>
      <c r="C151" s="15">
        <f>0</f>
        <v>0</v>
      </c>
      <c r="D151" s="15">
        <f>-31090.44</f>
        <v>-31090.44</v>
      </c>
      <c r="E151" s="15">
        <f>-31090.44</f>
        <v>-31090.44</v>
      </c>
      <c r="F151" s="6"/>
      <c r="G151" s="6" t="s">
        <v>264</v>
      </c>
      <c r="H151" s="6" t="s">
        <v>265</v>
      </c>
      <c r="I151" s="6"/>
      <c r="J151" s="6"/>
    </row>
    <row r="152" spans="1:10">
      <c r="A152" s="6" t="s">
        <v>266</v>
      </c>
      <c r="B152" s="6"/>
      <c r="C152" s="6">
        <f>SUM(C147:C151)</f>
        <v>-81442.7</v>
      </c>
      <c r="D152" s="6">
        <f>SUM(D147:D151)</f>
        <v>-6960.9799999999959</v>
      </c>
      <c r="E152" s="6">
        <f>SUM(E147:E151)</f>
        <v>-34121.53</v>
      </c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 t="s">
        <v>267</v>
      </c>
      <c r="B155" s="6"/>
      <c r="C155" s="6">
        <f>0</f>
        <v>0</v>
      </c>
      <c r="D155" s="6">
        <f>57399.18</f>
        <v>57399.18</v>
      </c>
      <c r="E155" s="6">
        <f>57399.18</f>
        <v>57399.18</v>
      </c>
      <c r="F155" s="6"/>
      <c r="G155" s="6" t="s">
        <v>268</v>
      </c>
      <c r="H155" s="6" t="s">
        <v>269</v>
      </c>
      <c r="I155" s="6"/>
      <c r="J155" s="6"/>
    </row>
    <row r="156" spans="1:10">
      <c r="A156" s="6" t="s">
        <v>270</v>
      </c>
      <c r="B156" s="6"/>
      <c r="C156" s="6">
        <f>0</f>
        <v>0</v>
      </c>
      <c r="D156" s="6">
        <f>63712.95</f>
        <v>63712.95</v>
      </c>
      <c r="E156" s="6">
        <f>63712.95</f>
        <v>63712.95</v>
      </c>
      <c r="F156" s="6"/>
      <c r="G156" s="6" t="s">
        <v>271</v>
      </c>
      <c r="H156" s="6" t="s">
        <v>272</v>
      </c>
      <c r="I156" s="6"/>
      <c r="J156" s="6"/>
    </row>
    <row r="157" spans="1:10">
      <c r="A157" s="6" t="s">
        <v>273</v>
      </c>
      <c r="B157" s="6"/>
      <c r="C157" s="6">
        <f>0</f>
        <v>0</v>
      </c>
      <c r="D157" s="6">
        <f>92127.66</f>
        <v>92127.66</v>
      </c>
      <c r="E157" s="6">
        <f>92127.66</f>
        <v>92127.66</v>
      </c>
      <c r="F157" s="6"/>
      <c r="G157" s="6" t="s">
        <v>274</v>
      </c>
      <c r="H157" s="6" t="s">
        <v>275</v>
      </c>
      <c r="I157" s="6"/>
      <c r="J157" s="6"/>
    </row>
    <row r="158" spans="1:10">
      <c r="A158" s="6" t="s">
        <v>276</v>
      </c>
      <c r="B158" s="6"/>
      <c r="C158" s="6">
        <f>0</f>
        <v>0</v>
      </c>
      <c r="D158" s="6">
        <f>60000</f>
        <v>60000</v>
      </c>
      <c r="E158" s="6">
        <f>60000</f>
        <v>60000</v>
      </c>
      <c r="F158" s="6"/>
      <c r="G158" s="6" t="s">
        <v>277</v>
      </c>
      <c r="H158" s="6" t="s">
        <v>278</v>
      </c>
      <c r="I158" s="6"/>
      <c r="J158" s="6"/>
    </row>
    <row r="159" spans="1:10">
      <c r="A159" s="6" t="s">
        <v>279</v>
      </c>
      <c r="B159" s="6"/>
      <c r="C159" s="6">
        <f>0</f>
        <v>0</v>
      </c>
      <c r="D159" s="6">
        <f>869022.26</f>
        <v>869022.26</v>
      </c>
      <c r="E159" s="6">
        <f>869022.26</f>
        <v>869022.26</v>
      </c>
      <c r="F159" s="6"/>
      <c r="G159" s="6" t="s">
        <v>280</v>
      </c>
      <c r="H159" s="6" t="s">
        <v>281</v>
      </c>
      <c r="I159" s="6"/>
      <c r="J159" s="6"/>
    </row>
    <row r="160" spans="1:10">
      <c r="A160" s="6" t="s">
        <v>282</v>
      </c>
      <c r="B160" s="6"/>
      <c r="C160" s="6">
        <f>0</f>
        <v>0</v>
      </c>
      <c r="D160" s="6">
        <f>372104.27</f>
        <v>372104.27</v>
      </c>
      <c r="E160" s="6">
        <f>372104.27</f>
        <v>372104.27</v>
      </c>
      <c r="F160" s="6"/>
      <c r="G160" s="6" t="s">
        <v>283</v>
      </c>
      <c r="H160" s="6" t="s">
        <v>284</v>
      </c>
      <c r="I160" s="6"/>
      <c r="J160" s="6"/>
    </row>
    <row r="161" spans="1:10">
      <c r="A161" s="6" t="s">
        <v>285</v>
      </c>
      <c r="B161" s="6"/>
      <c r="C161" s="15">
        <f>3869.64</f>
        <v>3869.64</v>
      </c>
      <c r="D161" s="15">
        <f>373938.32</f>
        <v>373938.32</v>
      </c>
      <c r="E161" s="15">
        <f>367571.27</f>
        <v>367571.27</v>
      </c>
      <c r="F161" s="6"/>
      <c r="G161" s="6" t="s">
        <v>286</v>
      </c>
      <c r="H161" s="6" t="s">
        <v>287</v>
      </c>
      <c r="I161" s="6"/>
      <c r="J161" s="6"/>
    </row>
    <row r="162" spans="1:10">
      <c r="A162" s="6" t="s">
        <v>288</v>
      </c>
      <c r="B162" s="6"/>
      <c r="C162" s="6">
        <f>SUM(C155:C161)</f>
        <v>3869.64</v>
      </c>
      <c r="D162" s="6">
        <f>SUM(D155:D161)</f>
        <v>1888304.6400000001</v>
      </c>
      <c r="E162" s="6">
        <f>SUM(E155:E161)</f>
        <v>1881937.59</v>
      </c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 t="s">
        <v>289</v>
      </c>
      <c r="B165" s="6"/>
      <c r="C165" s="6">
        <f>-1591.67</f>
        <v>-1591.67</v>
      </c>
      <c r="D165" s="6">
        <f>-134995.52</f>
        <v>-134995.51999999999</v>
      </c>
      <c r="E165" s="6">
        <f>-123853.83</f>
        <v>-123853.83</v>
      </c>
      <c r="F165" s="6"/>
      <c r="G165" s="6" t="s">
        <v>290</v>
      </c>
      <c r="H165" s="6" t="s">
        <v>291</v>
      </c>
      <c r="I165" s="6"/>
      <c r="J165" s="6"/>
    </row>
    <row r="166" spans="1:10">
      <c r="A166" s="6" t="s">
        <v>292</v>
      </c>
      <c r="B166" s="6"/>
      <c r="C166" s="6">
        <f>-3425</f>
        <v>-3425</v>
      </c>
      <c r="D166" s="6">
        <f>-828635.8</f>
        <v>-828635.8</v>
      </c>
      <c r="E166" s="6">
        <f>-804660.8</f>
        <v>-804660.8</v>
      </c>
      <c r="F166" s="6"/>
      <c r="G166" s="6" t="s">
        <v>293</v>
      </c>
      <c r="H166" s="6" t="s">
        <v>294</v>
      </c>
      <c r="I166" s="6"/>
      <c r="J166" s="6"/>
    </row>
    <row r="167" spans="1:10">
      <c r="A167" s="6" t="s">
        <v>295</v>
      </c>
      <c r="B167" s="6"/>
      <c r="C167" s="6">
        <f>-6666.67</f>
        <v>-6666.67</v>
      </c>
      <c r="D167" s="6">
        <f>-344963.33</f>
        <v>-344963.33</v>
      </c>
      <c r="E167" s="6">
        <f>-298296.64</f>
        <v>-298296.64</v>
      </c>
      <c r="F167" s="6"/>
      <c r="G167" s="6" t="s">
        <v>296</v>
      </c>
      <c r="H167" s="6" t="s">
        <v>297</v>
      </c>
      <c r="I167" s="6"/>
      <c r="J167" s="6"/>
    </row>
    <row r="168" spans="1:10">
      <c r="A168" s="6" t="s">
        <v>298</v>
      </c>
      <c r="B168" s="6"/>
      <c r="C168" s="6">
        <f>-500</f>
        <v>-500</v>
      </c>
      <c r="D168" s="6">
        <f>-33500.01</f>
        <v>-33500.01</v>
      </c>
      <c r="E168" s="6">
        <f>-30000.01</f>
        <v>-30000.01</v>
      </c>
      <c r="F168" s="6"/>
      <c r="G168" s="6" t="s">
        <v>299</v>
      </c>
      <c r="H168" s="6" t="s">
        <v>300</v>
      </c>
      <c r="I168" s="6"/>
      <c r="J168" s="6"/>
    </row>
    <row r="169" spans="1:10">
      <c r="A169" s="6" t="s">
        <v>301</v>
      </c>
      <c r="B169" s="6"/>
      <c r="C169" s="15">
        <f>-733.34</f>
        <v>-733.34</v>
      </c>
      <c r="D169" s="15">
        <f>-91344.77</f>
        <v>-91344.77</v>
      </c>
      <c r="E169" s="15">
        <f>-86211.39</f>
        <v>-86211.39</v>
      </c>
      <c r="F169" s="6"/>
      <c r="G169" s="6" t="s">
        <v>302</v>
      </c>
      <c r="H169" s="6" t="s">
        <v>303</v>
      </c>
      <c r="I169" s="6"/>
      <c r="J169" s="6"/>
    </row>
    <row r="170" spans="1:10">
      <c r="A170" s="6" t="s">
        <v>304</v>
      </c>
      <c r="B170" s="6"/>
      <c r="C170" s="6">
        <f>SUM(C165:C169)</f>
        <v>-12916.68</v>
      </c>
      <c r="D170" s="6">
        <f>SUM(D165:D169)</f>
        <v>-1433439.4300000002</v>
      </c>
      <c r="E170" s="6">
        <f>SUM(E165:E169)</f>
        <v>-1343022.67</v>
      </c>
      <c r="F170" s="6"/>
      <c r="G170" s="6"/>
      <c r="H170" s="6"/>
      <c r="I170" s="6"/>
      <c r="J170" s="6"/>
    </row>
    <row r="171" spans="1:10">
      <c r="A171" s="6"/>
      <c r="B171" s="6"/>
      <c r="C171" s="26"/>
      <c r="D171" s="26"/>
      <c r="E171" s="26"/>
      <c r="F171" s="6"/>
      <c r="G171" s="6"/>
      <c r="H171" s="6"/>
      <c r="I171" s="6"/>
      <c r="J171" s="6"/>
    </row>
    <row r="172" spans="1:10">
      <c r="A172" s="6"/>
      <c r="B172" s="6"/>
      <c r="C172" s="26"/>
      <c r="D172" s="26"/>
      <c r="E172" s="26"/>
      <c r="F172" s="6"/>
      <c r="G172" s="6"/>
      <c r="H172" s="6"/>
      <c r="I172" s="6"/>
      <c r="J172" s="6"/>
    </row>
    <row r="173" spans="1:10">
      <c r="A173" s="6" t="s">
        <v>305</v>
      </c>
      <c r="B173" s="6"/>
      <c r="C173" s="6">
        <f>0</f>
        <v>0</v>
      </c>
      <c r="D173" s="6">
        <f>394974.85</f>
        <v>394974.85</v>
      </c>
      <c r="E173" s="6">
        <f>394974.85</f>
        <v>394974.85</v>
      </c>
      <c r="F173" s="6"/>
      <c r="G173" s="6" t="s">
        <v>306</v>
      </c>
      <c r="H173" s="6" t="s">
        <v>307</v>
      </c>
      <c r="I173" s="6"/>
      <c r="J173" s="6"/>
    </row>
    <row r="174" spans="1:10">
      <c r="A174" s="6" t="s">
        <v>308</v>
      </c>
      <c r="B174" s="6"/>
      <c r="C174" s="15">
        <f>0</f>
        <v>0</v>
      </c>
      <c r="D174" s="15">
        <f>-385887.45</f>
        <v>-385887.45</v>
      </c>
      <c r="E174" s="15">
        <f>-385887.45</f>
        <v>-385887.45</v>
      </c>
      <c r="F174" s="6"/>
      <c r="G174" s="6" t="s">
        <v>309</v>
      </c>
      <c r="H174" s="6" t="s">
        <v>310</v>
      </c>
      <c r="I174" s="6"/>
      <c r="J174" s="6"/>
    </row>
    <row r="175" spans="1:10">
      <c r="A175" s="6" t="s">
        <v>311</v>
      </c>
      <c r="B175" s="6"/>
      <c r="C175" s="6">
        <f>SUM(C173:C174)</f>
        <v>0</v>
      </c>
      <c r="D175" s="6">
        <f>SUM(D173:D174)</f>
        <v>9087.3999999999651</v>
      </c>
      <c r="E175" s="6">
        <f>SUM(E173:E174)</f>
        <v>9087.3999999999651</v>
      </c>
      <c r="F175" s="6"/>
      <c r="G175" s="6"/>
      <c r="H175" s="6"/>
      <c r="I175" s="6"/>
      <c r="J175" s="6"/>
    </row>
    <row r="176" spans="1:10">
      <c r="A176" s="6"/>
      <c r="B176" s="6"/>
      <c r="C176" s="26"/>
      <c r="D176" s="26"/>
      <c r="E176" s="26"/>
      <c r="F176" s="6"/>
      <c r="G176" s="6"/>
      <c r="H176" s="6"/>
      <c r="I176" s="6"/>
      <c r="J176" s="6"/>
    </row>
    <row r="177" spans="1:10">
      <c r="A177" s="6"/>
      <c r="B177" s="6"/>
      <c r="C177" s="26"/>
      <c r="D177" s="26"/>
      <c r="E177" s="26"/>
      <c r="F177" s="6"/>
      <c r="G177" s="6"/>
      <c r="H177" s="6"/>
      <c r="I177" s="6"/>
      <c r="J177" s="6"/>
    </row>
    <row r="178" spans="1:10" ht="12" thickBot="1">
      <c r="A178" s="27" t="s">
        <v>312</v>
      </c>
      <c r="B178" s="6"/>
      <c r="C178" s="16">
        <f>C83+C96+C114+C132+C139+C144+C152+C162+C170+C175</f>
        <v>-366395.69</v>
      </c>
      <c r="D178" s="16">
        <f>D83+D96+D114+D132+D139+D144+D152+D162+D170+D175</f>
        <v>3853714.5199999996</v>
      </c>
      <c r="E178" s="16">
        <f>E83+E96+E114+E132+E139+E144+E152+E162+E170+E175</f>
        <v>3829295.5397166596</v>
      </c>
      <c r="F178" s="6"/>
      <c r="G178" s="6"/>
      <c r="H178" s="6"/>
      <c r="I178" s="6"/>
      <c r="J178" s="6"/>
    </row>
    <row r="179" spans="1:10" ht="12" thickTop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>
      <c r="A181" s="25" t="s">
        <v>313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>
      <c r="A183" s="6" t="s">
        <v>314</v>
      </c>
      <c r="B183" s="6"/>
      <c r="C183" s="6">
        <f>12654.77</f>
        <v>12654.77</v>
      </c>
      <c r="D183" s="6">
        <f>33994.93</f>
        <v>33994.93</v>
      </c>
      <c r="E183" s="6">
        <f>93119.64</f>
        <v>93119.64</v>
      </c>
      <c r="F183" s="6"/>
      <c r="G183" s="6" t="s">
        <v>315</v>
      </c>
      <c r="H183" s="6" t="s">
        <v>316</v>
      </c>
      <c r="I183" s="6"/>
      <c r="J183" s="6"/>
    </row>
    <row r="184" spans="1:10">
      <c r="A184" s="6" t="s">
        <v>317</v>
      </c>
      <c r="B184" s="6"/>
      <c r="C184" s="6">
        <f>0</f>
        <v>0</v>
      </c>
      <c r="D184" s="6">
        <f>466.5</f>
        <v>466.5</v>
      </c>
      <c r="E184" s="6">
        <f>174.5</f>
        <v>174.5</v>
      </c>
      <c r="F184" s="6"/>
      <c r="G184" s="6" t="s">
        <v>318</v>
      </c>
      <c r="H184" s="6" t="s">
        <v>319</v>
      </c>
      <c r="I184" s="6"/>
      <c r="J184" s="6"/>
    </row>
    <row r="185" spans="1:10">
      <c r="A185" s="6" t="s">
        <v>320</v>
      </c>
      <c r="B185" s="6"/>
      <c r="C185" s="6">
        <f>-500</f>
        <v>-500</v>
      </c>
      <c r="D185" s="6">
        <f>2680</f>
        <v>2680</v>
      </c>
      <c r="E185" s="6">
        <f>3630</f>
        <v>3630</v>
      </c>
      <c r="F185" s="6"/>
      <c r="G185" s="6" t="s">
        <v>321</v>
      </c>
      <c r="H185" s="6" t="s">
        <v>322</v>
      </c>
      <c r="I185" s="6"/>
      <c r="J185" s="6"/>
    </row>
    <row r="186" spans="1:10">
      <c r="A186" s="6" t="s">
        <v>323</v>
      </c>
      <c r="B186" s="6"/>
      <c r="C186" s="6">
        <f>0</f>
        <v>0</v>
      </c>
      <c r="D186" s="6">
        <f>0</f>
        <v>0</v>
      </c>
      <c r="E186" s="6">
        <f>34750</f>
        <v>34750</v>
      </c>
      <c r="F186" s="6"/>
      <c r="G186" s="6" t="s">
        <v>324</v>
      </c>
      <c r="H186" s="6" t="s">
        <v>325</v>
      </c>
      <c r="I186" s="6"/>
      <c r="J186" s="6"/>
    </row>
    <row r="187" spans="1:10">
      <c r="A187" s="6" t="s">
        <v>326</v>
      </c>
      <c r="B187" s="6"/>
      <c r="C187" s="6">
        <f>-9626.55</f>
        <v>-9626.5499999999993</v>
      </c>
      <c r="D187" s="6">
        <f>0</f>
        <v>0</v>
      </c>
      <c r="E187" s="6">
        <f>0</f>
        <v>0</v>
      </c>
      <c r="F187" s="6"/>
      <c r="G187" s="6" t="s">
        <v>327</v>
      </c>
      <c r="H187" s="6" t="s">
        <v>328</v>
      </c>
      <c r="I187" s="6"/>
      <c r="J187" s="6"/>
    </row>
    <row r="188" spans="1:10">
      <c r="A188" s="6" t="s">
        <v>329</v>
      </c>
      <c r="B188" s="6"/>
      <c r="C188" s="6">
        <f>-2230</f>
        <v>-2230</v>
      </c>
      <c r="D188" s="6">
        <f>0</f>
        <v>0</v>
      </c>
      <c r="E188" s="6">
        <f>0</f>
        <v>0</v>
      </c>
      <c r="F188" s="6"/>
      <c r="G188" s="6" t="s">
        <v>330</v>
      </c>
      <c r="H188" s="6" t="s">
        <v>331</v>
      </c>
      <c r="I188" s="6"/>
      <c r="J188" s="6"/>
    </row>
    <row r="189" spans="1:10">
      <c r="A189" s="6" t="s">
        <v>332</v>
      </c>
      <c r="B189" s="6"/>
      <c r="C189" s="6">
        <f>-117.47</f>
        <v>-117.47</v>
      </c>
      <c r="D189" s="6">
        <f>0</f>
        <v>0</v>
      </c>
      <c r="E189" s="6">
        <f>0</f>
        <v>0</v>
      </c>
      <c r="F189" s="6"/>
      <c r="G189" s="6" t="s">
        <v>333</v>
      </c>
      <c r="H189" s="6" t="s">
        <v>334</v>
      </c>
      <c r="I189" s="6"/>
      <c r="J189" s="6"/>
    </row>
    <row r="190" spans="1:10">
      <c r="A190" s="6" t="s">
        <v>329</v>
      </c>
      <c r="B190" s="6"/>
      <c r="C190" s="6">
        <f>-497.05</f>
        <v>-497.05</v>
      </c>
      <c r="D190" s="6">
        <f>0</f>
        <v>0</v>
      </c>
      <c r="E190" s="6">
        <f>0</f>
        <v>0</v>
      </c>
      <c r="F190" s="6"/>
      <c r="G190" s="6" t="s">
        <v>335</v>
      </c>
      <c r="H190" s="6" t="s">
        <v>336</v>
      </c>
      <c r="I190" s="6"/>
      <c r="J190" s="6"/>
    </row>
    <row r="191" spans="1:10">
      <c r="A191" s="6" t="s">
        <v>337</v>
      </c>
      <c r="B191" s="6"/>
      <c r="C191" s="6">
        <f>-25513.8</f>
        <v>-25513.8</v>
      </c>
      <c r="D191" s="6">
        <f>0</f>
        <v>0</v>
      </c>
      <c r="E191" s="6">
        <f>-0.01</f>
        <v>-0.01</v>
      </c>
      <c r="F191" s="6"/>
      <c r="G191" s="6" t="s">
        <v>338</v>
      </c>
      <c r="H191" s="6" t="s">
        <v>339</v>
      </c>
      <c r="I191" s="6"/>
      <c r="J191" s="6"/>
    </row>
    <row r="192" spans="1:10">
      <c r="A192" s="6" t="s">
        <v>340</v>
      </c>
      <c r="B192" s="6"/>
      <c r="C192" s="6">
        <f>-2592.5</f>
        <v>-2592.5</v>
      </c>
      <c r="D192" s="6">
        <f>442.5</f>
        <v>442.5</v>
      </c>
      <c r="E192" s="6">
        <f>0</f>
        <v>0</v>
      </c>
      <c r="F192" s="6"/>
      <c r="G192" s="6" t="s">
        <v>341</v>
      </c>
      <c r="H192" s="6" t="s">
        <v>342</v>
      </c>
      <c r="I192" s="6"/>
      <c r="J192" s="6"/>
    </row>
    <row r="193" spans="1:10">
      <c r="A193" s="6" t="s">
        <v>343</v>
      </c>
      <c r="B193" s="6"/>
      <c r="C193" s="6">
        <f>2072.5</f>
        <v>2072.5</v>
      </c>
      <c r="D193" s="6">
        <f>7397.5</f>
        <v>7397.5</v>
      </c>
      <c r="E193" s="6">
        <f>0</f>
        <v>0</v>
      </c>
      <c r="F193" s="6"/>
      <c r="G193" s="6" t="s">
        <v>344</v>
      </c>
      <c r="H193" s="6" t="s">
        <v>345</v>
      </c>
      <c r="I193" s="6"/>
      <c r="J193" s="6"/>
    </row>
    <row r="194" spans="1:10">
      <c r="A194" s="6" t="s">
        <v>346</v>
      </c>
      <c r="B194" s="6"/>
      <c r="C194" s="6">
        <f>196</f>
        <v>196</v>
      </c>
      <c r="D194" s="6">
        <f>672</f>
        <v>672</v>
      </c>
      <c r="E194" s="6">
        <f>0</f>
        <v>0</v>
      </c>
      <c r="F194" s="6"/>
      <c r="G194" s="6" t="s">
        <v>347</v>
      </c>
      <c r="H194" s="6" t="s">
        <v>348</v>
      </c>
      <c r="I194" s="6"/>
      <c r="J194" s="6"/>
    </row>
    <row r="195" spans="1:10">
      <c r="A195" s="6" t="s">
        <v>349</v>
      </c>
      <c r="B195" s="6"/>
      <c r="C195" s="6">
        <f>0</f>
        <v>0</v>
      </c>
      <c r="D195" s="6">
        <f>0</f>
        <v>0</v>
      </c>
      <c r="E195" s="6">
        <f>0</f>
        <v>0</v>
      </c>
      <c r="F195" s="6"/>
      <c r="G195" s="6" t="s">
        <v>350</v>
      </c>
      <c r="H195" s="6" t="s">
        <v>351</v>
      </c>
      <c r="I195" s="6"/>
      <c r="J195" s="6"/>
    </row>
    <row r="196" spans="1:10">
      <c r="A196" s="6" t="s">
        <v>352</v>
      </c>
      <c r="B196" s="6"/>
      <c r="C196" s="6">
        <f>883.34</f>
        <v>883.34</v>
      </c>
      <c r="D196" s="6">
        <f>2673.34</f>
        <v>2673.34</v>
      </c>
      <c r="E196" s="6">
        <f>0</f>
        <v>0</v>
      </c>
      <c r="F196" s="6"/>
      <c r="G196" s="6" t="s">
        <v>353</v>
      </c>
      <c r="H196" s="6" t="s">
        <v>354</v>
      </c>
      <c r="I196" s="6"/>
      <c r="J196" s="6"/>
    </row>
    <row r="197" spans="1:10">
      <c r="A197" s="6" t="s">
        <v>355</v>
      </c>
      <c r="B197" s="6"/>
      <c r="C197" s="6">
        <f>1025.85</f>
        <v>1025.8499999999999</v>
      </c>
      <c r="D197" s="6">
        <f>4282.38</f>
        <v>4282.38</v>
      </c>
      <c r="E197" s="6">
        <f>0</f>
        <v>0</v>
      </c>
      <c r="F197" s="6"/>
      <c r="G197" s="6" t="s">
        <v>356</v>
      </c>
      <c r="H197" s="6" t="s">
        <v>357</v>
      </c>
      <c r="I197" s="6"/>
      <c r="J197" s="6"/>
    </row>
    <row r="198" spans="1:10">
      <c r="A198" s="6" t="s">
        <v>358</v>
      </c>
      <c r="B198" s="6"/>
      <c r="C198" s="15">
        <f>0</f>
        <v>0</v>
      </c>
      <c r="D198" s="15">
        <f>0</f>
        <v>0</v>
      </c>
      <c r="E198" s="15">
        <f>0</f>
        <v>0</v>
      </c>
      <c r="F198" s="6"/>
      <c r="G198" s="6" t="s">
        <v>359</v>
      </c>
      <c r="H198" s="6" t="s">
        <v>360</v>
      </c>
      <c r="I198" s="6"/>
      <c r="J198" s="6"/>
    </row>
    <row r="199" spans="1:10">
      <c r="A199" s="6" t="s">
        <v>361</v>
      </c>
      <c r="B199" s="6"/>
      <c r="C199" s="6">
        <f>SUM(C182:C198)</f>
        <v>-24244.91</v>
      </c>
      <c r="D199" s="6">
        <f>SUM(D182:D198)</f>
        <v>52609.15</v>
      </c>
      <c r="E199" s="6">
        <f>SUM(E182:E198)</f>
        <v>131674.13</v>
      </c>
      <c r="F199" s="6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>
      <c r="A202" s="6" t="s">
        <v>362</v>
      </c>
      <c r="B202" s="6"/>
      <c r="C202" s="6">
        <f>0</f>
        <v>0</v>
      </c>
      <c r="D202" s="6">
        <f>-23311.4</f>
        <v>-23311.4</v>
      </c>
      <c r="E202" s="6">
        <f>88491.5</f>
        <v>88491.5</v>
      </c>
      <c r="F202" s="6"/>
      <c r="G202" s="6" t="s">
        <v>363</v>
      </c>
      <c r="H202" s="6" t="s">
        <v>364</v>
      </c>
      <c r="I202" s="6"/>
      <c r="J202" s="6"/>
    </row>
    <row r="203" spans="1:10">
      <c r="A203" s="6" t="s">
        <v>365</v>
      </c>
      <c r="B203" s="6"/>
      <c r="C203" s="6">
        <f>0</f>
        <v>0</v>
      </c>
      <c r="D203" s="6">
        <f>75339.17</f>
        <v>75339.17</v>
      </c>
      <c r="E203" s="6">
        <f>79458.15</f>
        <v>79458.149999999994</v>
      </c>
      <c r="F203" s="6"/>
      <c r="G203" s="6" t="s">
        <v>366</v>
      </c>
      <c r="H203" s="6" t="s">
        <v>367</v>
      </c>
      <c r="I203" s="6"/>
      <c r="J203" s="6"/>
    </row>
    <row r="204" spans="1:10">
      <c r="A204" s="6" t="s">
        <v>368</v>
      </c>
      <c r="B204" s="6"/>
      <c r="C204" s="6">
        <f>0</f>
        <v>0</v>
      </c>
      <c r="D204" s="6">
        <f>1017.8</f>
        <v>1017.8</v>
      </c>
      <c r="E204" s="6">
        <f>1017.8</f>
        <v>1017.8</v>
      </c>
      <c r="F204" s="6"/>
      <c r="G204" s="6" t="s">
        <v>369</v>
      </c>
      <c r="H204" s="6" t="s">
        <v>370</v>
      </c>
      <c r="I204" s="6"/>
      <c r="J204" s="6"/>
    </row>
    <row r="205" spans="1:10">
      <c r="A205" s="6" t="s">
        <v>371</v>
      </c>
      <c r="B205" s="6"/>
      <c r="C205" s="6">
        <f>0</f>
        <v>0</v>
      </c>
      <c r="D205" s="6">
        <f>210.15</f>
        <v>210.15</v>
      </c>
      <c r="E205" s="6">
        <f>210.15</f>
        <v>210.15</v>
      </c>
      <c r="F205" s="6"/>
      <c r="G205" s="6" t="s">
        <v>372</v>
      </c>
      <c r="H205" s="6" t="s">
        <v>373</v>
      </c>
      <c r="I205" s="6"/>
      <c r="J205" s="6"/>
    </row>
    <row r="206" spans="1:10">
      <c r="A206" s="6" t="s">
        <v>374</v>
      </c>
      <c r="B206" s="6"/>
      <c r="C206" s="6">
        <f>0</f>
        <v>0</v>
      </c>
      <c r="D206" s="6">
        <f>922</f>
        <v>922</v>
      </c>
      <c r="E206" s="6">
        <f>922</f>
        <v>922</v>
      </c>
      <c r="F206" s="6"/>
      <c r="G206" s="6" t="s">
        <v>375</v>
      </c>
      <c r="H206" s="6" t="s">
        <v>376</v>
      </c>
      <c r="I206" s="6"/>
      <c r="J206" s="6"/>
    </row>
    <row r="207" spans="1:10">
      <c r="A207" s="6" t="s">
        <v>377</v>
      </c>
      <c r="B207" s="6"/>
      <c r="C207" s="6">
        <f>0</f>
        <v>0</v>
      </c>
      <c r="D207" s="6">
        <f>0</f>
        <v>0</v>
      </c>
      <c r="E207" s="6">
        <f>0</f>
        <v>0</v>
      </c>
      <c r="F207" s="6"/>
      <c r="G207" s="6" t="s">
        <v>378</v>
      </c>
      <c r="H207" s="6" t="s">
        <v>379</v>
      </c>
      <c r="I207" s="6"/>
      <c r="J207" s="6"/>
    </row>
    <row r="208" spans="1:10">
      <c r="A208" s="6" t="s">
        <v>380</v>
      </c>
      <c r="B208" s="6"/>
      <c r="C208" s="15">
        <f>833.34</f>
        <v>833.34</v>
      </c>
      <c r="D208" s="15">
        <f>26666.84</f>
        <v>26666.84</v>
      </c>
      <c r="E208" s="15">
        <f>20833.46</f>
        <v>20833.46</v>
      </c>
      <c r="F208" s="6"/>
      <c r="G208" s="6" t="s">
        <v>381</v>
      </c>
      <c r="H208" s="6" t="s">
        <v>382</v>
      </c>
      <c r="I208" s="6"/>
      <c r="J208" s="6"/>
    </row>
    <row r="209" spans="1:10">
      <c r="A209" s="6" t="s">
        <v>383</v>
      </c>
      <c r="B209" s="6"/>
      <c r="C209" s="6">
        <f>SUM(C202:C208)</f>
        <v>833.34</v>
      </c>
      <c r="D209" s="6">
        <f>SUM(D202:D208)</f>
        <v>80844.56</v>
      </c>
      <c r="E209" s="6">
        <f>SUM(E202:E208)</f>
        <v>190933.05999999997</v>
      </c>
      <c r="F209" s="6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>
      <c r="A212" s="6" t="s">
        <v>384</v>
      </c>
      <c r="B212" s="6"/>
      <c r="C212" s="6"/>
      <c r="D212" s="6"/>
      <c r="E212" s="6"/>
      <c r="F212" s="6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>
      <c r="A214" s="6" t="s">
        <v>385</v>
      </c>
      <c r="B214" s="6"/>
      <c r="C214" s="6">
        <f>-5000</f>
        <v>-5000</v>
      </c>
      <c r="D214" s="6">
        <f>16720.88</f>
        <v>16720.88</v>
      </c>
      <c r="E214" s="6">
        <f>25881.72</f>
        <v>25881.72</v>
      </c>
      <c r="F214" s="6"/>
      <c r="G214" s="6" t="s">
        <v>386</v>
      </c>
      <c r="H214" s="6" t="s">
        <v>387</v>
      </c>
      <c r="I214" s="6"/>
      <c r="J214" s="6"/>
    </row>
    <row r="215" spans="1:10">
      <c r="A215" s="6" t="s">
        <v>388</v>
      </c>
      <c r="B215" s="6"/>
      <c r="C215" s="6">
        <f>0</f>
        <v>0</v>
      </c>
      <c r="D215" s="6">
        <f>5113.34</f>
        <v>5113.34</v>
      </c>
      <c r="E215" s="6">
        <f>5113.34</f>
        <v>5113.34</v>
      </c>
      <c r="F215" s="6"/>
      <c r="G215" s="6" t="s">
        <v>389</v>
      </c>
      <c r="H215" s="6" t="s">
        <v>390</v>
      </c>
      <c r="I215" s="6"/>
      <c r="J215" s="6"/>
    </row>
    <row r="216" spans="1:10">
      <c r="A216" s="6" t="s">
        <v>391</v>
      </c>
      <c r="B216" s="6"/>
      <c r="C216" s="6">
        <f>0</f>
        <v>0</v>
      </c>
      <c r="D216" s="6">
        <f>5229.26</f>
        <v>5229.26</v>
      </c>
      <c r="E216" s="6">
        <f>5229.26</f>
        <v>5229.26</v>
      </c>
      <c r="F216" s="6"/>
      <c r="G216" s="6" t="s">
        <v>392</v>
      </c>
      <c r="H216" s="6" t="s">
        <v>393</v>
      </c>
      <c r="I216" s="6"/>
      <c r="J216" s="6"/>
    </row>
    <row r="217" spans="1:10">
      <c r="A217" s="6" t="s">
        <v>394</v>
      </c>
      <c r="B217" s="6"/>
      <c r="C217" s="6">
        <f>0</f>
        <v>0</v>
      </c>
      <c r="D217" s="6">
        <f>0</f>
        <v>0</v>
      </c>
      <c r="E217" s="6">
        <f>0</f>
        <v>0</v>
      </c>
      <c r="F217" s="6"/>
      <c r="G217" s="6" t="s">
        <v>395</v>
      </c>
      <c r="H217" s="6" t="s">
        <v>396</v>
      </c>
      <c r="I217" s="6"/>
      <c r="J217" s="6"/>
    </row>
    <row r="218" spans="1:10">
      <c r="A218" s="6" t="s">
        <v>397</v>
      </c>
      <c r="B218" s="6"/>
      <c r="C218" s="6">
        <f>0</f>
        <v>0</v>
      </c>
      <c r="D218" s="6">
        <f>0</f>
        <v>0</v>
      </c>
      <c r="E218" s="6">
        <f>0</f>
        <v>0</v>
      </c>
      <c r="F218" s="6"/>
      <c r="G218" s="6" t="s">
        <v>398</v>
      </c>
      <c r="H218" s="6" t="s">
        <v>399</v>
      </c>
      <c r="I218" s="6"/>
      <c r="J218" s="6"/>
    </row>
    <row r="219" spans="1:10">
      <c r="A219" s="6" t="s">
        <v>400</v>
      </c>
      <c r="B219" s="6"/>
      <c r="C219" s="6">
        <f>0</f>
        <v>0</v>
      </c>
      <c r="D219" s="6">
        <f>25112.02</f>
        <v>25112.02</v>
      </c>
      <c r="E219" s="6">
        <f>25112.02</f>
        <v>25112.02</v>
      </c>
      <c r="F219" s="6"/>
      <c r="G219" s="6" t="s">
        <v>401</v>
      </c>
      <c r="H219" s="6" t="s">
        <v>402</v>
      </c>
      <c r="I219" s="6"/>
      <c r="J219" s="6"/>
    </row>
    <row r="220" spans="1:10">
      <c r="A220" s="6" t="s">
        <v>403</v>
      </c>
      <c r="B220" s="6"/>
      <c r="C220" s="15">
        <f>0</f>
        <v>0</v>
      </c>
      <c r="D220" s="15">
        <f>5037.5</f>
        <v>5037.5</v>
      </c>
      <c r="E220" s="15">
        <f>5037.5</f>
        <v>5037.5</v>
      </c>
      <c r="F220" s="6"/>
      <c r="G220" s="6" t="s">
        <v>404</v>
      </c>
      <c r="H220" s="6" t="s">
        <v>405</v>
      </c>
      <c r="I220" s="6"/>
      <c r="J220" s="6"/>
    </row>
    <row r="221" spans="1:10">
      <c r="A221" s="6" t="s">
        <v>406</v>
      </c>
      <c r="B221" s="6"/>
      <c r="C221" s="15">
        <f>SUM(C213:C220)</f>
        <v>-5000</v>
      </c>
      <c r="D221" s="15">
        <f>SUM(D213:D220)</f>
        <v>57213</v>
      </c>
      <c r="E221" s="15">
        <f>SUM(E213:E220)</f>
        <v>66373.84</v>
      </c>
      <c r="F221" s="6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>
      <c r="A223" s="6"/>
      <c r="B223" s="6"/>
      <c r="C223" s="26"/>
      <c r="D223" s="26"/>
      <c r="E223" s="26"/>
      <c r="F223" s="6"/>
      <c r="G223" s="6"/>
      <c r="H223" s="6"/>
      <c r="I223" s="6"/>
      <c r="J223" s="6"/>
    </row>
    <row r="224" spans="1:10">
      <c r="A224" s="6" t="s">
        <v>407</v>
      </c>
      <c r="B224" s="6"/>
      <c r="C224" s="6"/>
      <c r="D224" s="6"/>
      <c r="E224" s="6"/>
      <c r="F224" s="6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>
      <c r="A226" s="6" t="s">
        <v>408</v>
      </c>
      <c r="B226" s="6"/>
      <c r="C226" s="6">
        <f>0</f>
        <v>0</v>
      </c>
      <c r="D226" s="6">
        <f>2654</f>
        <v>2654</v>
      </c>
      <c r="E226" s="6">
        <f>2654</f>
        <v>2654</v>
      </c>
      <c r="F226" s="6"/>
      <c r="G226" s="6" t="s">
        <v>409</v>
      </c>
      <c r="H226" s="6" t="s">
        <v>410</v>
      </c>
      <c r="I226" s="6"/>
      <c r="J226" s="6"/>
    </row>
    <row r="227" spans="1:10">
      <c r="A227" s="6" t="s">
        <v>411</v>
      </c>
      <c r="B227" s="6"/>
      <c r="C227" s="6">
        <f>0</f>
        <v>0</v>
      </c>
      <c r="D227" s="6">
        <f>2614.63</f>
        <v>2614.63</v>
      </c>
      <c r="E227" s="6">
        <f>2614.63</f>
        <v>2614.63</v>
      </c>
      <c r="F227" s="6"/>
      <c r="G227" s="6" t="s">
        <v>412</v>
      </c>
      <c r="H227" s="6" t="s">
        <v>413</v>
      </c>
      <c r="I227" s="6"/>
      <c r="J227" s="6"/>
    </row>
    <row r="228" spans="1:10">
      <c r="A228" s="6" t="s">
        <v>414</v>
      </c>
      <c r="B228" s="6"/>
      <c r="C228" s="6">
        <f>0</f>
        <v>0</v>
      </c>
      <c r="D228" s="6">
        <f>2595.17</f>
        <v>2595.17</v>
      </c>
      <c r="E228" s="6">
        <f>2595.17</f>
        <v>2595.17</v>
      </c>
      <c r="F228" s="6"/>
      <c r="G228" s="6" t="s">
        <v>415</v>
      </c>
      <c r="H228" s="6" t="s">
        <v>416</v>
      </c>
      <c r="I228" s="6"/>
      <c r="J228" s="6"/>
    </row>
    <row r="229" spans="1:10">
      <c r="A229" s="6" t="s">
        <v>417</v>
      </c>
      <c r="B229" s="6"/>
      <c r="C229" s="6">
        <f>0</f>
        <v>0</v>
      </c>
      <c r="D229" s="6">
        <f t="shared" ref="D229:E231" si="0">2575.85</f>
        <v>2575.85</v>
      </c>
      <c r="E229" s="6">
        <f t="shared" si="0"/>
        <v>2575.85</v>
      </c>
      <c r="F229" s="6"/>
      <c r="G229" s="6" t="s">
        <v>418</v>
      </c>
      <c r="H229" s="6" t="s">
        <v>419</v>
      </c>
      <c r="I229" s="6"/>
      <c r="J229" s="6"/>
    </row>
    <row r="230" spans="1:10">
      <c r="A230" s="6" t="s">
        <v>420</v>
      </c>
      <c r="B230" s="6"/>
      <c r="C230" s="6">
        <f>0</f>
        <v>0</v>
      </c>
      <c r="D230" s="6">
        <f t="shared" si="0"/>
        <v>2575.85</v>
      </c>
      <c r="E230" s="6">
        <f t="shared" si="0"/>
        <v>2575.85</v>
      </c>
      <c r="F230" s="6"/>
      <c r="G230" s="6" t="s">
        <v>421</v>
      </c>
      <c r="H230" s="6" t="s">
        <v>422</v>
      </c>
      <c r="I230" s="6"/>
      <c r="J230" s="6"/>
    </row>
    <row r="231" spans="1:10">
      <c r="A231" s="6" t="s">
        <v>423</v>
      </c>
      <c r="B231" s="6"/>
      <c r="C231" s="6">
        <f>0</f>
        <v>0</v>
      </c>
      <c r="D231" s="6">
        <f t="shared" si="0"/>
        <v>2575.85</v>
      </c>
      <c r="E231" s="6">
        <f t="shared" si="0"/>
        <v>2575.85</v>
      </c>
      <c r="F231" s="6"/>
      <c r="G231" s="6" t="s">
        <v>424</v>
      </c>
      <c r="H231" s="6" t="s">
        <v>425</v>
      </c>
      <c r="I231" s="6"/>
      <c r="J231" s="6"/>
    </row>
    <row r="232" spans="1:10">
      <c r="A232" s="6" t="s">
        <v>426</v>
      </c>
      <c r="B232" s="6"/>
      <c r="C232" s="6">
        <f>0</f>
        <v>0</v>
      </c>
      <c r="D232" s="6">
        <f>2561.79</f>
        <v>2561.79</v>
      </c>
      <c r="E232" s="6">
        <f>2561.79</f>
        <v>2561.79</v>
      </c>
      <c r="F232" s="6"/>
      <c r="G232" s="6" t="s">
        <v>427</v>
      </c>
      <c r="H232" s="6" t="s">
        <v>428</v>
      </c>
      <c r="I232" s="6"/>
      <c r="J232" s="6"/>
    </row>
    <row r="233" spans="1:10">
      <c r="A233" s="6" t="s">
        <v>429</v>
      </c>
      <c r="B233" s="6"/>
      <c r="C233" s="6">
        <f>0</f>
        <v>0</v>
      </c>
      <c r="D233" s="6">
        <f>2514.93</f>
        <v>2514.9299999999998</v>
      </c>
      <c r="E233" s="6">
        <f>2514.93</f>
        <v>2514.9299999999998</v>
      </c>
      <c r="F233" s="6"/>
      <c r="G233" s="6" t="s">
        <v>430</v>
      </c>
      <c r="H233" s="6" t="s">
        <v>431</v>
      </c>
      <c r="I233" s="6"/>
      <c r="J233" s="6"/>
    </row>
    <row r="234" spans="1:10">
      <c r="A234" s="6" t="s">
        <v>432</v>
      </c>
      <c r="B234" s="6"/>
      <c r="C234" s="6">
        <f>0</f>
        <v>0</v>
      </c>
      <c r="D234" s="6">
        <f>2506.32</f>
        <v>2506.3200000000002</v>
      </c>
      <c r="E234" s="6">
        <f>2506.32</f>
        <v>2506.3200000000002</v>
      </c>
      <c r="F234" s="6"/>
      <c r="G234" s="6" t="s">
        <v>433</v>
      </c>
      <c r="H234" s="6" t="s">
        <v>434</v>
      </c>
      <c r="I234" s="6"/>
      <c r="J234" s="6"/>
    </row>
    <row r="235" spans="1:10">
      <c r="A235" s="6" t="s">
        <v>435</v>
      </c>
      <c r="B235" s="6"/>
      <c r="C235" s="6">
        <f>0</f>
        <v>0</v>
      </c>
      <c r="D235" s="6">
        <f>2500</f>
        <v>2500</v>
      </c>
      <c r="E235" s="6">
        <f>0</f>
        <v>0</v>
      </c>
      <c r="F235" s="6"/>
      <c r="G235" s="6" t="s">
        <v>436</v>
      </c>
      <c r="H235" s="6" t="s">
        <v>437</v>
      </c>
      <c r="I235" s="6"/>
      <c r="J235" s="6"/>
    </row>
    <row r="236" spans="1:10">
      <c r="A236" s="6" t="s">
        <v>438</v>
      </c>
      <c r="B236" s="6"/>
      <c r="C236" s="6">
        <f>0</f>
        <v>0</v>
      </c>
      <c r="D236" s="6">
        <f>2991.04</f>
        <v>2991.04</v>
      </c>
      <c r="E236" s="6">
        <f>2991.04</f>
        <v>2991.04</v>
      </c>
      <c r="F236" s="6"/>
      <c r="G236" s="6" t="s">
        <v>439</v>
      </c>
      <c r="H236" s="6" t="s">
        <v>440</v>
      </c>
      <c r="I236" s="6"/>
      <c r="J236" s="6"/>
    </row>
    <row r="237" spans="1:10">
      <c r="A237" s="6" t="s">
        <v>441</v>
      </c>
      <c r="B237" s="6"/>
      <c r="C237" s="6">
        <f>0</f>
        <v>0</v>
      </c>
      <c r="D237" s="6">
        <f>462.24</f>
        <v>462.24</v>
      </c>
      <c r="E237" s="6">
        <f>462.24</f>
        <v>462.24</v>
      </c>
      <c r="F237" s="6"/>
      <c r="G237" s="6" t="s">
        <v>442</v>
      </c>
      <c r="H237" s="6" t="s">
        <v>443</v>
      </c>
      <c r="I237" s="6"/>
      <c r="J237" s="6"/>
    </row>
    <row r="238" spans="1:10">
      <c r="A238" s="6" t="s">
        <v>444</v>
      </c>
      <c r="B238" s="6"/>
      <c r="C238" s="6">
        <f>0</f>
        <v>0</v>
      </c>
      <c r="D238" s="6">
        <f>0</f>
        <v>0</v>
      </c>
      <c r="E238" s="6">
        <f>0</f>
        <v>0</v>
      </c>
      <c r="F238" s="6"/>
      <c r="G238" s="6" t="s">
        <v>445</v>
      </c>
      <c r="H238" s="6" t="s">
        <v>446</v>
      </c>
      <c r="I238" s="6"/>
      <c r="J238" s="6"/>
    </row>
    <row r="239" spans="1:10">
      <c r="A239" s="6" t="s">
        <v>447</v>
      </c>
      <c r="B239" s="6"/>
      <c r="C239" s="6">
        <f>0</f>
        <v>0</v>
      </c>
      <c r="D239" s="6">
        <f>0</f>
        <v>0</v>
      </c>
      <c r="E239" s="6">
        <f>0</f>
        <v>0</v>
      </c>
      <c r="F239" s="6"/>
      <c r="G239" s="6" t="s">
        <v>448</v>
      </c>
      <c r="H239" s="6" t="s">
        <v>449</v>
      </c>
      <c r="I239" s="6"/>
      <c r="J239" s="6"/>
    </row>
    <row r="240" spans="1:10">
      <c r="A240" s="6" t="s">
        <v>450</v>
      </c>
      <c r="B240" s="6"/>
      <c r="C240" s="6">
        <f>0</f>
        <v>0</v>
      </c>
      <c r="D240" s="6">
        <f>0</f>
        <v>0</v>
      </c>
      <c r="E240" s="6">
        <f>0</f>
        <v>0</v>
      </c>
      <c r="F240" s="6"/>
      <c r="G240" s="6" t="s">
        <v>451</v>
      </c>
      <c r="H240" s="6" t="s">
        <v>452</v>
      </c>
      <c r="I240" s="6"/>
      <c r="J240" s="6"/>
    </row>
    <row r="241" spans="1:10">
      <c r="A241" s="6" t="s">
        <v>453</v>
      </c>
      <c r="B241" s="6"/>
      <c r="C241" s="6">
        <f>0</f>
        <v>0</v>
      </c>
      <c r="D241" s="6">
        <f>2035.63</f>
        <v>2035.63</v>
      </c>
      <c r="E241" s="6">
        <f>2035.63</f>
        <v>2035.63</v>
      </c>
      <c r="F241" s="6"/>
      <c r="G241" s="6" t="s">
        <v>454</v>
      </c>
      <c r="H241" s="6" t="s">
        <v>455</v>
      </c>
      <c r="I241" s="6"/>
      <c r="J241" s="6"/>
    </row>
    <row r="242" spans="1:10">
      <c r="A242" s="6" t="s">
        <v>456</v>
      </c>
      <c r="B242" s="6"/>
      <c r="C242" s="6">
        <f>0</f>
        <v>0</v>
      </c>
      <c r="D242" s="6">
        <f>0</f>
        <v>0</v>
      </c>
      <c r="E242" s="6">
        <f>0</f>
        <v>0</v>
      </c>
      <c r="F242" s="6"/>
      <c r="G242" s="6" t="s">
        <v>457</v>
      </c>
      <c r="H242" s="6" t="s">
        <v>458</v>
      </c>
      <c r="I242" s="6"/>
      <c r="J242" s="6"/>
    </row>
    <row r="243" spans="1:10">
      <c r="A243" s="6" t="s">
        <v>459</v>
      </c>
      <c r="B243" s="6"/>
      <c r="C243" s="6">
        <f>0</f>
        <v>0</v>
      </c>
      <c r="D243" s="6">
        <f>1791.68</f>
        <v>1791.68</v>
      </c>
      <c r="E243" s="6">
        <f>1791.68</f>
        <v>1791.68</v>
      </c>
      <c r="F243" s="6"/>
      <c r="G243" s="6" t="s">
        <v>460</v>
      </c>
      <c r="H243" s="6" t="s">
        <v>461</v>
      </c>
      <c r="I243" s="6"/>
      <c r="J243" s="6"/>
    </row>
    <row r="244" spans="1:10">
      <c r="A244" s="6" t="s">
        <v>462</v>
      </c>
      <c r="B244" s="6"/>
      <c r="C244" s="6">
        <f>0</f>
        <v>0</v>
      </c>
      <c r="D244" s="6">
        <f>0</f>
        <v>0</v>
      </c>
      <c r="E244" s="6">
        <f>0</f>
        <v>0</v>
      </c>
      <c r="F244" s="6"/>
      <c r="G244" s="6" t="s">
        <v>463</v>
      </c>
      <c r="H244" s="6" t="s">
        <v>464</v>
      </c>
      <c r="I244" s="6"/>
      <c r="J244" s="6"/>
    </row>
    <row r="245" spans="1:10">
      <c r="A245" s="6" t="s">
        <v>465</v>
      </c>
      <c r="B245" s="6"/>
      <c r="C245" s="6">
        <f>0</f>
        <v>0</v>
      </c>
      <c r="D245" s="6">
        <f>2817.48</f>
        <v>2817.48</v>
      </c>
      <c r="E245" s="6">
        <f>2817.48</f>
        <v>2817.48</v>
      </c>
      <c r="F245" s="6"/>
      <c r="G245" s="6" t="s">
        <v>466</v>
      </c>
      <c r="H245" s="6" t="s">
        <v>467</v>
      </c>
      <c r="I245" s="6"/>
      <c r="J245" s="6"/>
    </row>
    <row r="246" spans="1:10">
      <c r="A246" s="6" t="s">
        <v>468</v>
      </c>
      <c r="B246" s="6"/>
      <c r="C246" s="6">
        <f>0</f>
        <v>0</v>
      </c>
      <c r="D246" s="6">
        <f>2105.41</f>
        <v>2105.41</v>
      </c>
      <c r="E246" s="6">
        <f>2105.41</f>
        <v>2105.41</v>
      </c>
      <c r="F246" s="6"/>
      <c r="G246" s="6" t="s">
        <v>469</v>
      </c>
      <c r="H246" s="6" t="s">
        <v>470</v>
      </c>
      <c r="I246" s="6"/>
      <c r="J246" s="6"/>
    </row>
    <row r="247" spans="1:10">
      <c r="A247" s="6" t="s">
        <v>471</v>
      </c>
      <c r="B247" s="6"/>
      <c r="C247" s="6">
        <f>0</f>
        <v>0</v>
      </c>
      <c r="D247" s="6">
        <f>0</f>
        <v>0</v>
      </c>
      <c r="E247" s="6">
        <f>0</f>
        <v>0</v>
      </c>
      <c r="F247" s="6"/>
      <c r="G247" s="6" t="s">
        <v>472</v>
      </c>
      <c r="H247" s="6" t="s">
        <v>473</v>
      </c>
      <c r="I247" s="6"/>
      <c r="J247" s="6"/>
    </row>
    <row r="248" spans="1:10">
      <c r="A248" s="6" t="s">
        <v>474</v>
      </c>
      <c r="B248" s="6"/>
      <c r="C248" s="6">
        <f>0</f>
        <v>0</v>
      </c>
      <c r="D248" s="6">
        <f>2520.2</f>
        <v>2520.1999999999998</v>
      </c>
      <c r="E248" s="6">
        <f>2520.2</f>
        <v>2520.1999999999998</v>
      </c>
      <c r="F248" s="6"/>
      <c r="G248" s="6" t="s">
        <v>475</v>
      </c>
      <c r="H248" s="6" t="s">
        <v>476</v>
      </c>
      <c r="I248" s="6"/>
      <c r="J248" s="6"/>
    </row>
    <row r="249" spans="1:10">
      <c r="A249" s="6" t="s">
        <v>477</v>
      </c>
      <c r="B249" s="6"/>
      <c r="C249" s="6">
        <f>0</f>
        <v>0</v>
      </c>
      <c r="D249" s="6">
        <f>0</f>
        <v>0</v>
      </c>
      <c r="E249" s="6">
        <f>2502.85</f>
        <v>2502.85</v>
      </c>
      <c r="F249" s="6"/>
      <c r="G249" s="6" t="s">
        <v>478</v>
      </c>
      <c r="H249" s="6" t="s">
        <v>479</v>
      </c>
      <c r="I249" s="6"/>
      <c r="J249" s="6"/>
    </row>
    <row r="250" spans="1:10">
      <c r="A250" s="6" t="s">
        <v>480</v>
      </c>
      <c r="B250" s="6"/>
      <c r="C250" s="6">
        <f>0</f>
        <v>0</v>
      </c>
      <c r="D250" s="6">
        <f>-136.07</f>
        <v>-136.07</v>
      </c>
      <c r="E250" s="6">
        <f>-136.07</f>
        <v>-136.07</v>
      </c>
      <c r="F250" s="6"/>
      <c r="G250" s="6" t="s">
        <v>481</v>
      </c>
      <c r="H250" s="6" t="s">
        <v>482</v>
      </c>
      <c r="I250" s="6"/>
      <c r="J250" s="6"/>
    </row>
    <row r="251" spans="1:10">
      <c r="A251" s="6" t="s">
        <v>483</v>
      </c>
      <c r="B251" s="6"/>
      <c r="C251" s="6">
        <f>0</f>
        <v>0</v>
      </c>
      <c r="D251" s="6">
        <f>2734.52</f>
        <v>2734.52</v>
      </c>
      <c r="E251" s="6">
        <f>2734.52</f>
        <v>2734.52</v>
      </c>
      <c r="F251" s="6"/>
      <c r="G251" s="6" t="s">
        <v>484</v>
      </c>
      <c r="H251" s="6" t="s">
        <v>485</v>
      </c>
      <c r="I251" s="6"/>
      <c r="J251" s="6"/>
    </row>
    <row r="252" spans="1:10">
      <c r="A252" s="6" t="s">
        <v>486</v>
      </c>
      <c r="B252" s="6"/>
      <c r="C252" s="15">
        <f>0</f>
        <v>0</v>
      </c>
      <c r="D252" s="15">
        <f>2734.52</f>
        <v>2734.52</v>
      </c>
      <c r="E252" s="15">
        <f>2734.52</f>
        <v>2734.52</v>
      </c>
      <c r="F252" s="6"/>
      <c r="G252" s="6" t="s">
        <v>487</v>
      </c>
      <c r="H252" s="6" t="s">
        <v>488</v>
      </c>
      <c r="I252" s="6"/>
      <c r="J252" s="6"/>
    </row>
    <row r="253" spans="1:10">
      <c r="A253" s="6" t="s">
        <v>489</v>
      </c>
      <c r="B253" s="6"/>
      <c r="C253" s="15">
        <f>SUM(C225:C252)</f>
        <v>0</v>
      </c>
      <c r="D253" s="15">
        <f>SUM(D225:D252)</f>
        <v>45731.040000000001</v>
      </c>
      <c r="E253" s="15">
        <f>SUM(E225:E252)</f>
        <v>45733.89</v>
      </c>
      <c r="F253" s="6"/>
      <c r="G253" s="6"/>
      <c r="H253" s="6"/>
      <c r="I253" s="6"/>
      <c r="J253" s="6"/>
    </row>
    <row r="254" spans="1:10">
      <c r="A254" s="6"/>
      <c r="B254" s="6"/>
      <c r="C254" s="15"/>
      <c r="D254" s="15"/>
      <c r="E254" s="15"/>
      <c r="F254" s="6"/>
      <c r="G254" s="6"/>
      <c r="H254" s="6"/>
      <c r="I254" s="6"/>
      <c r="J254" s="6"/>
    </row>
    <row r="255" spans="1:10">
      <c r="A255" s="6" t="s">
        <v>490</v>
      </c>
      <c r="B255" s="6"/>
      <c r="C255" s="6">
        <f>C221+C253</f>
        <v>-5000</v>
      </c>
      <c r="D255" s="6">
        <f>D221+D253</f>
        <v>102944.04000000001</v>
      </c>
      <c r="E255" s="6">
        <f>E221+E253</f>
        <v>112107.73</v>
      </c>
      <c r="F255" s="6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>
      <c r="A258" s="6" t="s">
        <v>491</v>
      </c>
      <c r="B258" s="6"/>
      <c r="C258" s="6">
        <f>0</f>
        <v>0</v>
      </c>
      <c r="D258" s="6">
        <f>0</f>
        <v>0</v>
      </c>
      <c r="E258" s="6">
        <f>13196</f>
        <v>13196</v>
      </c>
      <c r="F258" s="6"/>
      <c r="G258" s="6" t="s">
        <v>492</v>
      </c>
      <c r="H258" s="6" t="s">
        <v>493</v>
      </c>
      <c r="I258" s="6"/>
      <c r="J258" s="6"/>
    </row>
    <row r="259" spans="1:10">
      <c r="A259" s="6" t="s">
        <v>494</v>
      </c>
      <c r="B259" s="6"/>
      <c r="C259" s="15">
        <f>0</f>
        <v>0</v>
      </c>
      <c r="D259" s="15">
        <f>12808.2</f>
        <v>12808.2</v>
      </c>
      <c r="E259" s="15">
        <f>12808.2</f>
        <v>12808.2</v>
      </c>
      <c r="F259" s="6"/>
      <c r="G259" s="6" t="s">
        <v>495</v>
      </c>
      <c r="H259" s="6" t="s">
        <v>496</v>
      </c>
      <c r="I259" s="6"/>
      <c r="J259" s="6"/>
    </row>
    <row r="260" spans="1:10">
      <c r="A260" s="6" t="s">
        <v>497</v>
      </c>
      <c r="B260" s="6"/>
      <c r="C260" s="6">
        <f>SUM(C258:C259)</f>
        <v>0</v>
      </c>
      <c r="D260" s="6">
        <f>SUM(D258:D259)</f>
        <v>12808.2</v>
      </c>
      <c r="E260" s="6">
        <f>SUM(E258:E259)</f>
        <v>26004.2</v>
      </c>
      <c r="F260" s="6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>
      <c r="A262" s="27" t="s">
        <v>498</v>
      </c>
      <c r="B262" s="6"/>
      <c r="C262" s="6">
        <f>C199+C209+C221+C253+C260</f>
        <v>-28411.57</v>
      </c>
      <c r="D262" s="6">
        <f>D199+D209+D221+D253+D260</f>
        <v>249205.95</v>
      </c>
      <c r="E262" s="6">
        <f>E199+E209+E221+E253+E260</f>
        <v>460719.11999999994</v>
      </c>
      <c r="F262" s="6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>
      <c r="A265" s="25" t="s">
        <v>499</v>
      </c>
      <c r="B265" s="6"/>
      <c r="C265" s="6"/>
      <c r="D265" s="6"/>
      <c r="E265" s="6"/>
      <c r="F265" s="6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>
      <c r="A267" s="6" t="s">
        <v>500</v>
      </c>
      <c r="B267" s="6"/>
      <c r="C267" s="6">
        <f>0</f>
        <v>0</v>
      </c>
      <c r="D267" s="6">
        <f>-16777.29</f>
        <v>-16777.29</v>
      </c>
      <c r="E267" s="6">
        <f>-16777.29</f>
        <v>-16777.29</v>
      </c>
      <c r="F267" s="6"/>
      <c r="G267" s="6" t="s">
        <v>501</v>
      </c>
      <c r="H267" s="6" t="s">
        <v>502</v>
      </c>
      <c r="I267" s="6"/>
      <c r="J267" s="6"/>
    </row>
    <row r="268" spans="1:10">
      <c r="A268" s="6" t="s">
        <v>503</v>
      </c>
      <c r="B268" s="6"/>
      <c r="C268" s="6">
        <f>0</f>
        <v>0</v>
      </c>
      <c r="D268" s="6">
        <f>24791.9</f>
        <v>24791.9</v>
      </c>
      <c r="E268" s="6">
        <f>24791.9</f>
        <v>24791.9</v>
      </c>
      <c r="F268" s="6"/>
      <c r="G268" s="6" t="s">
        <v>504</v>
      </c>
      <c r="H268" s="6" t="s">
        <v>505</v>
      </c>
      <c r="I268" s="6"/>
      <c r="J268" s="6"/>
    </row>
    <row r="269" spans="1:10">
      <c r="A269" s="6" t="s">
        <v>506</v>
      </c>
      <c r="B269" s="6"/>
      <c r="C269" s="6">
        <f>0</f>
        <v>0</v>
      </c>
      <c r="D269" s="6">
        <f>69659.38</f>
        <v>69659.38</v>
      </c>
      <c r="E269" s="6">
        <f>69659.38</f>
        <v>69659.38</v>
      </c>
      <c r="F269" s="6"/>
      <c r="G269" s="6" t="s">
        <v>507</v>
      </c>
      <c r="H269" s="6" t="s">
        <v>508</v>
      </c>
      <c r="I269" s="6"/>
      <c r="J269" s="6"/>
    </row>
    <row r="270" spans="1:10">
      <c r="A270" s="6" t="s">
        <v>509</v>
      </c>
      <c r="B270" s="6"/>
      <c r="C270" s="6">
        <f>0</f>
        <v>0</v>
      </c>
      <c r="D270" s="6">
        <f>2500</f>
        <v>2500</v>
      </c>
      <c r="E270" s="6">
        <f>2500</f>
        <v>2500</v>
      </c>
      <c r="F270" s="6"/>
      <c r="G270" s="6" t="s">
        <v>510</v>
      </c>
      <c r="H270" s="6" t="s">
        <v>511</v>
      </c>
      <c r="I270" s="6"/>
      <c r="J270" s="6"/>
    </row>
    <row r="271" spans="1:10">
      <c r="A271" s="6" t="s">
        <v>512</v>
      </c>
      <c r="B271" s="6"/>
      <c r="C271" s="6">
        <f>0</f>
        <v>0</v>
      </c>
      <c r="D271" s="6">
        <f>6062.97</f>
        <v>6062.97</v>
      </c>
      <c r="E271" s="6">
        <f>6062.97</f>
        <v>6062.97</v>
      </c>
      <c r="F271" s="6"/>
      <c r="G271" s="6" t="s">
        <v>513</v>
      </c>
      <c r="H271" s="6" t="s">
        <v>514</v>
      </c>
      <c r="I271" s="6"/>
      <c r="J271" s="6"/>
    </row>
    <row r="272" spans="1:10">
      <c r="A272" s="6" t="s">
        <v>515</v>
      </c>
      <c r="B272" s="6"/>
      <c r="C272" s="6">
        <f>0</f>
        <v>0</v>
      </c>
      <c r="D272" s="6">
        <f>1000</f>
        <v>1000</v>
      </c>
      <c r="E272" s="6">
        <f>1000</f>
        <v>1000</v>
      </c>
      <c r="F272" s="6"/>
      <c r="G272" s="6" t="s">
        <v>516</v>
      </c>
      <c r="H272" s="6" t="s">
        <v>517</v>
      </c>
      <c r="I272" s="6"/>
      <c r="J272" s="6"/>
    </row>
    <row r="273" spans="1:10">
      <c r="A273" s="6" t="s">
        <v>518</v>
      </c>
      <c r="B273" s="6"/>
      <c r="C273" s="6">
        <f>0</f>
        <v>0</v>
      </c>
      <c r="D273" s="6">
        <f>47940.15</f>
        <v>47940.15</v>
      </c>
      <c r="E273" s="6">
        <f>47940.15</f>
        <v>47940.15</v>
      </c>
      <c r="F273" s="6"/>
      <c r="G273" s="6" t="s">
        <v>519</v>
      </c>
      <c r="H273" s="6" t="s">
        <v>520</v>
      </c>
      <c r="I273" s="6"/>
      <c r="J273" s="6"/>
    </row>
    <row r="274" spans="1:10">
      <c r="A274" s="6" t="s">
        <v>521</v>
      </c>
      <c r="B274" s="6"/>
      <c r="C274" s="15">
        <f>5329.42</f>
        <v>5329.42</v>
      </c>
      <c r="D274" s="15">
        <f>1195951.66</f>
        <v>1195951.6599999999</v>
      </c>
      <c r="E274" s="15">
        <f>1158645.72</f>
        <v>1158645.72</v>
      </c>
      <c r="F274" s="6"/>
      <c r="G274" s="6" t="s">
        <v>522</v>
      </c>
      <c r="H274" s="6" t="s">
        <v>523</v>
      </c>
      <c r="I274" s="6"/>
      <c r="J274" s="6"/>
    </row>
    <row r="275" spans="1:10">
      <c r="A275" s="6" t="s">
        <v>524</v>
      </c>
      <c r="B275" s="6"/>
      <c r="C275" s="6">
        <f>SUM(C266:C274)</f>
        <v>5329.42</v>
      </c>
      <c r="D275" s="6">
        <f>SUM(D266:D274)</f>
        <v>1331128.77</v>
      </c>
      <c r="E275" s="6">
        <f>SUM(E266:E274)</f>
        <v>1293822.83</v>
      </c>
      <c r="F275" s="6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>
      <c r="A277" s="6" t="s">
        <v>525</v>
      </c>
      <c r="B277" s="6"/>
      <c r="C277" s="6">
        <f>-5329.42</f>
        <v>-5329.42</v>
      </c>
      <c r="D277" s="6">
        <f>2037447.01</f>
        <v>2037447.01</v>
      </c>
      <c r="E277" s="6">
        <f>2000159.35</f>
        <v>2000159.35</v>
      </c>
      <c r="F277" s="6"/>
      <c r="G277" s="6" t="s">
        <v>526</v>
      </c>
      <c r="H277" s="6" t="s">
        <v>527</v>
      </c>
      <c r="I277" s="6"/>
      <c r="J277" s="6"/>
    </row>
    <row r="278" spans="1:10">
      <c r="A278" s="6" t="s">
        <v>528</v>
      </c>
      <c r="B278" s="6"/>
      <c r="C278" s="15">
        <f>-337984.12</f>
        <v>-337984.12</v>
      </c>
      <c r="D278" s="15">
        <f>235932.79</f>
        <v>235932.79</v>
      </c>
      <c r="E278" s="15">
        <f>74593.6</f>
        <v>74593.600000000006</v>
      </c>
      <c r="F278" s="6"/>
      <c r="G278" s="6" t="s">
        <v>246</v>
      </c>
      <c r="H278" s="6" t="s">
        <v>247</v>
      </c>
      <c r="I278" s="6"/>
      <c r="J278" s="6"/>
    </row>
    <row r="279" spans="1:10">
      <c r="A279" s="6" t="s">
        <v>529</v>
      </c>
      <c r="B279" s="6"/>
      <c r="C279" s="6">
        <f>SUM(C277:C278)</f>
        <v>-343313.54</v>
      </c>
      <c r="D279" s="6">
        <f>SUM(D277:D278)</f>
        <v>2273379.7999999998</v>
      </c>
      <c r="E279" s="6">
        <f>SUM(E277:E278)</f>
        <v>2074752.9500000002</v>
      </c>
      <c r="F279" s="6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6"/>
      <c r="G280" s="6" t="s">
        <v>530</v>
      </c>
      <c r="H280" s="6"/>
      <c r="I280" s="6"/>
      <c r="J280" s="6"/>
    </row>
    <row r="281" spans="1:10">
      <c r="A281" s="27" t="s">
        <v>531</v>
      </c>
      <c r="B281" s="6"/>
      <c r="C281" s="6">
        <f>C275+C279</f>
        <v>-337984.12</v>
      </c>
      <c r="D281" s="6">
        <f>D275+D279</f>
        <v>3604508.57</v>
      </c>
      <c r="E281" s="6">
        <f>E275+E279</f>
        <v>3368575.7800000003</v>
      </c>
      <c r="F281" s="6"/>
      <c r="G281" s="6" t="s">
        <v>499</v>
      </c>
      <c r="H281" s="6">
        <f>3368575.78</f>
        <v>3368575.78</v>
      </c>
      <c r="I281" s="6" t="s">
        <v>241</v>
      </c>
      <c r="J281" s="6" t="s">
        <v>242</v>
      </c>
    </row>
    <row r="282" spans="1:10">
      <c r="A282" s="27"/>
      <c r="B282" s="6"/>
      <c r="C282" s="6"/>
      <c r="D282" s="6"/>
      <c r="E282" s="6"/>
      <c r="F282" s="6"/>
      <c r="G282" s="6" t="s">
        <v>532</v>
      </c>
      <c r="H282" s="26">
        <f>235932.79</f>
        <v>235932.79</v>
      </c>
      <c r="I282" s="6" t="s">
        <v>246</v>
      </c>
      <c r="J282" s="6" t="s">
        <v>247</v>
      </c>
    </row>
    <row r="283" spans="1:10" ht="12" thickBot="1">
      <c r="A283" s="27" t="s">
        <v>533</v>
      </c>
      <c r="B283" s="6"/>
      <c r="C283" s="16">
        <f>C262+C281</f>
        <v>-366395.69</v>
      </c>
      <c r="D283" s="16">
        <f>D262+D281</f>
        <v>3853714.52</v>
      </c>
      <c r="E283" s="16">
        <f>E262+E281</f>
        <v>3829294.9000000004</v>
      </c>
      <c r="F283" s="6"/>
      <c r="G283" s="6" t="s">
        <v>534</v>
      </c>
      <c r="H283" s="6">
        <f>SUM(H281:H282)</f>
        <v>3604508.57</v>
      </c>
      <c r="I283" s="6"/>
      <c r="J283" s="6"/>
    </row>
    <row r="284" spans="1:10" ht="12" thickTop="1">
      <c r="A284" s="6"/>
      <c r="B284" s="6"/>
      <c r="C284" s="6"/>
      <c r="D284" s="6"/>
      <c r="E284" s="6"/>
      <c r="F284" s="6"/>
      <c r="G284" s="6" t="s">
        <v>69</v>
      </c>
      <c r="H284" s="6"/>
      <c r="I284" s="6"/>
      <c r="J284" s="6"/>
    </row>
    <row r="285" spans="1:10">
      <c r="A285" s="6"/>
      <c r="B285" s="6"/>
      <c r="C285" s="6"/>
      <c r="D285" s="6"/>
      <c r="E285" s="6"/>
      <c r="F285" s="6"/>
      <c r="G285" s="6" t="s">
        <v>535</v>
      </c>
      <c r="H285" s="6">
        <f>3855164.52</f>
        <v>3855164.52</v>
      </c>
      <c r="I285" s="6" t="s">
        <v>258</v>
      </c>
      <c r="J285" s="6" t="s">
        <v>259</v>
      </c>
    </row>
    <row r="286" spans="1:10">
      <c r="A286" s="6"/>
      <c r="B286" s="6"/>
      <c r="C286" s="6"/>
      <c r="D286" s="6"/>
      <c r="E286" s="6"/>
      <c r="F286" s="6"/>
      <c r="G286" s="6" t="s">
        <v>536</v>
      </c>
      <c r="H286" s="6">
        <f>3855164.52</f>
        <v>3855164.52</v>
      </c>
      <c r="I286" s="6" t="s">
        <v>537</v>
      </c>
      <c r="J286" s="6" t="s">
        <v>538</v>
      </c>
    </row>
    <row r="287" spans="1:10">
      <c r="A287" s="6"/>
      <c r="B287" s="6"/>
      <c r="C287" s="6"/>
      <c r="D287" s="6"/>
      <c r="E287" s="6"/>
      <c r="F287" s="6"/>
      <c r="G287" s="6" t="s">
        <v>539</v>
      </c>
      <c r="H287" s="6">
        <f>H285-H286</f>
        <v>0</v>
      </c>
      <c r="I287" s="6"/>
      <c r="J287" s="6"/>
    </row>
    <row r="288" spans="1:10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6"/>
      <c r="G289" s="6"/>
      <c r="H289" s="6">
        <f>D178</f>
        <v>3853714.5199999996</v>
      </c>
      <c r="I289" s="6"/>
      <c r="J289" s="6"/>
    </row>
    <row r="290" spans="1:10">
      <c r="A290" s="6"/>
      <c r="B290" s="6"/>
      <c r="C290" s="6"/>
      <c r="D290" s="6"/>
      <c r="E290" s="6"/>
      <c r="F290" s="6"/>
      <c r="G290" s="6"/>
      <c r="H290" s="6">
        <f>-D283</f>
        <v>-3853714.52</v>
      </c>
      <c r="I290" s="6"/>
      <c r="J290" s="6"/>
    </row>
    <row r="291" spans="1:10">
      <c r="A291" s="6"/>
      <c r="B291" s="6"/>
      <c r="C291" s="6"/>
      <c r="D291" s="6"/>
      <c r="E291" s="6"/>
      <c r="F291" s="6"/>
      <c r="G291" s="6"/>
      <c r="H291" s="6">
        <f>SUM(H289:H290)</f>
        <v>0</v>
      </c>
      <c r="I291" s="6"/>
      <c r="J291" s="6"/>
    </row>
    <row r="292" spans="1:10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5">
      <c r="A305" s="28"/>
      <c r="B305" s="28"/>
      <c r="C305" s="5"/>
      <c r="D305" s="5"/>
      <c r="E305" s="5"/>
    </row>
    <row r="306" spans="1:5">
      <c r="A306" s="28"/>
      <c r="B306" s="28"/>
      <c r="C306" s="5"/>
      <c r="D306" s="5"/>
      <c r="E306" s="5"/>
    </row>
    <row r="307" spans="1:5">
      <c r="A307" s="28"/>
      <c r="B307" s="28"/>
      <c r="C307" s="5"/>
      <c r="D307" s="5"/>
      <c r="E307" s="5"/>
    </row>
    <row r="308" spans="1:5">
      <c r="A308" s="28"/>
      <c r="B308" s="28"/>
      <c r="C308" s="5"/>
      <c r="D308" s="5"/>
      <c r="E308" s="5"/>
    </row>
    <row r="309" spans="1:5">
      <c r="A309" s="28"/>
      <c r="B309" s="28"/>
      <c r="C309" s="5"/>
      <c r="D309" s="5"/>
      <c r="E309" s="5"/>
    </row>
    <row r="310" spans="1:5">
      <c r="A310" s="28"/>
      <c r="B310" s="28"/>
      <c r="C310" s="5"/>
      <c r="D310" s="5"/>
      <c r="E310" s="5"/>
    </row>
    <row r="311" spans="1:5">
      <c r="A311" s="28"/>
      <c r="B311" s="28"/>
      <c r="C311" s="5"/>
      <c r="D311" s="5"/>
      <c r="E311" s="5"/>
    </row>
    <row r="312" spans="1:5">
      <c r="A312" s="28"/>
      <c r="B312" s="28"/>
      <c r="C312" s="5"/>
      <c r="D312" s="5"/>
      <c r="E312" s="5"/>
    </row>
    <row r="313" spans="1:5">
      <c r="A313" s="28"/>
      <c r="B313" s="28"/>
      <c r="C313" s="5"/>
      <c r="D313" s="5"/>
      <c r="E313" s="5"/>
    </row>
    <row r="314" spans="1:5">
      <c r="A314" s="28"/>
      <c r="B314" s="28"/>
      <c r="C314" s="5"/>
      <c r="D314" s="5"/>
      <c r="E314" s="5"/>
    </row>
    <row r="315" spans="1:5">
      <c r="A315" s="28"/>
      <c r="B315" s="28"/>
      <c r="C315" s="5"/>
      <c r="D315" s="5"/>
      <c r="E315" s="5"/>
    </row>
    <row r="316" spans="1:5">
      <c r="A316" s="28"/>
      <c r="B316" s="28"/>
      <c r="C316" s="5"/>
      <c r="D316" s="5"/>
      <c r="E316" s="5"/>
    </row>
    <row r="317" spans="1:5">
      <c r="A317" s="28"/>
      <c r="B317" s="28"/>
      <c r="C317" s="5"/>
      <c r="D317" s="5"/>
      <c r="E317" s="5"/>
    </row>
  </sheetData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rowBreaks count="2" manualBreakCount="2">
    <brk id="61" max="16383" man="1"/>
    <brk id="18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535F-6195-4CC5-B48C-2E165A0B45B7}">
  <sheetPr transitionEvaluation="1"/>
  <dimension ref="A1"/>
  <sheetViews>
    <sheetView defaultGridColor="0" colorId="22" zoomScale="87" workbookViewId="0">
      <selection activeCell="B2" sqref="B2"/>
    </sheetView>
  </sheetViews>
  <sheetFormatPr baseColWidth="10" defaultColWidth="9.83203125" defaultRowHeight="11.25"/>
  <sheetData/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14</vt:i4>
      </vt:variant>
    </vt:vector>
  </HeadingPairs>
  <TitlesOfParts>
    <vt:vector size="16" baseType="lpstr">
      <vt:lpstr>A</vt:lpstr>
      <vt:lpstr>B</vt:lpstr>
      <vt:lpstr>ACCOUNT</vt:lpstr>
      <vt:lpstr>COMPANY</vt:lpstr>
      <vt:lpstr>A!Druckbereich</vt:lpstr>
      <vt:lpstr>Druckbereich</vt:lpstr>
      <vt:lpstr>EXPENSE</vt:lpstr>
      <vt:lpstr>EXTENSION</vt:lpstr>
      <vt:lpstr>MAIN</vt:lpstr>
      <vt:lpstr>MASK</vt:lpstr>
      <vt:lpstr>PERIOD</vt:lpstr>
      <vt:lpstr>PERIOD1</vt:lpstr>
      <vt:lpstr>PRINT_AREA_MI</vt:lpstr>
      <vt:lpstr>TYPE</vt:lpstr>
      <vt:lpstr>TYPE2</vt:lpstr>
      <vt:lpstr>YEAR</vt:lpstr>
    </vt:vector>
  </TitlesOfParts>
  <Company>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gist</dc:creator>
  <cp:lastModifiedBy>Kaufmann Timon</cp:lastModifiedBy>
  <dcterms:created xsi:type="dcterms:W3CDTF">2002-08-19T12:10:04Z</dcterms:created>
  <dcterms:modified xsi:type="dcterms:W3CDTF">2026-02-03T12:50:13Z</dcterms:modified>
</cp:coreProperties>
</file>