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A656D913-6BEE-4F64-9D3E-5B3E0C0FAC5E}" xr6:coauthVersionLast="47" xr6:coauthVersionMax="47" xr10:uidLastSave="{00000000-0000-0000-0000-000000000000}"/>
  <bookViews>
    <workbookView xWindow="-120" yWindow="-120" windowWidth="29040" windowHeight="15720" xr2:uid="{03B3A5E1-16ED-42CF-BE0B-EE5E505784B5}"/>
  </bookViews>
  <sheets>
    <sheet name="A" sheetId="1" r:id="rId1"/>
    <sheet name="B" sheetId="2" r:id="rId2"/>
  </sheets>
  <definedNames>
    <definedName name="ACCOUNT">A!$G$74</definedName>
    <definedName name="COMPANY">A!$H$70</definedName>
    <definedName name="_xlnm.Print_Area" localSheetId="0">A!$A$1:$E$61</definedName>
    <definedName name="_xlnm.Print_Area">A!$A$1:$E$61</definedName>
    <definedName name="EXPENSE">A!$I$63</definedName>
    <definedName name="EXTENSION">A!$I$62</definedName>
    <definedName name="MAIN">A!$I$64</definedName>
    <definedName name="MASK">A!$I$74</definedName>
    <definedName name="PERIOD">A!$H$69</definedName>
    <definedName name="PERIOD1">A!$H$73</definedName>
    <definedName name="PRINT_AREA_MI">A!$A$1:$E$277</definedName>
    <definedName name="TYPE">A!$I$65</definedName>
    <definedName name="TYPE2">A!$H$67</definedName>
    <definedName name="YEAR">A!$H$68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D25" i="1"/>
  <c r="E25" i="1"/>
  <c r="D45" i="1"/>
  <c r="E45" i="1"/>
  <c r="G63" i="1"/>
  <c r="G64" i="1"/>
  <c r="C74" i="1"/>
  <c r="D74" i="1"/>
  <c r="E74" i="1"/>
  <c r="E83" i="1" s="1"/>
  <c r="C75" i="1"/>
  <c r="D75" i="1"/>
  <c r="D83" i="1" s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C86" i="1"/>
  <c r="D86" i="1"/>
  <c r="E86" i="1"/>
  <c r="C87" i="1"/>
  <c r="D87" i="1"/>
  <c r="E87" i="1"/>
  <c r="C88" i="1"/>
  <c r="C96" i="1" s="1"/>
  <c r="D88" i="1"/>
  <c r="E88" i="1"/>
  <c r="C89" i="1"/>
  <c r="D89" i="1"/>
  <c r="D96" i="1" s="1"/>
  <c r="D10" i="1" s="1"/>
  <c r="E89" i="1"/>
  <c r="E96" i="1" s="1"/>
  <c r="E10" i="1" s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9" i="1"/>
  <c r="D99" i="1"/>
  <c r="D11" i="1" s="1"/>
  <c r="E99" i="1"/>
  <c r="E11" i="1" s="1"/>
  <c r="C100" i="1"/>
  <c r="C114" i="1" s="1"/>
  <c r="D100" i="1"/>
  <c r="D114" i="1" s="1"/>
  <c r="E100" i="1"/>
  <c r="E114" i="1" s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D13" i="1" s="1"/>
  <c r="E108" i="1"/>
  <c r="E13" i="1" s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7" i="1"/>
  <c r="D117" i="1"/>
  <c r="E117" i="1"/>
  <c r="C118" i="1"/>
  <c r="C132" i="1" s="1"/>
  <c r="D118" i="1"/>
  <c r="D132" i="1" s="1"/>
  <c r="D14" i="1" s="1"/>
  <c r="E118" i="1"/>
  <c r="E132" i="1" s="1"/>
  <c r="E14" i="1" s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5" i="1"/>
  <c r="C139" i="1" s="1"/>
  <c r="D135" i="1"/>
  <c r="D139" i="1" s="1"/>
  <c r="D15" i="1" s="1"/>
  <c r="E135" i="1"/>
  <c r="C136" i="1"/>
  <c r="D136" i="1"/>
  <c r="E136" i="1"/>
  <c r="C137" i="1"/>
  <c r="D137" i="1"/>
  <c r="E137" i="1"/>
  <c r="C138" i="1"/>
  <c r="D138" i="1"/>
  <c r="E138" i="1"/>
  <c r="E139" i="1"/>
  <c r="E15" i="1" s="1"/>
  <c r="C142" i="1"/>
  <c r="D142" i="1"/>
  <c r="E142" i="1"/>
  <c r="C143" i="1"/>
  <c r="D143" i="1"/>
  <c r="E143" i="1"/>
  <c r="C144" i="1"/>
  <c r="D144" i="1"/>
  <c r="E144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D16" i="1" s="1"/>
  <c r="E152" i="1"/>
  <c r="E16" i="1" s="1"/>
  <c r="C155" i="1"/>
  <c r="C162" i="1" s="1"/>
  <c r="D155" i="1"/>
  <c r="D26" i="1" s="1"/>
  <c r="E155" i="1"/>
  <c r="E26" i="1" s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D28" i="1" s="1"/>
  <c r="E161" i="1"/>
  <c r="E28" i="1" s="1"/>
  <c r="C165" i="1"/>
  <c r="C170" i="1" s="1"/>
  <c r="D165" i="1"/>
  <c r="D170" i="1" s="1"/>
  <c r="D32" i="1" s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E170" i="1"/>
  <c r="E32" i="1" s="1"/>
  <c r="C173" i="1"/>
  <c r="C175" i="1" s="1"/>
  <c r="D173" i="1"/>
  <c r="D175" i="1" s="1"/>
  <c r="D36" i="1" s="1"/>
  <c r="E173" i="1"/>
  <c r="E175" i="1" s="1"/>
  <c r="E36" i="1" s="1"/>
  <c r="C174" i="1"/>
  <c r="D174" i="1"/>
  <c r="E174" i="1"/>
  <c r="C183" i="1"/>
  <c r="D183" i="1"/>
  <c r="E183" i="1"/>
  <c r="C184" i="1"/>
  <c r="D184" i="1"/>
  <c r="E184" i="1"/>
  <c r="C185" i="1"/>
  <c r="C199" i="1" s="1"/>
  <c r="D185" i="1"/>
  <c r="D199" i="1" s="1"/>
  <c r="E185" i="1"/>
  <c r="E43" i="1" s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202" i="1"/>
  <c r="C209" i="1" s="1"/>
  <c r="D202" i="1"/>
  <c r="D209" i="1" s="1"/>
  <c r="D44" i="1" s="1"/>
  <c r="E202" i="1"/>
  <c r="E209" i="1" s="1"/>
  <c r="E44" i="1" s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14" i="1"/>
  <c r="C221" i="1" s="1"/>
  <c r="D214" i="1"/>
  <c r="D221" i="1" s="1"/>
  <c r="E214" i="1"/>
  <c r="E221" i="1" s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6" i="1"/>
  <c r="C253" i="1" s="1"/>
  <c r="D226" i="1"/>
  <c r="D253" i="1" s="1"/>
  <c r="E226" i="1"/>
  <c r="E253" i="1" s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8" i="1"/>
  <c r="C260" i="1" s="1"/>
  <c r="D258" i="1"/>
  <c r="D260" i="1" s="1"/>
  <c r="D47" i="1" s="1"/>
  <c r="E258" i="1"/>
  <c r="E260" i="1" s="1"/>
  <c r="E47" i="1" s="1"/>
  <c r="C259" i="1"/>
  <c r="D259" i="1"/>
  <c r="E259" i="1"/>
  <c r="C267" i="1"/>
  <c r="D267" i="1"/>
  <c r="D275" i="1" s="1"/>
  <c r="D281" i="1" s="1"/>
  <c r="E267" i="1"/>
  <c r="C268" i="1"/>
  <c r="D268" i="1"/>
  <c r="E268" i="1"/>
  <c r="E275" i="1" s="1"/>
  <c r="E281" i="1" s="1"/>
  <c r="C269" i="1"/>
  <c r="C275" i="1" s="1"/>
  <c r="C281" i="1" s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E273" i="1"/>
  <c r="E52" i="1" s="1"/>
  <c r="C274" i="1"/>
  <c r="D274" i="1"/>
  <c r="E274" i="1"/>
  <c r="C277" i="1"/>
  <c r="D277" i="1"/>
  <c r="E277" i="1"/>
  <c r="C278" i="1"/>
  <c r="D278" i="1"/>
  <c r="D55" i="1" s="1"/>
  <c r="E278" i="1"/>
  <c r="E55" i="1" s="1"/>
  <c r="C279" i="1"/>
  <c r="D279" i="1"/>
  <c r="E279" i="1"/>
  <c r="H281" i="1"/>
  <c r="H282" i="1"/>
  <c r="H283" i="1"/>
  <c r="H285" i="1"/>
  <c r="H287" i="1" s="1"/>
  <c r="H286" i="1"/>
  <c r="D52" i="1" l="1"/>
  <c r="D57" i="1" s="1"/>
  <c r="C178" i="1"/>
  <c r="D9" i="1"/>
  <c r="D18" i="1" s="1"/>
  <c r="E9" i="1"/>
  <c r="E30" i="1"/>
  <c r="E34" i="1" s="1"/>
  <c r="E255" i="1"/>
  <c r="E46" i="1"/>
  <c r="D30" i="1"/>
  <c r="D34" i="1" s="1"/>
  <c r="E49" i="1"/>
  <c r="D262" i="1"/>
  <c r="D283" i="1" s="1"/>
  <c r="H290" i="1" s="1"/>
  <c r="D255" i="1"/>
  <c r="D46" i="1"/>
  <c r="C262" i="1"/>
  <c r="C283" i="1" s="1"/>
  <c r="C255" i="1"/>
  <c r="D162" i="1"/>
  <c r="D178" i="1" s="1"/>
  <c r="H289" i="1" s="1"/>
  <c r="H291" i="1" s="1"/>
  <c r="E162" i="1"/>
  <c r="E178" i="1" s="1"/>
  <c r="E199" i="1"/>
  <c r="E262" i="1" s="1"/>
  <c r="E283" i="1" s="1"/>
  <c r="E54" i="1"/>
  <c r="E57" i="1" s="1"/>
  <c r="E12" i="1"/>
  <c r="D54" i="1"/>
  <c r="D12" i="1"/>
  <c r="D43" i="1"/>
  <c r="E59" i="1" l="1"/>
  <c r="E18" i="1"/>
  <c r="E38" i="1" s="1"/>
  <c r="D49" i="1"/>
  <c r="D59" i="1" s="1"/>
  <c r="D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74" authorId="0" shapeId="0" xr:uid="{0609EC35-5012-475D-AE68-EBD21076E15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4" authorId="0" shapeId="0" xr:uid="{64822C49-78CD-4917-9E13-1BE8A6998AE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4" authorId="0" shapeId="0" xr:uid="{72D474EF-77FE-463F-8284-C221F9BCC98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5" authorId="0" shapeId="0" xr:uid="{4ABB0771-4597-422D-A92F-F2EBD2670DE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5" authorId="0" shapeId="0" xr:uid="{95663284-2B53-4E68-9880-801E6BC3F0B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5" authorId="0" shapeId="0" xr:uid="{E7011AD2-52BB-425A-AE86-E64C41337B9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6" authorId="0" shapeId="0" xr:uid="{72CFA60D-3F5C-408F-B3AB-00AAAAEEC84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6" authorId="0" shapeId="0" xr:uid="{7C80BEF4-EEF3-445D-AC5A-41E52E1649F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6" authorId="0" shapeId="0" xr:uid="{D052F37E-DF3C-412C-ACB7-3FD7B23032A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7" authorId="0" shapeId="0" xr:uid="{2342561C-AEF8-4425-8A30-784BF7C72C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7" authorId="0" shapeId="0" xr:uid="{3EBBA1C0-BBCF-4C8A-A2FD-0D61AA68276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7" authorId="0" shapeId="0" xr:uid="{67DA3D07-535D-4721-B251-F8C7B8AD35C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8" authorId="0" shapeId="0" xr:uid="{D7326A51-C0FE-4A16-BFE3-C5FEE69728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8" authorId="0" shapeId="0" xr:uid="{842C58F4-FD05-458F-AA8E-35BAAB89E3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8" authorId="0" shapeId="0" xr:uid="{5302FBC0-3CFE-4E8C-8E8C-A3EE2851CF4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9" authorId="0" shapeId="0" xr:uid="{57444769-9A07-4D6E-B776-7F23C3390E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9" authorId="0" shapeId="0" xr:uid="{38BED1CC-03BE-43CB-9EA4-D0506EE3F58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9" authorId="0" shapeId="0" xr:uid="{61BCDF73-1D79-4CD5-BE85-AD5BEFBD3E5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0" authorId="0" shapeId="0" xr:uid="{EE51160A-FE83-4CCD-920C-F0C1AD5E13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0" authorId="0" shapeId="0" xr:uid="{13C77FE5-25D7-41DC-93C7-2EC6D6D920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0" authorId="0" shapeId="0" xr:uid="{C7DE9475-56CA-4F7A-8011-29E39377F8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1" authorId="0" shapeId="0" xr:uid="{2A937487-6A67-4595-893D-15EEF55C70F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1" authorId="0" shapeId="0" xr:uid="{C4F6CD9B-9190-4118-A3EA-4173C1F39A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1" authorId="0" shapeId="0" xr:uid="{92097C97-F038-475E-AA38-93E2DFF9B1C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2" authorId="0" shapeId="0" xr:uid="{30AFABBA-CB56-41AF-8A22-B36A2190040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2" authorId="0" shapeId="0" xr:uid="{DF5E6751-68FA-4870-BFE3-420347E0F65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2" authorId="0" shapeId="0" xr:uid="{D2D3D03A-A576-4119-8A06-765F5E9EE6C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6" authorId="0" shapeId="0" xr:uid="{A7DBF9AA-B14E-4435-9B10-CE3D684F6E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6" authorId="0" shapeId="0" xr:uid="{1D34E1FE-9FBA-4E13-85D9-6FC6A4943C9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6" authorId="0" shapeId="0" xr:uid="{440E6D9D-F8D8-4D8F-A367-960E43E4CDE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7" authorId="0" shapeId="0" xr:uid="{67902049-1813-4747-A2B0-BE303BCC023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7" authorId="0" shapeId="0" xr:uid="{A258278D-8470-496F-97DF-9E0E92438C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7" authorId="0" shapeId="0" xr:uid="{9CA4213A-828A-4076-8FC4-D62F117CCA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8" authorId="0" shapeId="0" xr:uid="{15AC18E3-CB77-4BA4-95DC-AE8CD3527B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8" authorId="0" shapeId="0" xr:uid="{700390FF-A05F-4AEE-AC6E-DEEF2D86E5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8" authorId="0" shapeId="0" xr:uid="{E538CC95-863E-4199-8BCA-E4C05CC28DB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9" authorId="0" shapeId="0" xr:uid="{2DC8FB57-B984-43CA-B1C6-F0C99B970C6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9" authorId="0" shapeId="0" xr:uid="{0D56F221-D6FF-4752-BEAC-EEC00DFE863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9" authorId="0" shapeId="0" xr:uid="{0711BCAA-351D-47AB-8BFE-7F24D3C7A9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0" authorId="0" shapeId="0" xr:uid="{A84C9675-EEEB-4ED6-B30A-4C14B51886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0" authorId="0" shapeId="0" xr:uid="{D86DD5D9-37D0-42C3-B742-3C4D4D3DC0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0" authorId="0" shapeId="0" xr:uid="{05E84C13-AB85-4696-BA45-ADAF450669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1" authorId="0" shapeId="0" xr:uid="{77092AD2-A1FF-4801-A4DA-D4A6ED415C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1" authorId="0" shapeId="0" xr:uid="{6D3C0201-E821-4B3F-BF67-8F482D12365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1" authorId="0" shapeId="0" xr:uid="{CF032362-C96B-4F99-AECF-1D02055F1C7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2" authorId="0" shapeId="0" xr:uid="{4A36CC5F-A614-4FC8-9ADD-AFCE0608B3E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2" authorId="0" shapeId="0" xr:uid="{E2A5AB96-B4C2-4793-BAED-F06B328A793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2" authorId="0" shapeId="0" xr:uid="{A5A4571A-E669-444E-8C7A-75048E452E3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3" authorId="0" shapeId="0" xr:uid="{2A521BB7-E558-443C-B09B-865E0B7B376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3" authorId="0" shapeId="0" xr:uid="{DC5BED9F-D9DE-4023-B7E3-F394A5F6F8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3" authorId="0" shapeId="0" xr:uid="{924130C3-A92C-4092-BAAB-637F472F62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4" authorId="0" shapeId="0" xr:uid="{F0972437-6EC5-4E30-A219-CCADE955C6B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4" authorId="0" shapeId="0" xr:uid="{4061E56E-8C60-4F82-A72B-CDDF98D73E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4" authorId="0" shapeId="0" xr:uid="{A54F0239-76C1-4939-AECE-8B7C2D90910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5" authorId="0" shapeId="0" xr:uid="{FBC00358-A5FD-4DA5-86D2-93987C5C7D4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5" authorId="0" shapeId="0" xr:uid="{DC12AA11-EACC-4B0A-A47B-7E70E615E8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5" authorId="0" shapeId="0" xr:uid="{3503B1F4-3905-4376-86A5-FE024197AE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9" authorId="0" shapeId="0" xr:uid="{33C457A1-A02D-405C-BA47-507117721C6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9" authorId="0" shapeId="0" xr:uid="{2A0DC22D-006A-4099-88CE-9475DD108A6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9" authorId="0" shapeId="0" xr:uid="{A3196BF9-FF1D-499F-B7C4-F4D91F19FA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0" authorId="0" shapeId="0" xr:uid="{25FE9516-86CF-451D-BBFD-9DEE4343E0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0" authorId="0" shapeId="0" xr:uid="{0D14E63F-CC9F-4CE4-8900-C4A1E91763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0" authorId="0" shapeId="0" xr:uid="{AC0DD545-7E26-4B96-B9EC-E232247BEAA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1" authorId="0" shapeId="0" xr:uid="{0EA692F7-544E-4740-8DCD-ED63AC9E0C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1" authorId="0" shapeId="0" xr:uid="{4CC8FCC7-2000-4B07-BC2C-6C77D0512C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1" authorId="0" shapeId="0" xr:uid="{20AB3DFF-CDDA-47B9-84E8-C34FA72CD66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2" authorId="0" shapeId="0" xr:uid="{6FF38E39-B241-42EB-AA04-914E670E5E4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2" authorId="0" shapeId="0" xr:uid="{6C8068E7-A89F-4FA8-B8EF-7AE22DD8A4D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2" authorId="0" shapeId="0" xr:uid="{77E3676A-90BF-4ED0-A818-0F74988B75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3" authorId="0" shapeId="0" xr:uid="{D9333D9B-6575-451E-B46A-89476C3C50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3" authorId="0" shapeId="0" xr:uid="{948BDD67-0CB0-4E76-A020-78FFCC7B83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3" authorId="0" shapeId="0" xr:uid="{D62AF55B-DA12-430B-8C86-3A2C201A03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4" authorId="0" shapeId="0" xr:uid="{F33630EA-788B-4468-9F07-506ECCA7E5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4" authorId="0" shapeId="0" xr:uid="{2A3D0FA1-9771-49BF-AD9E-2177D632C2A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4" authorId="0" shapeId="0" xr:uid="{6233EB3C-6A8A-4807-91AD-85B28D5259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5" authorId="0" shapeId="0" xr:uid="{597153F0-13F2-4034-9BDA-42A1A089C6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5" authorId="0" shapeId="0" xr:uid="{C52EF4E0-18D0-4B08-B8B9-1F5CB12287A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5" authorId="0" shapeId="0" xr:uid="{B5D49C3E-05AB-403E-8FC5-066CA76D175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6" authorId="0" shapeId="0" xr:uid="{0A0E9E6B-D837-4864-81A6-F05815E7CB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6" authorId="0" shapeId="0" xr:uid="{5722ECC7-AFA9-4A02-9A0F-C2F99164B2C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6" authorId="0" shapeId="0" xr:uid="{46362285-A279-41A6-AF06-10B94C49E65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7" authorId="0" shapeId="0" xr:uid="{B0FDE9F1-58C3-4B3B-984D-CFDF899024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7" authorId="0" shapeId="0" xr:uid="{866CF216-4965-4968-97A7-1D383E8B03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7" authorId="0" shapeId="0" xr:uid="{B7058E55-CE5D-43CD-AC60-0D7162C8252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8" authorId="0" shapeId="0" xr:uid="{B3F95489-C4AF-4D74-824B-330D6AE9F06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8" authorId="0" shapeId="0" xr:uid="{EB240B1B-65CB-4354-8BDA-C0A1B08BB60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8" authorId="0" shapeId="0" xr:uid="{D3F34F36-C30B-4ADB-9CDA-2B170A93B46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9" authorId="0" shapeId="0" xr:uid="{E1C942DE-4ABE-4423-8FE4-479AF72B96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9" authorId="0" shapeId="0" xr:uid="{F823B821-6509-47E5-A9F1-48A5850FEFB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9" authorId="0" shapeId="0" xr:uid="{3381A44A-25A7-4BC0-A7B1-7CE57F2F648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0" authorId="0" shapeId="0" xr:uid="{9CCE40AE-3964-4236-9EC7-B10E1284DF5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0" authorId="0" shapeId="0" xr:uid="{74C65944-D9D0-40AC-AB11-6B39A2F5B8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0" authorId="0" shapeId="0" xr:uid="{92275059-99B8-45FF-8C4F-57CAB49870B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1" authorId="0" shapeId="0" xr:uid="{680AF1C0-308B-4B83-99C8-A14503EF32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1" authorId="0" shapeId="0" xr:uid="{16581ADE-86B6-4BEE-94EE-4E79BD56A1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1" authorId="0" shapeId="0" xr:uid="{E596216F-54B1-4486-8DB0-D12BE352B44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2" authorId="0" shapeId="0" xr:uid="{1E649702-38BB-4361-BA3C-B054231B03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2" authorId="0" shapeId="0" xr:uid="{DD0B2666-8684-4FA1-BDF0-820A81AFCB4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2" authorId="0" shapeId="0" xr:uid="{44F8E523-E47D-4908-B290-F6CFF77938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3" authorId="0" shapeId="0" xr:uid="{722EECA0-4C47-40AE-A75E-67BE675AA54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3" authorId="0" shapeId="0" xr:uid="{E09F6A2C-6AC5-43E5-BA6D-89161618072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3" authorId="0" shapeId="0" xr:uid="{90EC672B-9E5D-4314-89E5-D6C93E3178A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7" authorId="0" shapeId="0" xr:uid="{9CD9DB52-3227-40E4-B590-A57C6A02E3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7" authorId="0" shapeId="0" xr:uid="{F6515AD3-7E57-4DA8-A064-661C6BA520B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7" authorId="0" shapeId="0" xr:uid="{6DF0B4C0-4DB6-4353-8BA6-E389779734A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8" authorId="0" shapeId="0" xr:uid="{07835885-400F-4782-973D-27BCBEFD5B7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8" authorId="0" shapeId="0" xr:uid="{BA6ECEFC-3EDB-4603-807E-0F191FE2CE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8" authorId="0" shapeId="0" xr:uid="{7F0181FF-4995-4895-AB7F-80C7915688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9" authorId="0" shapeId="0" xr:uid="{D78BA67C-5BD0-4EDD-8952-EA08AC73028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9" authorId="0" shapeId="0" xr:uid="{CE333077-87A5-4B5F-B942-F4D2B0E696B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9" authorId="0" shapeId="0" xr:uid="{E16F4CBF-BEC1-426D-81B7-F2DA005F27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0" authorId="0" shapeId="0" xr:uid="{58F1DF87-9B93-42FC-89BF-F7B32EA274D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0" authorId="0" shapeId="0" xr:uid="{D99DDE70-6A0D-4D01-90CC-415B4988EB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0" authorId="0" shapeId="0" xr:uid="{445423A8-EC17-4257-A4DD-9C8B4F49F25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1" authorId="0" shapeId="0" xr:uid="{0A71EB34-5EF4-4827-BFF0-01EC58CDF4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1" authorId="0" shapeId="0" xr:uid="{DE9DAC60-F770-4BF5-8C70-4FCE3355E2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1" authorId="0" shapeId="0" xr:uid="{30807CF8-035A-4D0C-ACCE-8DB089A36B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2" authorId="0" shapeId="0" xr:uid="{F8275622-44F1-485E-B210-CF82761B60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2" authorId="0" shapeId="0" xr:uid="{9AE9D1E0-2FB6-4130-B405-5CD6FA9FD3F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2" authorId="0" shapeId="0" xr:uid="{C4D5629A-8CD1-47E0-8F82-4219F9937E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3" authorId="0" shapeId="0" xr:uid="{615BE89F-66CD-4843-BEF9-D86E25E9322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3" authorId="0" shapeId="0" xr:uid="{972515B9-B57D-4BDC-9A7A-A7CDA1DC25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3" authorId="0" shapeId="0" xr:uid="{CAAA3CD6-AEB1-4F43-A819-3E1A674A2B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4" authorId="0" shapeId="0" xr:uid="{9CEB9FDF-0E77-4364-9C33-8D9A5FCD808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4" authorId="0" shapeId="0" xr:uid="{2B619AEC-2D3E-4E13-A523-815200C60B3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4" authorId="0" shapeId="0" xr:uid="{4E050B26-8963-4DBF-9655-71D51FA0DB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5" authorId="0" shapeId="0" xr:uid="{99ABD53F-3F5B-422C-93A6-72639CA342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5" authorId="0" shapeId="0" xr:uid="{6B65689B-0178-4B8D-A9F9-78DF5727DFC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5" authorId="0" shapeId="0" xr:uid="{2FECCABC-D753-4355-8353-8A74027A1B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6" authorId="0" shapeId="0" xr:uid="{492AA583-0F9F-4BE9-96AB-F08E3EA7333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6" authorId="0" shapeId="0" xr:uid="{A2ED246E-93CC-4136-A913-19C85AFC43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6" authorId="0" shapeId="0" xr:uid="{52086A4D-3D59-4FC9-BAFB-53D16C5F528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7" authorId="0" shapeId="0" xr:uid="{456770D6-92A4-4845-9121-99B673BC15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7" authorId="0" shapeId="0" xr:uid="{DE5777C3-D281-4052-A389-C82C70AD390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7" authorId="0" shapeId="0" xr:uid="{348D30C2-6C5B-4958-90C6-6C021B81A7A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8" authorId="0" shapeId="0" xr:uid="{4E543150-6BAE-4685-BA32-46D8A82FD34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8" authorId="0" shapeId="0" xr:uid="{6B86B3AB-ED27-4EF4-9C5F-C9C4C4F97C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8" authorId="0" shapeId="0" xr:uid="{A4B226E7-D4CE-4F65-A34D-BC0FC5593B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9" authorId="0" shapeId="0" xr:uid="{F08B07A4-76BA-4FFC-BE9D-864E3354DE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9" authorId="0" shapeId="0" xr:uid="{60F28A84-8AEC-46DE-B55C-EB20FEC3B1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9" authorId="0" shapeId="0" xr:uid="{D3F687C7-5362-4241-A8DC-C8E12F3154B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0" authorId="0" shapeId="0" xr:uid="{5493D045-C49B-4C85-86D6-13FEF682C8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0" authorId="0" shapeId="0" xr:uid="{864B39F6-DAA4-446A-BAE3-55CBE9B41B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0" authorId="0" shapeId="0" xr:uid="{6B48371C-5FD2-4123-8524-5A3B50E2F7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1" authorId="0" shapeId="0" xr:uid="{C9E5D126-4259-4807-82FF-676FEFA82B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1" authorId="0" shapeId="0" xr:uid="{EAA8804E-334D-42A9-8FEC-BDC6B5F07BE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1" authorId="0" shapeId="0" xr:uid="{B1103540-77B9-49C5-AF78-E2F51C0249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5" authorId="0" shapeId="0" xr:uid="{299038DC-3460-46B0-9BAF-3093C89D604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5" authorId="0" shapeId="0" xr:uid="{93F2E916-7694-4F6A-BAAD-022FBEB966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5" authorId="0" shapeId="0" xr:uid="{6015A140-421A-41FB-BFAB-5538D134CA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6" authorId="0" shapeId="0" xr:uid="{9CC30DE0-C061-4AB4-8146-54CA47F985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6" authorId="0" shapeId="0" xr:uid="{38652304-D0A0-4AF6-B6BC-A26DD58D4C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6" authorId="0" shapeId="0" xr:uid="{053F2211-5610-4F1C-99CE-B648469E853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7" authorId="0" shapeId="0" xr:uid="{0C34EA98-8BAB-4AC7-8820-DF23E96D561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7" authorId="0" shapeId="0" xr:uid="{7E1DCDD6-DE48-43AE-957B-DFEF6064DD7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7" authorId="0" shapeId="0" xr:uid="{FBF02CBF-FE95-423E-AC04-B0E3B47A6E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8" authorId="0" shapeId="0" xr:uid="{C3B719D9-869E-43B5-BBB3-BE80C4D289A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8" authorId="0" shapeId="0" xr:uid="{F2C9CACC-A970-4C45-B25C-D69F69FF334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8" authorId="0" shapeId="0" xr:uid="{3558D3DA-A7E8-4340-8897-15014B7402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2" authorId="0" shapeId="0" xr:uid="{FA384A26-CB20-4D77-9B06-3E4C51C253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2" authorId="0" shapeId="0" xr:uid="{96FBC925-E2FB-448C-B2B1-E9F2710F303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2" authorId="0" shapeId="0" xr:uid="{24364FB1-30FA-493B-A81A-FB6D96B5AC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3" authorId="0" shapeId="0" xr:uid="{7DFD9E31-C95A-4EA6-81D0-464365120A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3" authorId="0" shapeId="0" xr:uid="{57C20380-4A78-43C4-ACB7-6E02AF452C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3" authorId="0" shapeId="0" xr:uid="{C055A37D-EA95-4B5B-8595-5E6605127E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7" authorId="0" shapeId="0" xr:uid="{6DB01924-032E-4127-827F-C23CFDA405A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7" authorId="0" shapeId="0" xr:uid="{5C77773D-0C20-4B97-ADEB-7C96A38B7C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7" authorId="0" shapeId="0" xr:uid="{7294880D-4BE5-4FB8-8A08-1A032DB5DC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8" authorId="0" shapeId="0" xr:uid="{3AB1CFC8-B38F-4B0B-81C9-6FBB9AE6A56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8" authorId="0" shapeId="0" xr:uid="{2BC96CB8-CE88-4D45-AE00-B9473A1A2C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8" authorId="0" shapeId="0" xr:uid="{F1B76459-589A-42F1-97A0-946454B3AD7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9" authorId="0" shapeId="0" xr:uid="{086790B8-7651-4FCF-A274-789C391B779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9" authorId="0" shapeId="0" xr:uid="{6F1D9BBD-F1F7-4E13-A472-B50FACA54F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9" authorId="0" shapeId="0" xr:uid="{7EEADC40-DE1B-46AF-86B9-16E743A5667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0" authorId="0" shapeId="0" xr:uid="{1FFFAA7D-BE3D-420A-8272-757AB48D1A2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0" authorId="0" shapeId="0" xr:uid="{877B8AD7-ADF4-4D77-9E8A-95BACB6A49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0" authorId="0" shapeId="0" xr:uid="{2C45C2A2-745F-437C-A818-E0AF58EE649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1" authorId="0" shapeId="0" xr:uid="{1687FD2D-0C57-439D-A2EB-87E930D688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1" authorId="0" shapeId="0" xr:uid="{3687B471-96A5-4E05-AB56-D908FE7115D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1" authorId="0" shapeId="0" xr:uid="{BA2D3ECB-4F43-41A3-A04A-0FBA91CBFC8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5" authorId="0" shapeId="0" xr:uid="{25134824-993E-4813-A48B-766FCE8E87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5" authorId="0" shapeId="0" xr:uid="{C1750F78-7943-407B-8781-1E0627F558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5" authorId="0" shapeId="0" xr:uid="{B329B633-1483-4756-B837-F0297F1910B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6" authorId="0" shapeId="0" xr:uid="{9D1DDB2F-9106-4AFB-A0C0-0F040D41B21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6" authorId="0" shapeId="0" xr:uid="{9A76C5F7-9DCF-4D6E-8F2A-FB071A6A7A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6" authorId="0" shapeId="0" xr:uid="{376869BF-90D8-439C-91FF-89E71674FE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7" authorId="0" shapeId="0" xr:uid="{FE562A72-E4C0-4917-9085-3612DBF60EB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7" authorId="0" shapeId="0" xr:uid="{1D3EAF5C-70F1-4488-B881-7B9ABC8D693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7" authorId="0" shapeId="0" xr:uid="{83FFABF4-194D-4D83-988C-29A6C15855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8" authorId="0" shapeId="0" xr:uid="{594533DE-761D-4B37-9A09-AC9D1EE2A5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8" authorId="0" shapeId="0" xr:uid="{90BBF7D1-3175-40DC-A807-45BE28BEC2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8" authorId="0" shapeId="0" xr:uid="{6F7DF1EE-FD99-480E-84FE-51E0E6CFD16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9" authorId="0" shapeId="0" xr:uid="{3548BC39-C589-4DAA-A05A-537406A6F48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9" authorId="0" shapeId="0" xr:uid="{A6274AC6-59CC-4C31-B3A2-A5CEE09479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9" authorId="0" shapeId="0" xr:uid="{7BEFDE7D-0CEF-497C-9994-8332CA5058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0" authorId="0" shapeId="0" xr:uid="{2BA0A877-02E1-4E91-A93E-A278BAE3C36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0" authorId="0" shapeId="0" xr:uid="{58979027-2350-45EC-9354-5B620C22D74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0" authorId="0" shapeId="0" xr:uid="{443F2E93-BF93-4F72-8AF7-D7488FC99DA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1" authorId="0" shapeId="0" xr:uid="{BC81F72E-3553-434E-BD5E-DC8C4857087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1" authorId="0" shapeId="0" xr:uid="{17B1D999-B2F8-4499-B9AB-9438F3712AC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1" authorId="0" shapeId="0" xr:uid="{AF07438E-A566-44B3-B246-6D7D6A1825F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5" authorId="0" shapeId="0" xr:uid="{C38522FD-F7DD-4501-BCBD-AAE084BBCE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5" authorId="0" shapeId="0" xr:uid="{3D3919FF-C317-467E-9AC6-498073979A2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5" authorId="0" shapeId="0" xr:uid="{2CA82C60-2706-421A-843F-718B681C0F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6" authorId="0" shapeId="0" xr:uid="{E395D677-F081-4ACF-A1A6-AF4A6392289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6" authorId="0" shapeId="0" xr:uid="{157A17F3-4B17-4D16-BEB0-140F93C89CA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6" authorId="0" shapeId="0" xr:uid="{000A1705-4BBA-4ADB-8A12-932AA5D4F7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7" authorId="0" shapeId="0" xr:uid="{C69A56CD-4CFF-4C6D-ADCD-CE01F77697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7" authorId="0" shapeId="0" xr:uid="{39A51EBE-2A75-4F77-9F67-D831D59160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7" authorId="0" shapeId="0" xr:uid="{30EFA767-8944-4F81-8C0A-CD2668291C0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8" authorId="0" shapeId="0" xr:uid="{357B06FC-4DE5-4659-B6D7-E39B4AFA5F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8" authorId="0" shapeId="0" xr:uid="{F0C85F4D-3707-4BD2-B9A0-F528BB4B4B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8" authorId="0" shapeId="0" xr:uid="{7AC80430-29F6-406A-BB1A-546CC68EB0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9" authorId="0" shapeId="0" xr:uid="{15D94837-41C3-41AB-984A-4748A06BD6C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9" authorId="0" shapeId="0" xr:uid="{BD0B63DE-3A7D-4257-B42D-8747644373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9" authorId="0" shapeId="0" xr:uid="{FC7BF187-A66D-4AAC-A507-B7A0DEC084B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3" authorId="0" shapeId="0" xr:uid="{D254352C-AEDB-456E-AE2C-3A6164DB50B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3" authorId="0" shapeId="0" xr:uid="{5E4CE342-9814-4D70-8B2C-B9E0FB6960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3" authorId="0" shapeId="0" xr:uid="{46C571E0-7BB2-4F1D-A001-C919A20DB0F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4" authorId="0" shapeId="0" xr:uid="{C174FF98-3896-4847-94A3-898DD67771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4" authorId="0" shapeId="0" xr:uid="{4C31322F-4DE0-4A83-B000-AFABDC1831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4" authorId="0" shapeId="0" xr:uid="{3FFAA9D1-9034-40AD-9397-4E198D49EBA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3" authorId="0" shapeId="0" xr:uid="{1EE9A0CF-0C4B-49AA-AA36-45490914E7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3" authorId="0" shapeId="0" xr:uid="{E9508878-A33F-4232-A471-722F99D2B1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3" authorId="0" shapeId="0" xr:uid="{6D10584F-2505-4069-9DAF-6695AD6B81F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4" authorId="0" shapeId="0" xr:uid="{70E4E3D1-947E-45FC-A603-F760C3FE739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4" authorId="0" shapeId="0" xr:uid="{E186C8B4-6F7D-4DCF-805D-824D2F8F030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4" authorId="0" shapeId="0" xr:uid="{DAAFC2BE-D4E8-425B-A576-968FD3ECFE8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5" authorId="0" shapeId="0" xr:uid="{51748CF9-8F2E-4828-B03B-0279249371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5" authorId="0" shapeId="0" xr:uid="{0EF0EFAD-8289-47DA-960B-99E926CAFEF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5" authorId="0" shapeId="0" xr:uid="{1A7692EE-D22D-44E3-AF0F-E685B188674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6" authorId="0" shapeId="0" xr:uid="{68A47F03-09DD-4D6F-BFF3-C0A073BED6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6" authorId="0" shapeId="0" xr:uid="{D0C5FA23-6810-4306-8C4A-86A5054CEC4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6" authorId="0" shapeId="0" xr:uid="{CB99370A-9D08-473C-BA5E-648C5A51A20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7" authorId="0" shapeId="0" xr:uid="{DBE52603-F725-4BCA-9E25-2290C3859F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7" authorId="0" shapeId="0" xr:uid="{CE96AF52-2B46-4D11-8720-A802F59B3D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7" authorId="0" shapeId="0" xr:uid="{25A0AFD1-B870-42D1-B18F-571E0CDD62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8" authorId="0" shapeId="0" xr:uid="{87351578-B79E-4B88-AB74-77F11D39187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8" authorId="0" shapeId="0" xr:uid="{9B53488C-292B-462C-B9BF-518AF0CA4B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8" authorId="0" shapeId="0" xr:uid="{53C3B4D3-72F1-48BD-B2BF-6037EC65AF6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9" authorId="0" shapeId="0" xr:uid="{A0A40FEA-F267-41E0-A09D-84B51A656C4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9" authorId="0" shapeId="0" xr:uid="{7E503F55-A461-46CB-BCFE-D97F62B9B89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9" authorId="0" shapeId="0" xr:uid="{7B444869-7B80-44A8-A4AA-C65EE2BD1B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0" authorId="0" shapeId="0" xr:uid="{F12E4415-0BFC-4CC9-8F15-A3641D5112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0" authorId="0" shapeId="0" xr:uid="{188A1E43-114F-4056-8A64-2311606FB0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0" authorId="0" shapeId="0" xr:uid="{B1FC3172-B4CE-4098-82E7-320443DF22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1" authorId="0" shapeId="0" xr:uid="{8811DDC8-D34B-458E-A6DD-D585D0CD11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1" authorId="0" shapeId="0" xr:uid="{9524856C-1D88-431D-BD35-DA31F793AFF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1" authorId="0" shapeId="0" xr:uid="{E84FB548-9354-4BE9-8EB8-FD77A83DCA8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2" authorId="0" shapeId="0" xr:uid="{90D38D6C-830A-4AB6-8382-8EE2A1F0E1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2" authorId="0" shapeId="0" xr:uid="{3B1E037D-EA78-48DE-8AD8-0298380B0A4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2" authorId="0" shapeId="0" xr:uid="{7EAF2FA2-074E-4F1E-9179-01CC6E14D32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3" authorId="0" shapeId="0" xr:uid="{1890EFBA-7E85-4B0A-AAF2-D877944A26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3" authorId="0" shapeId="0" xr:uid="{ACB22015-C65E-486E-BA74-F17BEC706B5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3" authorId="0" shapeId="0" xr:uid="{93567DBD-4158-434B-A25F-5B15E73FAF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4" authorId="0" shapeId="0" xr:uid="{02D6BF8F-191B-44FA-AFA0-DB50E4BE314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4" authorId="0" shapeId="0" xr:uid="{833091B2-BD6E-4CF3-B35C-ED335FF3C73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4" authorId="0" shapeId="0" xr:uid="{AD816638-306F-440F-B548-67052B50EA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5" authorId="0" shapeId="0" xr:uid="{9EF27A4D-936C-4C51-99B0-8C59BDF5F8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5" authorId="0" shapeId="0" xr:uid="{2FA1F774-7183-480D-8580-B84B7DBC1A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5" authorId="0" shapeId="0" xr:uid="{109214D2-C6B4-4F60-A38F-0AA2244B19C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6" authorId="0" shapeId="0" xr:uid="{BC3EE20C-2631-4375-8D97-F8D5FBE4306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6" authorId="0" shapeId="0" xr:uid="{7CCBA152-ABE6-4B59-B03B-A6565E718F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6" authorId="0" shapeId="0" xr:uid="{CFBA8D01-EA95-4F47-9CC4-111C729AC3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7" authorId="0" shapeId="0" xr:uid="{70A260B1-200A-4A05-A5FA-A8084E1813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7" authorId="0" shapeId="0" xr:uid="{C2E01489-722C-4EEC-8FAB-A68FD5EAC1E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7" authorId="0" shapeId="0" xr:uid="{6F34FEA3-3386-4836-96C3-8EF0FF32F3B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8" authorId="0" shapeId="0" xr:uid="{1571A0BE-794E-4BFF-AC37-EFAD889B7F2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8" authorId="0" shapeId="0" xr:uid="{586B1835-C3A1-4DF9-B873-7BE1CAA099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8" authorId="0" shapeId="0" xr:uid="{D66657A3-500A-4DEE-BDAF-81DEF3F2CF5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2" authorId="0" shapeId="0" xr:uid="{47A7D7A9-A696-4C32-8966-C294FF981A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2" authorId="0" shapeId="0" xr:uid="{E9630F07-291E-45FF-94E0-61C81C0835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2" authorId="0" shapeId="0" xr:uid="{BC14EEE3-7921-42BD-AB99-C8156CA654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3" authorId="0" shapeId="0" xr:uid="{A2A5688E-1CF1-4613-83A4-C10527A247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3" authorId="0" shapeId="0" xr:uid="{4C5F74C9-CD4B-4F52-8EFD-370394F70BF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3" authorId="0" shapeId="0" xr:uid="{8133400C-CC13-40F5-9F01-66DBBB183C4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4" authorId="0" shapeId="0" xr:uid="{1BA596D7-F875-428C-9DB5-338B2F04DBF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4" authorId="0" shapeId="0" xr:uid="{47C67618-1081-4C1A-8848-669469E5F7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4" authorId="0" shapeId="0" xr:uid="{F13171DF-212B-45A4-8D77-421DA3C54DF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5" authorId="0" shapeId="0" xr:uid="{194DD5BC-83D5-4E50-9BBE-2BEE20C13D4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5" authorId="0" shapeId="0" xr:uid="{888B61BE-CC4B-4B06-9197-D1251AF5B9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5" authorId="0" shapeId="0" xr:uid="{1A5B96BD-F85B-4AB8-8376-011741E57E6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6" authorId="0" shapeId="0" xr:uid="{AACD4DC3-2D34-4224-806E-6E74063FD2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6" authorId="0" shapeId="0" xr:uid="{7784D259-6DD5-442A-A520-ABDB8A306E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6" authorId="0" shapeId="0" xr:uid="{FBCD904C-678E-4607-9BBE-AFFE8B606AA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7" authorId="0" shapeId="0" xr:uid="{065F29EF-B9D8-4AB6-B67D-8B52554F040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7" authorId="0" shapeId="0" xr:uid="{0755143A-CBD5-4CAA-ACFE-D25C7A708F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7" authorId="0" shapeId="0" xr:uid="{062B9DA8-FE1D-4F92-8BF0-EA87F4446B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8" authorId="0" shapeId="0" xr:uid="{3AD3256A-F588-4D64-B1A9-C58EC3BA53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8" authorId="0" shapeId="0" xr:uid="{CA5C1D1E-869D-4FD5-AC90-7567EF542D2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8" authorId="0" shapeId="0" xr:uid="{E449CEF0-DCF7-4BDF-9E61-7947E822465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4" authorId="0" shapeId="0" xr:uid="{F717C68B-1C92-4965-83F0-DF721D120C9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4" authorId="0" shapeId="0" xr:uid="{BAA7C817-73DA-48D8-855A-BD7D59750B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4" authorId="0" shapeId="0" xr:uid="{DABE08DF-3AA9-4E11-A483-3A7B02D71B8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5" authorId="0" shapeId="0" xr:uid="{2A2F2278-D889-49B2-A49F-52356DE845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5" authorId="0" shapeId="0" xr:uid="{B1843A2F-6DCF-4BAF-8409-5A2E732A42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5" authorId="0" shapeId="0" xr:uid="{EE1CC91A-CE19-445E-A313-8B44EBB3E6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6" authorId="0" shapeId="0" xr:uid="{D1E94455-FA89-4DD0-8AD2-63755D88FAD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6" authorId="0" shapeId="0" xr:uid="{42A72039-731D-4ACA-819F-7AA1AB3D90A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6" authorId="0" shapeId="0" xr:uid="{441885AC-B845-4779-BF81-B57699FFC75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7" authorId="0" shapeId="0" xr:uid="{3E2AB0C6-BB29-471C-A692-C5D534F88AF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7" authorId="0" shapeId="0" xr:uid="{05B96741-CF09-48AC-BA27-94BEBEAACF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7" authorId="0" shapeId="0" xr:uid="{F9E3514B-419E-4E9B-8F04-29EC382FF1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8" authorId="0" shapeId="0" xr:uid="{C64B8884-585A-4F8F-9D5C-743B1C542A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8" authorId="0" shapeId="0" xr:uid="{AE2200CE-29F4-47F6-9B8F-81642A3514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8" authorId="0" shapeId="0" xr:uid="{DB01CCCC-599B-4F3D-8C37-E3A20856C53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9" authorId="0" shapeId="0" xr:uid="{27612964-170B-4395-BFB2-37BD3969B3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9" authorId="0" shapeId="0" xr:uid="{B23C72EB-559A-43F6-9049-B0E1D89DD2B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9" authorId="0" shapeId="0" xr:uid="{C2B0A206-A0F5-4219-AA41-A1566D3FC2C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0" authorId="0" shapeId="0" xr:uid="{ABCC6330-CBBB-444A-9605-D2FC691E09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0" authorId="0" shapeId="0" xr:uid="{FF7D729D-28FC-466E-92E2-9FB5E0A7D36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0" authorId="0" shapeId="0" xr:uid="{0F428F3E-822A-448C-9A97-9D73535455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6" authorId="0" shapeId="0" xr:uid="{FFA1558E-917C-4711-B405-1672279737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6" authorId="0" shapeId="0" xr:uid="{4E5E880C-63FB-4263-8E32-A60E3914F8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6" authorId="0" shapeId="0" xr:uid="{7B574C67-6B16-4CA2-A220-5D22B24F475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7" authorId="0" shapeId="0" xr:uid="{F58A077A-6177-43AC-9592-87D241DC9A3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7" authorId="0" shapeId="0" xr:uid="{7394A4F1-E738-4B78-A14F-AA5EE4449B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7" authorId="0" shapeId="0" xr:uid="{25CACC79-0BA5-41FA-95A2-48F79BC4A2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8" authorId="0" shapeId="0" xr:uid="{9EC965DD-D301-4ECD-BC90-86182A93FC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8" authorId="0" shapeId="0" xr:uid="{E16E1C00-7491-47BB-B93A-7A2A7EF75A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8" authorId="0" shapeId="0" xr:uid="{7F4AC914-D408-4C8F-BCD3-3BC26696056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9" authorId="0" shapeId="0" xr:uid="{E2746B88-3A9C-41BE-9EFB-6D4D98D9BB8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9" authorId="0" shapeId="0" xr:uid="{B712C887-AF8F-4B43-B927-E342712CDE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9" authorId="0" shapeId="0" xr:uid="{77F12D11-B990-48F0-A5DB-31ED42E7E0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0" authorId="0" shapeId="0" xr:uid="{858B1DE2-B41B-427E-AB4B-2383ABD474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0" authorId="0" shapeId="0" xr:uid="{95C25D65-DD55-418C-8E82-5C7965052C9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0" authorId="0" shapeId="0" xr:uid="{B5D70E25-7AB1-4768-8BAE-B37E4E83A6E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1" authorId="0" shapeId="0" xr:uid="{2EBE7415-EFC9-4C64-A1B4-20477A77C51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1" authorId="0" shapeId="0" xr:uid="{AC979368-21FA-4C71-B210-B68C256034E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1" authorId="0" shapeId="0" xr:uid="{1CED4138-8CAF-4491-91F5-818262FA0E3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2" authorId="0" shapeId="0" xr:uid="{9258B43B-D305-4159-B9B2-2000531D3C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2" authorId="0" shapeId="0" xr:uid="{7E052258-23AD-452A-B59E-7B596BB6E5B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2" authorId="0" shapeId="0" xr:uid="{E7B2D71F-0952-442C-ADCC-655F15A210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3" authorId="0" shapeId="0" xr:uid="{06A8A91A-0308-4A61-92F7-0EBA8BDFCC4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3" authorId="0" shapeId="0" xr:uid="{F3F52518-FC18-4CDD-8135-FAEC79E21B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3" authorId="0" shapeId="0" xr:uid="{EE8873F9-A0E5-4D9A-8B24-0F20B1F045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4" authorId="0" shapeId="0" xr:uid="{3F5478C9-DFD8-4B5E-B30D-8D7D7BAEC43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4" authorId="0" shapeId="0" xr:uid="{6882AC81-7670-47FA-8359-A0D20475223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4" authorId="0" shapeId="0" xr:uid="{E6AAFF6E-1A5C-47C5-89B9-5EF6432062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5" authorId="0" shapeId="0" xr:uid="{6970505C-4A1A-4A5E-9EB1-2B4D446193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5" authorId="0" shapeId="0" xr:uid="{043537FE-8CA2-4A8C-A888-561A86036FB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5" authorId="0" shapeId="0" xr:uid="{CE715C00-8DFB-4E23-855D-C7E8A10023C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6" authorId="0" shapeId="0" xr:uid="{F86B9D79-F492-47DF-9CE1-9B6D9E268E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6" authorId="0" shapeId="0" xr:uid="{BAF50D2E-9343-4F27-9ACF-136F86FBF1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6" authorId="0" shapeId="0" xr:uid="{405DEC40-3E0F-4051-BDB3-0072D61E14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7" authorId="0" shapeId="0" xr:uid="{F3EA63AF-7A31-461B-AE47-B580DE4D775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7" authorId="0" shapeId="0" xr:uid="{D46336CF-B1E7-4AB4-9FBA-02C3932353E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7" authorId="0" shapeId="0" xr:uid="{7809AFCA-D956-40F1-9DAD-615D19A1D2E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8" authorId="0" shapeId="0" xr:uid="{0BC179F2-5DF9-4AE2-8D6D-9CB6051F11E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8" authorId="0" shapeId="0" xr:uid="{DF4FE443-C4CC-46F3-9F6B-77E2B00B2A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8" authorId="0" shapeId="0" xr:uid="{80DD9D62-7645-46E1-95EB-8FD5079D5F7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9" authorId="0" shapeId="0" xr:uid="{310D41C4-8599-4443-8CFD-7A3BC3C007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9" authorId="0" shapeId="0" xr:uid="{A26C0A44-EC9B-42D0-AD49-78220653C0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9" authorId="0" shapeId="0" xr:uid="{80A74DDE-1270-40E5-9A48-A7FA0EEAA71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0" authorId="0" shapeId="0" xr:uid="{DCA19A96-0953-44F1-8DEB-284106B50A9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0" authorId="0" shapeId="0" xr:uid="{1186F3EC-3D04-4D9C-AA75-6BCE9452F9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0" authorId="0" shapeId="0" xr:uid="{DA746AFF-FB27-4072-BCC1-AA7C8795D86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1" authorId="0" shapeId="0" xr:uid="{C8C1B651-7E35-41E6-95FD-2793CC6168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1" authorId="0" shapeId="0" xr:uid="{09B0CBE3-0DBC-428F-8704-830ED6793AA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1" authorId="0" shapeId="0" xr:uid="{036015A4-4E82-4987-9E79-947DB20097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2" authorId="0" shapeId="0" xr:uid="{60AB3EA9-4F32-408A-881E-83D5354AEF4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2" authorId="0" shapeId="0" xr:uid="{4CA3C7DD-D787-4A68-8BE8-B303EF3264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2" authorId="0" shapeId="0" xr:uid="{A05494CD-5EA0-4845-BB46-C0FD1F19E01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3" authorId="0" shapeId="0" xr:uid="{B26F0080-A8B7-4A20-B00A-98F454582D2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3" authorId="0" shapeId="0" xr:uid="{6BA20CF5-7608-467B-B1BC-8E0FB3BA83A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3" authorId="0" shapeId="0" xr:uid="{6F52940C-9B10-4BF3-AB32-D443387557B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4" authorId="0" shapeId="0" xr:uid="{809AD769-EB97-4E1B-B88D-2F361113ABB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4" authorId="0" shapeId="0" xr:uid="{740A2088-E5E6-4227-A5AD-520512B4D03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4" authorId="0" shapeId="0" xr:uid="{31FA14A5-AB98-488C-B9E2-A7BBAF762B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5" authorId="0" shapeId="0" xr:uid="{9DE3917B-7124-421A-A323-5BF75EF0366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5" authorId="0" shapeId="0" xr:uid="{4C44C29E-E91B-48E1-A163-704A652D3D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5" authorId="0" shapeId="0" xr:uid="{F8758CA5-D7E2-46D6-BF88-98F7372CEAD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6" authorId="0" shapeId="0" xr:uid="{D192E5AA-A5CC-4473-828E-CE667C3B0D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6" authorId="0" shapeId="0" xr:uid="{F2C3BE58-F493-4F94-B124-86F0BD1B10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6" authorId="0" shapeId="0" xr:uid="{984E0F43-349A-4B7F-8ACF-DA7E801767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7" authorId="0" shapeId="0" xr:uid="{58CC472A-E120-4711-8774-CAD479E1A16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7" authorId="0" shapeId="0" xr:uid="{1B89B49C-DFE7-416D-8035-6840EAB3B4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7" authorId="0" shapeId="0" xr:uid="{54E00F64-DA5C-45CC-BCBE-8368BE1565C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8" authorId="0" shapeId="0" xr:uid="{AED9E8E6-4367-45C3-A1BE-6A0A4EC8E9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8" authorId="0" shapeId="0" xr:uid="{C69623AE-FB36-42F7-A494-B904BCC423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8" authorId="0" shapeId="0" xr:uid="{8BD49BC1-D688-4584-89FD-50C3C62BB5A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9" authorId="0" shapeId="0" xr:uid="{91F27FDA-A3CC-4600-988A-1F9E9E2D97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9" authorId="0" shapeId="0" xr:uid="{DA29302D-E207-4FF5-BC16-64816DDA3E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9" authorId="0" shapeId="0" xr:uid="{8CB2F491-4828-410E-B77B-53E4601462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0" authorId="0" shapeId="0" xr:uid="{81B748C5-AFB2-4B6E-8DFC-24C4652713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0" authorId="0" shapeId="0" xr:uid="{95B55ED4-E765-499C-A4B6-F6437FC58E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0" authorId="0" shapeId="0" xr:uid="{8D03766E-5E4C-47F0-8A65-F123346C53E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1" authorId="0" shapeId="0" xr:uid="{E113DF86-B772-4CD4-8D77-7D3C7FEEB0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1" authorId="0" shapeId="0" xr:uid="{8F3BF9C0-8C4B-4CAA-B8F6-33004C21181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1" authorId="0" shapeId="0" xr:uid="{D39C8806-0F44-4043-9089-8E06EF9C4AD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2" authorId="0" shapeId="0" xr:uid="{1EF94B0F-5BED-4324-84A5-F001F3BC8E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2" authorId="0" shapeId="0" xr:uid="{683DE175-D181-4F5E-9216-017ACFCF0FD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2" authorId="0" shapeId="0" xr:uid="{9D7EB094-9863-404D-A2DD-C0A3E530E6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8" authorId="0" shapeId="0" xr:uid="{C56C5B13-C12A-4BE1-90A9-946105B733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8" authorId="0" shapeId="0" xr:uid="{F2B2101D-5300-415C-B3F9-9712A07694F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8" authorId="0" shapeId="0" xr:uid="{8B34B3A8-30C8-4451-BEA1-78710A73815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9" authorId="0" shapeId="0" xr:uid="{3440DF91-D4E2-4B7D-B3EA-260322293F0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9" authorId="0" shapeId="0" xr:uid="{9258F7E0-1418-4545-8E4D-6F28DE1E1CC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9" authorId="0" shapeId="0" xr:uid="{B8C45719-7B40-4A34-AA1E-63BD63E844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7" authorId="0" shapeId="0" xr:uid="{EE11C89F-A847-4704-BCC8-B0E8BCEC97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7" authorId="0" shapeId="0" xr:uid="{376AA4F8-75E8-486F-A0D6-52000C4CF2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7" authorId="0" shapeId="0" xr:uid="{313DF716-E284-46E6-A6AE-0E04B8871F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8" authorId="0" shapeId="0" xr:uid="{FD91D54E-DB07-4E2B-9310-36A3B9F6B6F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8" authorId="0" shapeId="0" xr:uid="{D2F0676F-49ED-4698-97D6-FC7780B391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8" authorId="0" shapeId="0" xr:uid="{EE363078-F68B-4E3D-9E8A-972B6F5777D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9" authorId="0" shapeId="0" xr:uid="{ECDEDD02-C7B5-4C5D-A731-C464280DBD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9" authorId="0" shapeId="0" xr:uid="{3CFD4580-9D42-4FDA-9F0B-9C4D6FF3195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9" authorId="0" shapeId="0" xr:uid="{C1F1EAEC-85CF-4C20-BD4B-331FE0566DD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0" authorId="0" shapeId="0" xr:uid="{3713472D-4F40-4FFA-B6C9-E74FBF7332C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0" authorId="0" shapeId="0" xr:uid="{320F6463-A3F5-44D7-8B45-3C0EE7B80D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0" authorId="0" shapeId="0" xr:uid="{6B377731-A4DF-480B-BC81-0F7CE22B09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1" authorId="0" shapeId="0" xr:uid="{D37143DF-5EC9-41E6-85D7-F9EB82F612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1" authorId="0" shapeId="0" xr:uid="{2D06DB6A-FB11-4C8E-8927-20797BF1C1C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1" authorId="0" shapeId="0" xr:uid="{861367DC-7305-48D9-BBE6-BEE61269F4E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2" authorId="0" shapeId="0" xr:uid="{D1C0411D-0EF3-4C3B-AE54-64ECB358D0E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2" authorId="0" shapeId="0" xr:uid="{DBE131E0-1493-4973-87CE-0AADA0E327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2" authorId="0" shapeId="0" xr:uid="{A6D253AA-19A3-4BAA-ACA4-EDC09596701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3" authorId="0" shapeId="0" xr:uid="{C06523B5-3AEF-4878-BE0D-53F2D650078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3" authorId="0" shapeId="0" xr:uid="{8B869B4D-2816-43AA-A7E5-12E3B0D749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3" authorId="0" shapeId="0" xr:uid="{D50FE3CB-611B-4F4C-BDFE-339505DA84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4" authorId="0" shapeId="0" xr:uid="{10FAE2F3-1E97-4ECB-A426-91109D704CF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4" authorId="0" shapeId="0" xr:uid="{83572E8B-226B-4FE4-BD7B-19487F81739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4" authorId="0" shapeId="0" xr:uid="{CCA4C080-360C-471F-BDF3-5B889AE4BD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7" authorId="0" shapeId="0" xr:uid="{0335AEFD-5C53-4BDB-A8D5-ACADF1B6984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7" authorId="0" shapeId="0" xr:uid="{185E2ED0-F512-4DE4-97C3-38F4E208BE2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7" authorId="0" shapeId="0" xr:uid="{48FBE88E-F226-4798-8231-0405BF5AA6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8" authorId="0" shapeId="0" xr:uid="{B780B653-692F-4CFE-91E9-6D1D3BCD189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8" authorId="0" shapeId="0" xr:uid="{235C8CE3-54A8-4499-9910-F4BF853E43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8" authorId="0" shapeId="0" xr:uid="{71044BE1-036B-485D-A5FF-41DD7E9F53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1" authorId="0" shapeId="0" xr:uid="{6E706082-AFF2-419C-8FD4-D884719521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2" authorId="0" shapeId="0" xr:uid="{7A905610-5579-47FA-B743-E3D7A8FF426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5" authorId="0" shapeId="0" xr:uid="{9328533C-0B93-4B49-8A0A-E771390307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6" authorId="0" shapeId="0" xr:uid="{E95F500E-E84D-4ECD-9271-159382F683BC}">
      <text>
        <r>
          <rPr>
            <sz val="8"/>
            <color indexed="81"/>
            <rFont val="Tahoma"/>
            <family val="2"/>
          </rPr>
          <t>Formula failed to convert</t>
        </r>
      </text>
    </comment>
  </commentList>
</comments>
</file>

<file path=xl/sharedStrings.xml><?xml version="1.0" encoding="utf-8"?>
<sst xmlns="http://schemas.openxmlformats.org/spreadsheetml/2006/main" count="554" uniqueCount="540">
  <si>
    <t>***FINAL***</t>
  </si>
  <si>
    <t xml:space="preserve">                        JUNIOR CHAMBER INTERNATIONAL (JCI), INC.</t>
  </si>
  <si>
    <t xml:space="preserve">                                 STATEMENTS OF FINANCIAL POSITION</t>
  </si>
  <si>
    <t xml:space="preserve">                                                   JULY 31, 2002 AND 2001</t>
  </si>
  <si>
    <t xml:space="preserve">                                     ASSETS</t>
  </si>
  <si>
    <t xml:space="preserve">                    2002</t>
  </si>
  <si>
    <t xml:space="preserve">                    2001</t>
  </si>
  <si>
    <t>Current assets:</t>
  </si>
  <si>
    <t xml:space="preserve">     Cash and cash equivalents</t>
  </si>
  <si>
    <t xml:space="preserve">     Short-term investments</t>
  </si>
  <si>
    <t xml:space="preserve">     Accounts receivable, less allowance</t>
  </si>
  <si>
    <t xml:space="preserve">     Due rom officers and employeess</t>
  </si>
  <si>
    <t xml:space="preserve">     Due from Foundation</t>
  </si>
  <si>
    <t xml:space="preserve">     Inventories</t>
  </si>
  <si>
    <t xml:space="preserve">     Prepaid expenses</t>
  </si>
  <si>
    <t xml:space="preserve">     Other current assets </t>
  </si>
  <si>
    <t xml:space="preserve">          Total current assets</t>
  </si>
  <si>
    <t>Restricted cash</t>
  </si>
  <si>
    <t xml:space="preserve">     Less allowance for possible nonavailability</t>
  </si>
  <si>
    <t xml:space="preserve">          Total restricted cash</t>
  </si>
  <si>
    <t>Property andequipment:</t>
  </si>
  <si>
    <t xml:space="preserve">     Land and landscaping</t>
  </si>
  <si>
    <t xml:space="preserve">     Building</t>
  </si>
  <si>
    <t xml:space="preserve">     SG residential property</t>
  </si>
  <si>
    <t xml:space="preserve">     Furniture, fixtures and equipment</t>
  </si>
  <si>
    <t xml:space="preserve">          Total property and equipment</t>
  </si>
  <si>
    <t xml:space="preserve">               Less accumulated depreciation</t>
  </si>
  <si>
    <t xml:space="preserve">          Net property and equipment</t>
  </si>
  <si>
    <t>Other assets</t>
  </si>
  <si>
    <t xml:space="preserve">                    Total assets</t>
  </si>
  <si>
    <t xml:space="preserve">                    LIABILITIES AND NET ASSETS</t>
  </si>
  <si>
    <t>Curent liabilities:</t>
  </si>
  <si>
    <t xml:space="preserve">     Accounts payable</t>
  </si>
  <si>
    <t xml:space="preserve">     Accrued liabilities</t>
  </si>
  <si>
    <t xml:space="preserve">     Due to Foundation</t>
  </si>
  <si>
    <t xml:space="preserve">     Congress and conference bid bonds</t>
  </si>
  <si>
    <t xml:space="preserve">     Deferred revenues</t>
  </si>
  <si>
    <t xml:space="preserve">          Total current liabilities</t>
  </si>
  <si>
    <t>Net assets:</t>
  </si>
  <si>
    <t xml:space="preserve">     Unrestricted</t>
  </si>
  <si>
    <t xml:space="preserve">     Temporarily restricted</t>
  </si>
  <si>
    <t xml:space="preserve">     Permanently restricted</t>
  </si>
  <si>
    <t xml:space="preserve">     Increase/(decrease) in current year net assets</t>
  </si>
  <si>
    <t xml:space="preserve">     </t>
  </si>
  <si>
    <t xml:space="preserve">          Total net assets</t>
  </si>
  <si>
    <t xml:space="preserve">                    Total liabilities and net assets</t>
  </si>
  <si>
    <t xml:space="preserve">  prepared:</t>
  </si>
  <si>
    <t>EXTENSION</t>
  </si>
  <si>
    <t>000..999</t>
  </si>
  <si>
    <t>EXPENSE</t>
  </si>
  <si>
    <t>MAIN</t>
  </si>
  <si>
    <t>3005..9999</t>
  </si>
  <si>
    <t>TYPE</t>
  </si>
  <si>
    <t>ACTUAL</t>
  </si>
  <si>
    <t>TYPE2</t>
  </si>
  <si>
    <t>Last Year Year To Date 12</t>
  </si>
  <si>
    <t>YEAR</t>
  </si>
  <si>
    <t>2002</t>
  </si>
  <si>
    <t>MTD ACTUAL</t>
  </si>
  <si>
    <t>YEAR TO DATE</t>
  </si>
  <si>
    <t>YEAR END</t>
  </si>
  <si>
    <t>PERIOD</t>
  </si>
  <si>
    <t>YEAR TO DATE 7</t>
  </si>
  <si>
    <t>12/31/01</t>
  </si>
  <si>
    <t>COMPANY</t>
  </si>
  <si>
    <t>55</t>
  </si>
  <si>
    <t>BUDGET</t>
  </si>
  <si>
    <t>2002BUD</t>
  </si>
  <si>
    <t>ASSETS</t>
  </si>
  <si>
    <t xml:space="preserve"> </t>
  </si>
  <si>
    <t>ACCOUNTS</t>
  </si>
  <si>
    <t>PERIOD1</t>
  </si>
  <si>
    <t>Transactions Month 7</t>
  </si>
  <si>
    <t>PETTY CASH</t>
  </si>
  <si>
    <t>1005-000-000</t>
  </si>
  <si>
    <t>((1005-000-000)(000..999)(000..999))</t>
  </si>
  <si>
    <t>^-^-^</t>
  </si>
  <si>
    <t>CITIBANK-INDIA</t>
  </si>
  <si>
    <t>1006-000-000</t>
  </si>
  <si>
    <t>((1006-000-000)(000..999)(000..999))</t>
  </si>
  <si>
    <t>ALLOW FOR FX LOSS-INDIA</t>
  </si>
  <si>
    <t>1006-001-000</t>
  </si>
  <si>
    <t>((1006-001-000)(000..999)(000..999))</t>
  </si>
  <si>
    <t>CITIBANK-OPERATING (NEW)</t>
  </si>
  <si>
    <t>1007-000-000</t>
  </si>
  <si>
    <t>((1007-000-000)(000..999)(000..999))</t>
  </si>
  <si>
    <t>CITIBANK-OPERATING (OLD)</t>
  </si>
  <si>
    <t>1008-000-000</t>
  </si>
  <si>
    <t>((1008-000-000)(000..999)(000..999))</t>
  </si>
  <si>
    <t>CITIBANK-PAYROLL</t>
  </si>
  <si>
    <t>1009-000-000</t>
  </si>
  <si>
    <t>((1009-000-000)(000..999)(000..999))</t>
  </si>
  <si>
    <t>CITIBANK-CONGRESS</t>
  </si>
  <si>
    <t>1010-000-000</t>
  </si>
  <si>
    <t>((1010-000-000)(000..999)(000..999))</t>
  </si>
  <si>
    <t>CITIBANK-MONEY MARKET</t>
  </si>
  <si>
    <t>1011-000-000</t>
  </si>
  <si>
    <t>((1011-000-000)(000..999)(000..999))</t>
  </si>
  <si>
    <t>BANK OF AMERICA</t>
  </si>
  <si>
    <t>1014-000-000</t>
  </si>
  <si>
    <t>((1014-000-000)(000..999)(000..999))</t>
  </si>
  <si>
    <t xml:space="preserve">          TOTAL CASH AND EQUIVALENTS</t>
  </si>
  <si>
    <t>CITICORP-INVESTMENTS</t>
  </si>
  <si>
    <t>1012-000-000</t>
  </si>
  <si>
    <t>((1012-000-000)(000..999)(000..999))</t>
  </si>
  <si>
    <t>HOKUYO BANK - SAPPORO (YEN)</t>
  </si>
  <si>
    <t>1013-000-000</t>
  </si>
  <si>
    <t>((1013-000-000)(000..999)(000..999))</t>
  </si>
  <si>
    <t>CREDIT LYONNAIS-CD(USD)</t>
  </si>
  <si>
    <t>1016-000-000</t>
  </si>
  <si>
    <t>((1016-000-000)(000..999)(000..999))</t>
  </si>
  <si>
    <t>CREDIT LYONNAIS-FF</t>
  </si>
  <si>
    <t>1017-000-000</t>
  </si>
  <si>
    <t>((1017-000-000)(000..999)(000..999))</t>
  </si>
  <si>
    <t>SUN BANK-OPERATING</t>
  </si>
  <si>
    <t>1018-000-000</t>
  </si>
  <si>
    <t>((1018-000-000)(000..999)(000..999))</t>
  </si>
  <si>
    <t>CREDIT LYONNAIS-INVESTMENTS</t>
  </si>
  <si>
    <t>1019-000-000</t>
  </si>
  <si>
    <t>((1019-000-000)(000..999)(000..999))</t>
  </si>
  <si>
    <t>PREMIUMS (DISCOUNTS)</t>
  </si>
  <si>
    <t>1020-000-000</t>
  </si>
  <si>
    <t>((1020-000-000)(000..999)(000..999))</t>
  </si>
  <si>
    <t>BANCO SABADELL-USA</t>
  </si>
  <si>
    <t>1021-000-000</t>
  </si>
  <si>
    <t>((1021-000-000)(000..999)(000..999))</t>
  </si>
  <si>
    <t>BANCO SAVADELL-PTS</t>
  </si>
  <si>
    <t>1022-000-000</t>
  </si>
  <si>
    <t>((1022-000-000)(000..999)(000..999))</t>
  </si>
  <si>
    <t>CREDIT CARD</t>
  </si>
  <si>
    <t>1023-000-000</t>
  </si>
  <si>
    <t>((1023-000-000)(000..999)(000..999))</t>
  </si>
  <si>
    <t xml:space="preserve">         TOTAL INVESTMENTS</t>
  </si>
  <si>
    <t>A/R-DUES</t>
  </si>
  <si>
    <t>1025-*-000</t>
  </si>
  <si>
    <t>((1025-*-000)(000..999)(000..999))</t>
  </si>
  <si>
    <t>A/R-OFFICERS</t>
  </si>
  <si>
    <t>1030-*-000</t>
  </si>
  <si>
    <t>((1030-*-000)(000..999)(000..999))</t>
  </si>
  <si>
    <t>A/R-STAFF</t>
  </si>
  <si>
    <t>1032-*-000</t>
  </si>
  <si>
    <t>((1032-*-000)(000..999)(000..999))</t>
  </si>
  <si>
    <t>A/R-SAPPORO (2000)</t>
  </si>
  <si>
    <t>1035-000-000</t>
  </si>
  <si>
    <t>((1035-000-000)(000..999)(000..999))</t>
  </si>
  <si>
    <t>A/R-MANILA (98)</t>
  </si>
  <si>
    <t>1040-000-000</t>
  </si>
  <si>
    <t>((1040-000-000)(000..999)(000..999))</t>
  </si>
  <si>
    <t>A/R-CANNES COC (99)</t>
  </si>
  <si>
    <t>1045-000-000</t>
  </si>
  <si>
    <t>((1045-000-000)(000..999)(000..999))</t>
  </si>
  <si>
    <t>A/R-INSURANCE</t>
  </si>
  <si>
    <t>1050-000-000</t>
  </si>
  <si>
    <t>((1050-000-000)(000..999)(000..999))</t>
  </si>
  <si>
    <t>A/R-GENERAL</t>
  </si>
  <si>
    <t>1055-000-000</t>
  </si>
  <si>
    <t>((1055-000-000)(000..999)(000..999))</t>
  </si>
  <si>
    <t>A/R-SALES</t>
  </si>
  <si>
    <t>1058-000-000</t>
  </si>
  <si>
    <t>((1058-000-000)(000..999)(000..999))</t>
  </si>
  <si>
    <t>A/R-JCI FOUNDATION</t>
  </si>
  <si>
    <t>1060-000-000</t>
  </si>
  <si>
    <t>((1060-000-000)(000..999)(000..999))</t>
  </si>
  <si>
    <t>ACCRUED INT RECEIVABLE</t>
  </si>
  <si>
    <t>1065-000-000</t>
  </si>
  <si>
    <t>((1065-000-000)(000..999)(000..999))</t>
  </si>
  <si>
    <t>NOTES RECEIVABLE</t>
  </si>
  <si>
    <t>1070-000-000</t>
  </si>
  <si>
    <t>((1070-000-000)(000..999)(000..999))</t>
  </si>
  <si>
    <t>A/R-LONG TERM</t>
  </si>
  <si>
    <t>1075-000-000</t>
  </si>
  <si>
    <t>((1075-000-000)(000..999)(000..999))</t>
  </si>
  <si>
    <t>BAD DEBT PROV-DUES</t>
  </si>
  <si>
    <t>1080-000-000</t>
  </si>
  <si>
    <t>((1080-000-000)(000..999)(000..999))</t>
  </si>
  <si>
    <t>BAD DEBT PROV-OTHER</t>
  </si>
  <si>
    <t>1085-000-000</t>
  </si>
  <si>
    <t>((1085-000-000)(000..999)(000..999))</t>
  </si>
  <si>
    <t xml:space="preserve">          TOTAL RECEIVABLES</t>
  </si>
  <si>
    <t>INVENTORY-JCI PRODUCTS</t>
  </si>
  <si>
    <t>1100-000-000</t>
  </si>
  <si>
    <t>((1100-000-000)(000..999)(000..999))</t>
  </si>
  <si>
    <t>INVENTORY-US PRODUCTS</t>
  </si>
  <si>
    <t>1100-000-005</t>
  </si>
  <si>
    <t>((1100-000-005)(000..999)(000..999))</t>
  </si>
  <si>
    <t>PURCHASES-JCI</t>
  </si>
  <si>
    <t>1100-001-000</t>
  </si>
  <si>
    <t>((1100-001-000)(000..999)(000..999))</t>
  </si>
  <si>
    <t>PURCHASES-US</t>
  </si>
  <si>
    <t>1100-001-005</t>
  </si>
  <si>
    <t>((1100-001-005)(000..999)(000..999))</t>
  </si>
  <si>
    <t>INVENTORY-OFFICER PINS</t>
  </si>
  <si>
    <t>1105-000-000</t>
  </si>
  <si>
    <t>((1105-000-000)(000..999)(000..999))</t>
  </si>
  <si>
    <t>RESERVE-OBSOLETE INVENTORY</t>
  </si>
  <si>
    <t>1110-000-000</t>
  </si>
  <si>
    <t>((1110-000-000)(000..999)(000..999))</t>
  </si>
  <si>
    <t>INVENTORY CLEARING</t>
  </si>
  <si>
    <t>1111-000-000</t>
  </si>
  <si>
    <t>((1111-000-000)(000..999)(000..999))</t>
  </si>
  <si>
    <t>INVENTORY IN-PROGRESS:</t>
  </si>
  <si>
    <t>1115-000-000</t>
  </si>
  <si>
    <t>((1115-000-000)(000..999)(000..999))</t>
  </si>
  <si>
    <t>VANGUARD LEADERS</t>
  </si>
  <si>
    <t>1115-005-000</t>
  </si>
  <si>
    <t>((1115-005-000)(000..999)(000..999))</t>
  </si>
  <si>
    <t>PRIME</t>
  </si>
  <si>
    <t>1115-010-000</t>
  </si>
  <si>
    <t>((1115-010-000)(000..999)(000..999))</t>
  </si>
  <si>
    <t>CHAPTER DEVELOPMENT</t>
  </si>
  <si>
    <t>1115-015-000</t>
  </si>
  <si>
    <t>((1115-015-000)(000..999)(000..999))</t>
  </si>
  <si>
    <t>OPPORTUNITY TO SUCCEED</t>
  </si>
  <si>
    <t>1115-020-000</t>
  </si>
  <si>
    <t>((1115-020-000)(000..999)(000..999))</t>
  </si>
  <si>
    <t>NATIONAL LEADERS</t>
  </si>
  <si>
    <t>1115-025-000</t>
  </si>
  <si>
    <t>((1115-025-000)(000..999)(000..999))</t>
  </si>
  <si>
    <t>TRANSPARENCIES</t>
  </si>
  <si>
    <t>1115-030-000</t>
  </si>
  <si>
    <t>((1115-030-000)(000..999)(000..999))</t>
  </si>
  <si>
    <t>LOCAL LEADERS</t>
  </si>
  <si>
    <t>1115-035-000</t>
  </si>
  <si>
    <t>((1115-035-000)(000..999)(000..999))</t>
  </si>
  <si>
    <t xml:space="preserve">          TOTAL INVENTORY</t>
  </si>
  <si>
    <t>PREPAIDS-GENERAL</t>
  </si>
  <si>
    <t>1205-000-000</t>
  </si>
  <si>
    <t>((1205-000-000)(000..999)(000..999))</t>
  </si>
  <si>
    <t>PREPAIDS-POSTAGE METER</t>
  </si>
  <si>
    <t>1210-000-000</t>
  </si>
  <si>
    <t>((1210-000-000)(000..999)(000..999))</t>
  </si>
  <si>
    <t>PREPAIDS-SPC</t>
  </si>
  <si>
    <t>1215-000-000</t>
  </si>
  <si>
    <t>((1215-000-000)(000..999)(000..999))</t>
  </si>
  <si>
    <t>PREPAIDS-INSURANCE</t>
  </si>
  <si>
    <t>1220-000-000</t>
  </si>
  <si>
    <t>((1220-000-000)(000..999)(000..999))</t>
  </si>
  <si>
    <t xml:space="preserve">          TOTAL PREPAID</t>
  </si>
  <si>
    <t>DEPOSITS-ELECTRICITY</t>
  </si>
  <si>
    <t>1250-000-000</t>
  </si>
  <si>
    <t>((1250-000-000)(000..999)(000..999))</t>
  </si>
  <si>
    <t>3005..3135</t>
  </si>
  <si>
    <t>^-^-^((3005..3135)(000..999)(000..999))</t>
  </si>
  <si>
    <t>DEPOSITS-SUNDRY</t>
  </si>
  <si>
    <t>1255-000-000</t>
  </si>
  <si>
    <t>((1255-000-000)(000..999)(000..999))</t>
  </si>
  <si>
    <t>4000..9999</t>
  </si>
  <si>
    <t>^-^-^((4000..9999)(000..999)(000..999))</t>
  </si>
  <si>
    <t xml:space="preserve">          TOTAL DEPOSITS</t>
  </si>
  <si>
    <t>SUSPENSE-DEFAULT ACCOUNT</t>
  </si>
  <si>
    <t>1300-000-000</t>
  </si>
  <si>
    <t>((1300-000-000)(000..999)(000..999))</t>
  </si>
  <si>
    <t>SUSPENSE-GENERAL</t>
  </si>
  <si>
    <t>1305-000-000</t>
  </si>
  <si>
    <t>((1305-000-000)(000..999)(000..999))</t>
  </si>
  <si>
    <t>SUSPENSE-SENATE</t>
  </si>
  <si>
    <t>1310-000-000</t>
  </si>
  <si>
    <t>((1310-000-000)(000..999)(000..999))</t>
  </si>
  <si>
    <t>1000..1999</t>
  </si>
  <si>
    <t>^-^-^((1000..1999)(000..999)(000..999))</t>
  </si>
  <si>
    <t>SUSPENSE-CONGRESS MISC</t>
  </si>
  <si>
    <t>1330-000-000</t>
  </si>
  <si>
    <t>((1330-000-000)(000..999)(000..999))</t>
  </si>
  <si>
    <t>SUSPENSE-CONG REG CLEARING</t>
  </si>
  <si>
    <t>1335-000-000</t>
  </si>
  <si>
    <t>((1335-000-000)(000..999)(000..999))</t>
  </si>
  <si>
    <t xml:space="preserve">          TOTAL OTHER CURRENT ASSETS</t>
  </si>
  <si>
    <t>LIBRARY EXT/LOBBY</t>
  </si>
  <si>
    <t>1505-000-000</t>
  </si>
  <si>
    <t>((1505-000-000)(000..999)(000..999))</t>
  </si>
  <si>
    <t>LAND &amp; LANDSCAPING</t>
  </si>
  <si>
    <t>1510-000-000</t>
  </si>
  <si>
    <t>((1510-000-000)(000..999)(000..999))</t>
  </si>
  <si>
    <t>RENOVATIONS-2/4 FL</t>
  </si>
  <si>
    <t>1515-000-000</t>
  </si>
  <si>
    <t>((1515-000-000)(000..999)(000..999))</t>
  </si>
  <si>
    <t>RENOVATIONS-3 FL</t>
  </si>
  <si>
    <t>1517-000-000</t>
  </si>
  <si>
    <t>((1517-000-000)(000..999)(000..999))</t>
  </si>
  <si>
    <t>SECRETARIAT BUILDING</t>
  </si>
  <si>
    <t>1525-000-000</t>
  </si>
  <si>
    <t>((1525-000-000)(000..999)(000..999))</t>
  </si>
  <si>
    <t>PLANT &amp; MACHINERY</t>
  </si>
  <si>
    <t>1530-000-000</t>
  </si>
  <si>
    <t>((1530-000-000)(000..999)(000..999))</t>
  </si>
  <si>
    <t>FURNITURE &amp; EQUIPMENT</t>
  </si>
  <si>
    <t>1535-000-000</t>
  </si>
  <si>
    <t>((1535-000-000)(000..999)(000..999))</t>
  </si>
  <si>
    <t xml:space="preserve">          TOTAL PROPERTY AND EQUIPMENT</t>
  </si>
  <si>
    <t>ACC DEPR-PLANT/MACHINERY</t>
  </si>
  <si>
    <t>1605-000-000</t>
  </si>
  <si>
    <t>((1605-000-000)(000..999)(000..999))</t>
  </si>
  <si>
    <t>ACC DEPR-BUILDING</t>
  </si>
  <si>
    <t>1610-000-000</t>
  </si>
  <si>
    <t>((1610-000-000)(000..999)(000..999))</t>
  </si>
  <si>
    <t>ACC DEPR-FURNITURE</t>
  </si>
  <si>
    <t>1615-000-000</t>
  </si>
  <si>
    <t>((1615-000-000)(000..999)(000..999))</t>
  </si>
  <si>
    <t>ACC DEPR-3RD FL RENOVATIONS</t>
  </si>
  <si>
    <t>1622-000-000</t>
  </si>
  <si>
    <t>((1622-000-000)(000..999)(000..999))</t>
  </si>
  <si>
    <t>ACC DEPR-2/4 RENOVATIONS</t>
  </si>
  <si>
    <t>1625-000-000</t>
  </si>
  <si>
    <t>((1625-000-000)(000..999)(000..999))</t>
  </si>
  <si>
    <t xml:space="preserve">          TOTAL ACCUMULATED DEPRECIATION</t>
  </si>
  <si>
    <t>USJCC CONTRACT RIGHTS</t>
  </si>
  <si>
    <t>1705-000-000</t>
  </si>
  <si>
    <t>((1705-000-000)(000..999)(000..999))</t>
  </si>
  <si>
    <t>ACC AMORTIZATION - USJCC RIGHTS</t>
  </si>
  <si>
    <t>1805-000-000</t>
  </si>
  <si>
    <t>((1805-000-000)(000..999)(000..999))</t>
  </si>
  <si>
    <t xml:space="preserve">          TOTAL OTHER ASSETS</t>
  </si>
  <si>
    <t xml:space="preserve">                    TOTAL ASSETS</t>
  </si>
  <si>
    <t>LIABILITIES</t>
  </si>
  <si>
    <t>ACCOUNTS PAYABLE-GENERAL</t>
  </si>
  <si>
    <t>2005-000-000</t>
  </si>
  <si>
    <t>((2005-000-000)(000..999)(000..999))</t>
  </si>
  <si>
    <t>REFUNDS OVERPAYMENTS-SALES</t>
  </si>
  <si>
    <t>2006-000-000</t>
  </si>
  <si>
    <t>((2006-000-000)(000..999)(000..999))</t>
  </si>
  <si>
    <t>CANDIDATES FILING FEES</t>
  </si>
  <si>
    <t>2007-000-000</t>
  </si>
  <si>
    <t>((2007-000-000)(000..999)(000..999))</t>
  </si>
  <si>
    <t>A/P-DUE TO FOUNDATION</t>
  </si>
  <si>
    <t>2010-000-000</t>
  </si>
  <si>
    <t>((2010-000-000)(000..999)(000..999))</t>
  </si>
  <si>
    <t>WITHHOLDING TAXES</t>
  </si>
  <si>
    <t>2015-000-000</t>
  </si>
  <si>
    <t>((2015-000-000)(000..999)(000..999))</t>
  </si>
  <si>
    <t>MO STATE WITHHOLDING</t>
  </si>
  <si>
    <t>2016-000-000</t>
  </si>
  <si>
    <t>((2016-000-000)(000..999)(000..999))</t>
  </si>
  <si>
    <t>FED UNEMPLOYMENT</t>
  </si>
  <si>
    <t>2017-000-000</t>
  </si>
  <si>
    <t>((2017-000-000)(000..999)(000..999))</t>
  </si>
  <si>
    <t>2018-000-000</t>
  </si>
  <si>
    <t>((2018-000-000)(000..999)(000..999))</t>
  </si>
  <si>
    <t>SOCIAL SECURITY TAXES</t>
  </si>
  <si>
    <t>2020-000-000</t>
  </si>
  <si>
    <t>((2020-000-000)(000..999)(000..999))</t>
  </si>
  <si>
    <t>INSURANCE EMPLOYEE CO PAY</t>
  </si>
  <si>
    <t>2022-000-000</t>
  </si>
  <si>
    <t>((2022-000-000)(000..999)(000..999))</t>
  </si>
  <si>
    <t>401K EMPLOYEE</t>
  </si>
  <si>
    <t>2023-000-000</t>
  </si>
  <si>
    <t>((2023-000-000)(000..999)(000..999))</t>
  </si>
  <si>
    <t>DISABILITY</t>
  </si>
  <si>
    <t>2024-000-000</t>
  </si>
  <si>
    <t>((2024-000-000)(000..999)(000..999))</t>
  </si>
  <si>
    <t>A/P-SALES TAX</t>
  </si>
  <si>
    <t>2025-000-000</t>
  </si>
  <si>
    <t>((2025-000-000)(000..999)(000..999))</t>
  </si>
  <si>
    <t>401K EMPLOYER</t>
  </si>
  <si>
    <t>2026-000-000</t>
  </si>
  <si>
    <t>((2026-000-000)(000..999)(000..999))</t>
  </si>
  <si>
    <t>401K 2%</t>
  </si>
  <si>
    <t>2027-000-000</t>
  </si>
  <si>
    <t>((2027-000-000)(000..999)(000..999))</t>
  </si>
  <si>
    <t>PO CLEARING</t>
  </si>
  <si>
    <t>2030-000-000</t>
  </si>
  <si>
    <t>((2030-000-000)(000..999)(000..999))</t>
  </si>
  <si>
    <t xml:space="preserve">          TOTAL PAYABLES</t>
  </si>
  <si>
    <t>STAFF LEAVES</t>
  </si>
  <si>
    <t>2150-000-000</t>
  </si>
  <si>
    <t>((2150-000-000)(000..999)(000..999))</t>
  </si>
  <si>
    <t>RELOCATION EXPENSES</t>
  </si>
  <si>
    <t>2170-000-000</t>
  </si>
  <si>
    <t>((2170-000-000)(000..999)(000..999))</t>
  </si>
  <si>
    <t>COLOMBIA EARTHQUAKE RELIEF</t>
  </si>
  <si>
    <t>2175-000-000</t>
  </si>
  <si>
    <t>((2175-000-000)(000..999)(000..999))</t>
  </si>
  <si>
    <t>TURKEY EARTHQUAKE RELIEF</t>
  </si>
  <si>
    <t>2177-000-000</t>
  </si>
  <si>
    <t>((2177-000-000)(000..999)(000..999))</t>
  </si>
  <si>
    <t>UNICEF-POE DONATION</t>
  </si>
  <si>
    <t>2185-000-000</t>
  </si>
  <si>
    <t>((2185-000-000)(000..999)(000..999))</t>
  </si>
  <si>
    <t>HONDURAS HURRICANE RELIEF</t>
  </si>
  <si>
    <t>2190-000-000</t>
  </si>
  <si>
    <t>((2190-000-000)(000..999)(000..999))</t>
  </si>
  <si>
    <t>ACCRUED EXPENSES-SPC</t>
  </si>
  <si>
    <t>2195-000-000</t>
  </si>
  <si>
    <t>((2195-000-000)(000..999)(000..999))</t>
  </si>
  <si>
    <t xml:space="preserve">          TOTAL ACCRUED LIABILITIES</t>
  </si>
  <si>
    <t>CONGRESS BID BONDS</t>
  </si>
  <si>
    <t>BARCELONA-2001</t>
  </si>
  <si>
    <t>2205-000-000</t>
  </si>
  <si>
    <t>((2205-000-000)(000..999)(000..999))</t>
  </si>
  <si>
    <t>NEW DEHLI-2002</t>
  </si>
  <si>
    <t>2210-000-000</t>
  </si>
  <si>
    <t>((2210-000-000)(000..999)(000..999))</t>
  </si>
  <si>
    <t>LAS VEGAS-2002</t>
  </si>
  <si>
    <t>2215-000-000</t>
  </si>
  <si>
    <t>((2215-000-000)(000..999)(000..999))</t>
  </si>
  <si>
    <t>MANILA-1998</t>
  </si>
  <si>
    <t>2230-000-000</t>
  </si>
  <si>
    <t>((2230-000-000)(000..999)(000..999))</t>
  </si>
  <si>
    <t>CANNES-1999</t>
  </si>
  <si>
    <t>2240-000-000</t>
  </si>
  <si>
    <t>((2240-000-000)(000..999)(000..999))</t>
  </si>
  <si>
    <t>SAPPORO-2000</t>
  </si>
  <si>
    <t>2245-000-000</t>
  </si>
  <si>
    <t>((2245-000-000)(000..999)(000..999))</t>
  </si>
  <si>
    <t>FUKUOKA 2004</t>
  </si>
  <si>
    <t>2255-000-000</t>
  </si>
  <si>
    <t>((2255-000-000)(000..999)(000..999))</t>
  </si>
  <si>
    <t xml:space="preserve">          TOTAL CONGRESS BID BONDS</t>
  </si>
  <si>
    <t>CONFERENCE BID BONDS</t>
  </si>
  <si>
    <t>ISTANBUL-2002</t>
  </si>
  <si>
    <t>2305-000-000</t>
  </si>
  <si>
    <t>((2305-000-000)(000..999)(000..999))</t>
  </si>
  <si>
    <t>SENDAI-2002</t>
  </si>
  <si>
    <t>2310-000-000</t>
  </si>
  <si>
    <t>((2310-000-000)(000..999)(000..999))</t>
  </si>
  <si>
    <t>REP DOMINICANA - 2002</t>
  </si>
  <si>
    <t>2315-000-000</t>
  </si>
  <si>
    <t>((2315-000-000)(000..999)(000..999))</t>
  </si>
  <si>
    <t>CEBU - 2003</t>
  </si>
  <si>
    <t>2320-000-000</t>
  </si>
  <si>
    <t>((2320-000-000)(000..999)(000..999))</t>
  </si>
  <si>
    <t>EDMONTON 2003</t>
  </si>
  <si>
    <t>2325-000-000</t>
  </si>
  <si>
    <t>((2325-000-000)(000..999)(000..999))</t>
  </si>
  <si>
    <t>SOUSSE 2002</t>
  </si>
  <si>
    <t>2330-000-000</t>
  </si>
  <si>
    <t>((2330-000-000)(000..999)(000..999))</t>
  </si>
  <si>
    <t>LAUSANNE</t>
  </si>
  <si>
    <t>2335-000-000</t>
  </si>
  <si>
    <t>((2335-000-000)(000..999)(000..999))</t>
  </si>
  <si>
    <t>BIRMINGHAM 2003</t>
  </si>
  <si>
    <t>2340-000-000</t>
  </si>
  <si>
    <t>((2340-000-000)(000..999)(000..999))</t>
  </si>
  <si>
    <t>GABON 2003</t>
  </si>
  <si>
    <t>2345-000-000</t>
  </si>
  <si>
    <t>((2345-000-000)(000..999)(000..999))</t>
  </si>
  <si>
    <t>PENANG 2004</t>
  </si>
  <si>
    <t>2348-000-000</t>
  </si>
  <si>
    <t>((2348-000-000)(000..999)(000..999))</t>
  </si>
  <si>
    <t>MONACO-1998</t>
  </si>
  <si>
    <t>2410-000-000</t>
  </si>
  <si>
    <t>((2410-000-000)(000..999)(000..999))</t>
  </si>
  <si>
    <t>PAN-MAC (MACAU)-1998</t>
  </si>
  <si>
    <t>2415-000-000</t>
  </si>
  <si>
    <t>((2415-000-000)(000..999)(000..999))</t>
  </si>
  <si>
    <t>BOLIVIA-1998</t>
  </si>
  <si>
    <t>2420-000-000</t>
  </si>
  <si>
    <t>((2420-000-000)(000..999)(000..999))</t>
  </si>
  <si>
    <t>BALI (INDO)-1999</t>
  </si>
  <si>
    <t>2430-000-000</t>
  </si>
  <si>
    <t>((2430-000-000)(000..999)(000..999))</t>
  </si>
  <si>
    <t>JAKARTA (INDO)-1999</t>
  </si>
  <si>
    <t>2435-000-000</t>
  </si>
  <si>
    <t>((2435-000-000)(000..999)(000..999))</t>
  </si>
  <si>
    <t>KAOHSIUNG-2000</t>
  </si>
  <si>
    <t>2440-000-000</t>
  </si>
  <si>
    <t>((2440-000-000)(000..999)(000..999))</t>
  </si>
  <si>
    <t>MAURICE-1999</t>
  </si>
  <si>
    <t>2445-000-000</t>
  </si>
  <si>
    <t>((2445-000-000)(000..999)(000..999))</t>
  </si>
  <si>
    <t>GERMANY-1999</t>
  </si>
  <si>
    <t>2450-000-000</t>
  </si>
  <si>
    <t>((2450-000-000)(000..999)(000..999))</t>
  </si>
  <si>
    <t>PANAMA-1999</t>
  </si>
  <si>
    <t>2455-000-000</t>
  </si>
  <si>
    <t>((2455-000-000)(000..999)(000..999))</t>
  </si>
  <si>
    <t>NAIROBI - 2000</t>
  </si>
  <si>
    <t>2460-000-000</t>
  </si>
  <si>
    <t>((2460-000-000)(000..999)(000..999))</t>
  </si>
  <si>
    <t>OOSTENDE - 2000</t>
  </si>
  <si>
    <t>2465-000-000</t>
  </si>
  <si>
    <t>((2465-000-000)(000..999)(000..999))</t>
  </si>
  <si>
    <t>MALI - 2000</t>
  </si>
  <si>
    <t>2470-000-000</t>
  </si>
  <si>
    <t>((2470-000-000)(000..999)(000..999))</t>
  </si>
  <si>
    <t>CURITIBA - 2000</t>
  </si>
  <si>
    <t>2475-000-000</t>
  </si>
  <si>
    <t>((2475-000-000)(000..999)(000..999))</t>
  </si>
  <si>
    <t>TAMPERE-2001</t>
  </si>
  <si>
    <t>2480-000-000</t>
  </si>
  <si>
    <t>((2480-000-000)(000..999)(000..999))</t>
  </si>
  <si>
    <t>CAMEROUN-2001</t>
  </si>
  <si>
    <t>2485-000-000</t>
  </si>
  <si>
    <t>((2485-000-000)(000..999)(000..999))</t>
  </si>
  <si>
    <t>ATLANTA-2001</t>
  </si>
  <si>
    <t>2490-000-000</t>
  </si>
  <si>
    <t>((2490-000-000)(000..999)(000..999))</t>
  </si>
  <si>
    <t>TAEGU(KOREA)-2001</t>
  </si>
  <si>
    <t>2495-000-000</t>
  </si>
  <si>
    <t>((2495-000-000)(000..999)(000..999))</t>
  </si>
  <si>
    <t xml:space="preserve">          TOTAL CONFERENCE BID BONDS</t>
  </si>
  <si>
    <t xml:space="preserve">               TOTAL BID BONDS</t>
  </si>
  <si>
    <t>DEFERRED INCOME-SENATE</t>
  </si>
  <si>
    <t>2505-000-000</t>
  </si>
  <si>
    <t>((2505-000-000)(000..999)(000..999))</t>
  </si>
  <si>
    <t>DEFERRED INCOME-OTHER</t>
  </si>
  <si>
    <t>2515-000-000</t>
  </si>
  <si>
    <t>((2515-000-000)(000..999)(000..999))</t>
  </si>
  <si>
    <t xml:space="preserve">          TOTAL DEFERRED REVENUES</t>
  </si>
  <si>
    <t xml:space="preserve">               TOTAL LIABILITIES</t>
  </si>
  <si>
    <t>CAPITAL</t>
  </si>
  <si>
    <t>A/C REPAIRS</t>
  </si>
  <si>
    <t>3005-000-000</t>
  </si>
  <si>
    <t>((3005-000-000)(000..999)(000..999))</t>
  </si>
  <si>
    <t>BUILDING-GENERAL</t>
  </si>
  <si>
    <t>3010-000-000</t>
  </si>
  <si>
    <t>((3010-000-000)(000..999)(000..999))</t>
  </si>
  <si>
    <t>COMPUTER SYSTEM</t>
  </si>
  <si>
    <t>3015-000-000</t>
  </si>
  <si>
    <t>((3015-000-000)(000..999)(000..999))</t>
  </si>
  <si>
    <t>SECURITY SYSTEM-PARKING LOT</t>
  </si>
  <si>
    <t>3032-000-000</t>
  </si>
  <si>
    <t>((3032-000-000)(000..999)(000..999))</t>
  </si>
  <si>
    <t>NAGOYA AWARD FUND</t>
  </si>
  <si>
    <t>3035-000-000</t>
  </si>
  <si>
    <t>((3035-000-000)(000..999)(000..999))</t>
  </si>
  <si>
    <t>YOKOHAMA AWARD FUND</t>
  </si>
  <si>
    <t>3040-000-000</t>
  </si>
  <si>
    <t>((3040-000-000)(000..999)(000..999))</t>
  </si>
  <si>
    <t>JUNYA YOSHIDA FUND</t>
  </si>
  <si>
    <t>3045-000-000</t>
  </si>
  <si>
    <t>((3045-000-000)(000..999)(000..999))</t>
  </si>
  <si>
    <t>OPERATING SURPLUS RESERVE</t>
  </si>
  <si>
    <t>3130-000-000</t>
  </si>
  <si>
    <t>((3130-000-000)(000..999)(000..999))</t>
  </si>
  <si>
    <t xml:space="preserve">          TOTAL APPROPRIATED</t>
  </si>
  <si>
    <t>UNAPPROPRIATED SURPLUS</t>
  </si>
  <si>
    <t>3135-000-000</t>
  </si>
  <si>
    <t>((3135-000-000)(000..999)(000..999))</t>
  </si>
  <si>
    <t>NET INCOME/(LOSS)</t>
  </si>
  <si>
    <t xml:space="preserve">          UNAPPROPRIATED SURPLUS</t>
  </si>
  <si>
    <t>YTD ACTUAL</t>
  </si>
  <si>
    <t xml:space="preserve">               TOTAL CAPITAL</t>
  </si>
  <si>
    <t>PROFIT/LOSS</t>
  </si>
  <si>
    <t xml:space="preserve">                    TOTAL LIABILITIES &amp; CAPITAL</t>
  </si>
  <si>
    <t>FUND BALANCE</t>
  </si>
  <si>
    <t>ASSETS =</t>
  </si>
  <si>
    <t>LIABILITIES/CAPITAL</t>
  </si>
  <si>
    <t>2000..9999</t>
  </si>
  <si>
    <t>^-^-^((2000..9999)(000..999)(000..999))</t>
  </si>
  <si>
    <t>DIFF SHOULD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</si>
</sst>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_)"/>
    <numFmt numFmtId="173" formatCode="hh:mm:ss\ AM/PM_)"/>
    <numFmt numFmtId="174" formatCode="mm/dd/yy_)"/>
  </numFmts>
  <fonts count="9">
    <font>
      <sz val="8"/>
      <name val="AvantGarde"/>
    </font>
    <font>
      <b/>
      <sz val="8"/>
      <color indexed="8"/>
      <name val="Times New Roman"/>
      <family val="1"/>
    </font>
    <font>
      <sz val="8"/>
      <color indexed="8"/>
      <name val="AvantGarde"/>
    </font>
    <font>
      <sz val="8"/>
      <color indexed="8"/>
      <name val="Times New Roman"/>
      <family val="1"/>
    </font>
    <font>
      <b/>
      <u/>
      <sz val="8"/>
      <color indexed="8"/>
      <name val="Times New Roman"/>
      <family val="1"/>
    </font>
    <font>
      <b/>
      <i/>
      <u/>
      <sz val="8"/>
      <color indexed="8"/>
      <name val="Times New Roman"/>
      <family val="1"/>
    </font>
    <font>
      <u/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1">
    <xf numFmtId="37" fontId="0" fillId="0" borderId="0"/>
  </cellStyleXfs>
  <cellXfs count="29">
    <xf numFmtId="37" fontId="0" fillId="0" borderId="0" xfId="0"/>
    <xf numFmtId="37" fontId="1" fillId="0" borderId="0" xfId="0" applyNumberFormat="1" applyFont="1" applyProtection="1"/>
    <xf numFmtId="37" fontId="1" fillId="0" borderId="1" xfId="0" applyNumberFormat="1" applyFont="1" applyBorder="1" applyProtection="1"/>
    <xf numFmtId="39" fontId="1" fillId="0" borderId="2" xfId="0" applyNumberFormat="1" applyFont="1" applyBorder="1" applyProtection="1"/>
    <xf numFmtId="39" fontId="1" fillId="0" borderId="3" xfId="0" applyNumberFormat="1" applyFont="1" applyBorder="1" applyProtection="1"/>
    <xf numFmtId="37" fontId="2" fillId="0" borderId="0" xfId="0" applyNumberFormat="1" applyFont="1" applyProtection="1"/>
    <xf numFmtId="37" fontId="3" fillId="0" borderId="0" xfId="0" applyNumberFormat="1" applyFont="1" applyProtection="1"/>
    <xf numFmtId="37" fontId="1" fillId="0" borderId="4" xfId="0" applyNumberFormat="1" applyFont="1" applyBorder="1" applyProtection="1"/>
    <xf numFmtId="39" fontId="1" fillId="0" borderId="0" xfId="0" applyNumberFormat="1" applyFont="1" applyProtection="1"/>
    <xf numFmtId="39" fontId="1" fillId="0" borderId="5" xfId="0" applyNumberFormat="1" applyFont="1" applyBorder="1" applyProtection="1"/>
    <xf numFmtId="37" fontId="1" fillId="0" borderId="6" xfId="0" applyNumberFormat="1" applyFont="1" applyBorder="1" applyProtection="1"/>
    <xf numFmtId="37" fontId="1" fillId="0" borderId="7" xfId="0" applyNumberFormat="1" applyFont="1" applyBorder="1" applyProtection="1"/>
    <xf numFmtId="37" fontId="1" fillId="0" borderId="8" xfId="0" applyNumberFormat="1" applyFont="1" applyBorder="1" applyProtection="1"/>
    <xf numFmtId="39" fontId="3" fillId="0" borderId="0" xfId="0" applyNumberFormat="1" applyFont="1" applyProtection="1"/>
    <xf numFmtId="37" fontId="3" fillId="0" borderId="0" xfId="0" applyNumberFormat="1" applyFont="1" applyAlignment="1" applyProtection="1">
      <alignment horizontal="center"/>
    </xf>
    <xf numFmtId="37" fontId="3" fillId="0" borderId="9" xfId="0" applyNumberFormat="1" applyFont="1" applyBorder="1" applyProtection="1"/>
    <xf numFmtId="37" fontId="3" fillId="0" borderId="10" xfId="0" applyNumberFormat="1" applyFont="1" applyBorder="1" applyProtection="1"/>
    <xf numFmtId="37" fontId="3" fillId="0" borderId="0" xfId="0" applyNumberFormat="1" applyFont="1" applyAlignment="1" applyProtection="1">
      <alignment horizontal="right"/>
    </xf>
    <xf numFmtId="172" fontId="3" fillId="0" borderId="0" xfId="0" applyNumberFormat="1" applyFont="1" applyProtection="1"/>
    <xf numFmtId="173" fontId="3" fillId="0" borderId="0" xfId="0" applyNumberFormat="1" applyFont="1" applyProtection="1"/>
    <xf numFmtId="39" fontId="1" fillId="0" borderId="0" xfId="0" applyNumberFormat="1" applyFont="1" applyAlignment="1" applyProtection="1">
      <alignment horizontal="center"/>
    </xf>
    <xf numFmtId="37" fontId="1" fillId="0" borderId="0" xfId="0" applyNumberFormat="1" applyFont="1" applyAlignment="1" applyProtection="1">
      <alignment horizontal="center"/>
    </xf>
    <xf numFmtId="174" fontId="4" fillId="0" borderId="0" xfId="0" applyNumberFormat="1" applyFont="1" applyAlignment="1" applyProtection="1">
      <alignment horizontal="center"/>
    </xf>
    <xf numFmtId="39" fontId="4" fillId="0" borderId="0" xfId="0" applyNumberFormat="1" applyFont="1" applyAlignment="1" applyProtection="1">
      <alignment horizontal="center"/>
    </xf>
    <xf numFmtId="37" fontId="4" fillId="0" borderId="0" xfId="0" applyNumberFormat="1" applyFont="1" applyAlignment="1" applyProtection="1">
      <alignment horizontal="center"/>
    </xf>
    <xf numFmtId="37" fontId="5" fillId="0" borderId="0" xfId="0" applyNumberFormat="1" applyFont="1" applyProtection="1"/>
    <xf numFmtId="37" fontId="6" fillId="0" borderId="0" xfId="0" applyNumberFormat="1" applyFont="1" applyProtection="1"/>
    <xf numFmtId="37" fontId="7" fillId="0" borderId="0" xfId="0" applyNumberFormat="1" applyFont="1" applyProtection="1"/>
    <xf numFmtId="37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92AE-2491-4B47-BE83-013EF313D793}">
  <sheetPr transitionEvaluation="1"/>
  <dimension ref="A1:J317"/>
  <sheetViews>
    <sheetView tabSelected="1" defaultGridColor="0" colorId="22" zoomScale="87" workbookViewId="0">
      <selection activeCell="B2" sqref="B2"/>
    </sheetView>
  </sheetViews>
  <sheetFormatPr baseColWidth="10" defaultColWidth="15.83203125" defaultRowHeight="11.25"/>
  <cols>
    <col min="1" max="2" width="12.83203125" customWidth="1"/>
    <col min="3" max="5" width="10.83203125" customWidth="1"/>
    <col min="6" max="6" width="9.83203125" customWidth="1"/>
    <col min="9" max="10" width="7.83203125" customWidth="1"/>
    <col min="11" max="11" width="12.83203125" customWidth="1"/>
  </cols>
  <sheetData>
    <row r="1" spans="1:10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6"/>
      <c r="J1" s="6"/>
    </row>
    <row r="2" spans="1:10">
      <c r="A2" s="6"/>
      <c r="B2" s="7" t="s">
        <v>2</v>
      </c>
      <c r="C2" s="8"/>
      <c r="D2" s="8"/>
      <c r="E2" s="9"/>
      <c r="F2" s="5"/>
      <c r="G2" s="5"/>
      <c r="H2" s="5"/>
      <c r="I2" s="6"/>
      <c r="J2" s="6"/>
    </row>
    <row r="3" spans="1:10" ht="12" thickBot="1">
      <c r="A3" s="6"/>
      <c r="B3" s="10" t="s">
        <v>3</v>
      </c>
      <c r="C3" s="11"/>
      <c r="D3" s="11"/>
      <c r="E3" s="12"/>
      <c r="F3" s="5"/>
      <c r="G3" s="5"/>
      <c r="H3" s="5"/>
      <c r="I3" s="6"/>
      <c r="J3" s="6"/>
    </row>
    <row r="4" spans="1:10">
      <c r="A4" s="6"/>
      <c r="B4" s="6"/>
      <c r="C4" s="13"/>
      <c r="D4" s="13"/>
      <c r="E4" s="13"/>
      <c r="F4" s="5"/>
      <c r="G4" s="5"/>
      <c r="H4" s="5"/>
      <c r="I4" s="6"/>
      <c r="J4" s="6"/>
    </row>
    <row r="5" spans="1:10">
      <c r="A5" s="6"/>
      <c r="B5" s="6"/>
      <c r="C5" s="13"/>
      <c r="D5" s="13"/>
      <c r="E5" s="13"/>
      <c r="F5" s="6"/>
      <c r="G5" s="6"/>
      <c r="H5" s="6"/>
      <c r="I5" s="6"/>
      <c r="J5" s="6"/>
    </row>
    <row r="6" spans="1:10">
      <c r="A6" s="6"/>
      <c r="B6" s="13" t="s">
        <v>4</v>
      </c>
      <c r="C6" s="5"/>
      <c r="D6" s="14" t="s">
        <v>5</v>
      </c>
      <c r="E6" s="14" t="s">
        <v>6</v>
      </c>
      <c r="F6" s="6"/>
      <c r="G6" s="6"/>
      <c r="H6" s="6"/>
      <c r="I6" s="6"/>
      <c r="J6" s="6"/>
    </row>
    <row r="7" spans="1:10">
      <c r="A7" s="6"/>
      <c r="B7" s="6"/>
      <c r="C7" s="13"/>
      <c r="D7" s="6"/>
      <c r="E7" s="6"/>
      <c r="F7" s="6"/>
      <c r="G7" s="6"/>
      <c r="H7" s="6"/>
      <c r="I7" s="6"/>
      <c r="J7" s="6"/>
    </row>
    <row r="8" spans="1:10">
      <c r="A8" s="6" t="s">
        <v>7</v>
      </c>
      <c r="B8" s="6"/>
      <c r="C8" s="13"/>
      <c r="D8" s="6"/>
      <c r="E8" s="6"/>
      <c r="F8" s="6"/>
      <c r="G8" s="6"/>
      <c r="H8" s="6"/>
      <c r="I8" s="6"/>
      <c r="J8" s="6"/>
    </row>
    <row r="9" spans="1:10">
      <c r="A9" s="6" t="s">
        <v>8</v>
      </c>
      <c r="B9" s="6"/>
      <c r="C9" s="13"/>
      <c r="D9" s="6">
        <f>D83</f>
        <v>356950.8</v>
      </c>
      <c r="E9" s="6">
        <f>E83</f>
        <v>745552.61</v>
      </c>
      <c r="F9" s="6"/>
      <c r="G9" s="6"/>
      <c r="H9" s="6"/>
      <c r="I9" s="6"/>
      <c r="J9" s="6"/>
    </row>
    <row r="10" spans="1:10">
      <c r="A10" s="6" t="s">
        <v>9</v>
      </c>
      <c r="B10" s="6"/>
      <c r="C10" s="13"/>
      <c r="D10" s="6">
        <f>D96</f>
        <v>1408082.6099999999</v>
      </c>
      <c r="E10" s="6">
        <f>E96</f>
        <v>2163863.1799999997</v>
      </c>
      <c r="F10" s="6"/>
      <c r="G10" s="6"/>
      <c r="H10" s="6"/>
      <c r="I10" s="6"/>
      <c r="J10" s="6"/>
    </row>
    <row r="11" spans="1:10">
      <c r="A11" s="6" t="s">
        <v>10</v>
      </c>
      <c r="B11" s="6"/>
      <c r="C11" s="13"/>
      <c r="D11" s="6">
        <f>D98+D99+D102+D103+D104+D105+D106+D107+D109+D110+D111+D112+D113</f>
        <v>1326155.8799999999</v>
      </c>
      <c r="E11" s="6">
        <f>E98+E99+E102+E103+E104+E105+E106+E107+E109+E110+E111+E112+E113</f>
        <v>59643.920000000013</v>
      </c>
      <c r="F11" s="6"/>
      <c r="G11" s="6"/>
      <c r="H11" s="6"/>
      <c r="I11" s="6"/>
      <c r="J11" s="6"/>
    </row>
    <row r="12" spans="1:10">
      <c r="A12" s="6" t="s">
        <v>11</v>
      </c>
      <c r="B12" s="6"/>
      <c r="C12" s="13"/>
      <c r="D12" s="6">
        <f>D100+D101</f>
        <v>59418.659999999996</v>
      </c>
      <c r="E12" s="6">
        <f>E100+E101</f>
        <v>10724.49</v>
      </c>
      <c r="F12" s="6"/>
      <c r="G12" s="6"/>
      <c r="H12" s="6"/>
      <c r="I12" s="6"/>
      <c r="J12" s="6"/>
    </row>
    <row r="13" spans="1:10">
      <c r="A13" s="6" t="s">
        <v>12</v>
      </c>
      <c r="B13" s="6"/>
      <c r="C13" s="13"/>
      <c r="D13" s="6">
        <f>D108</f>
        <v>46642.5</v>
      </c>
      <c r="E13" s="6">
        <f>E108</f>
        <v>122159.2</v>
      </c>
      <c r="F13" s="6"/>
      <c r="G13" s="6"/>
      <c r="H13" s="6"/>
      <c r="I13" s="6"/>
      <c r="J13" s="6"/>
    </row>
    <row r="14" spans="1:10">
      <c r="A14" s="6" t="s">
        <v>13</v>
      </c>
      <c r="B14" s="6"/>
      <c r="C14" s="13"/>
      <c r="D14" s="6">
        <f>D132</f>
        <v>111116.55</v>
      </c>
      <c r="E14" s="6">
        <f>E132</f>
        <v>112233.37000000001</v>
      </c>
      <c r="F14" s="6"/>
      <c r="G14" s="6"/>
      <c r="H14" s="6"/>
      <c r="I14" s="6"/>
      <c r="J14" s="6"/>
    </row>
    <row r="15" spans="1:10">
      <c r="A15" s="6" t="s">
        <v>14</v>
      </c>
      <c r="B15" s="6"/>
      <c r="C15" s="13"/>
      <c r="D15" s="6">
        <f>D139+D144</f>
        <v>88355.89</v>
      </c>
      <c r="E15" s="6">
        <f>E139+E144</f>
        <v>101617.34000000001</v>
      </c>
      <c r="F15" s="6"/>
      <c r="G15" s="6"/>
      <c r="H15" s="6"/>
      <c r="I15" s="6"/>
      <c r="J15" s="6"/>
    </row>
    <row r="16" spans="1:10">
      <c r="A16" s="6" t="s">
        <v>15</v>
      </c>
      <c r="B16" s="6"/>
      <c r="C16" s="13"/>
      <c r="D16" s="15">
        <f>D152</f>
        <v>-6960.9799999999959</v>
      </c>
      <c r="E16" s="15">
        <f>E152</f>
        <v>-34121.53</v>
      </c>
      <c r="F16" s="6"/>
      <c r="G16" s="6"/>
      <c r="H16" s="6"/>
      <c r="I16" s="6"/>
      <c r="J16" s="6"/>
    </row>
    <row r="17" spans="1:10">
      <c r="A17" s="6"/>
      <c r="B17" s="6"/>
      <c r="C17" s="13"/>
      <c r="D17" s="6"/>
      <c r="E17" s="6"/>
      <c r="F17" s="6"/>
      <c r="G17" s="6"/>
      <c r="H17" s="6"/>
      <c r="I17" s="6"/>
      <c r="J17" s="6"/>
    </row>
    <row r="18" spans="1:10">
      <c r="A18" s="6" t="s">
        <v>16</v>
      </c>
      <c r="B18" s="6"/>
      <c r="C18" s="13"/>
      <c r="D18" s="15">
        <f>SUM(D8:D17)</f>
        <v>3389761.91</v>
      </c>
      <c r="E18" s="15">
        <f>SUM(E8:E17)</f>
        <v>3281672.58</v>
      </c>
      <c r="F18" s="6"/>
      <c r="G18" s="6"/>
      <c r="H18" s="6"/>
      <c r="I18" s="6"/>
      <c r="J18" s="6"/>
    </row>
    <row r="19" spans="1:10">
      <c r="A19" s="6"/>
      <c r="B19" s="6"/>
      <c r="C19" s="13"/>
      <c r="D19" s="6"/>
      <c r="E19" s="6"/>
      <c r="F19" s="6"/>
      <c r="G19" s="6"/>
      <c r="H19" s="6"/>
      <c r="I19" s="6"/>
      <c r="J19" s="6"/>
    </row>
    <row r="20" spans="1:10">
      <c r="A20" s="6" t="s">
        <v>17</v>
      </c>
      <c r="B20" s="6"/>
      <c r="C20" s="13"/>
      <c r="D20" s="6"/>
      <c r="E20" s="6"/>
      <c r="F20" s="6"/>
      <c r="G20" s="6"/>
      <c r="H20" s="6"/>
      <c r="I20" s="6"/>
      <c r="J20" s="6"/>
    </row>
    <row r="21" spans="1:10">
      <c r="A21" s="6" t="s">
        <v>18</v>
      </c>
      <c r="B21" s="6"/>
      <c r="C21" s="13"/>
      <c r="D21" s="15"/>
      <c r="E21" s="15"/>
      <c r="F21" s="6"/>
      <c r="G21" s="6"/>
      <c r="H21" s="6"/>
      <c r="I21" s="6"/>
      <c r="J21" s="6"/>
    </row>
    <row r="22" spans="1:10">
      <c r="A22" s="6" t="s">
        <v>19</v>
      </c>
      <c r="B22" s="6"/>
      <c r="C22" s="13"/>
      <c r="D22" s="6">
        <f>SUM(D19:D21)</f>
        <v>0</v>
      </c>
      <c r="E22" s="6">
        <f>SUM(E19:E21)</f>
        <v>0</v>
      </c>
      <c r="F22" s="6"/>
      <c r="G22" s="6"/>
      <c r="H22" s="6"/>
      <c r="I22" s="6"/>
      <c r="J22" s="6"/>
    </row>
    <row r="23" spans="1:10">
      <c r="A23" s="6"/>
      <c r="B23" s="6"/>
      <c r="C23" s="13"/>
      <c r="D23" s="6"/>
      <c r="E23" s="6"/>
      <c r="F23" s="6"/>
      <c r="G23" s="6"/>
      <c r="H23" s="6"/>
      <c r="I23" s="6"/>
      <c r="J23" s="6"/>
    </row>
    <row r="24" spans="1:10">
      <c r="A24" s="6" t="s">
        <v>20</v>
      </c>
      <c r="B24" s="6"/>
      <c r="C24" s="13"/>
      <c r="D24" s="6"/>
      <c r="E24" s="6"/>
      <c r="F24" s="6"/>
      <c r="G24" s="6"/>
      <c r="H24" s="6"/>
      <c r="I24" s="6"/>
      <c r="J24" s="6"/>
    </row>
    <row r="25" spans="1:10">
      <c r="A25" s="6" t="s">
        <v>21</v>
      </c>
      <c r="B25" s="6"/>
      <c r="C25" s="13"/>
      <c r="D25" s="6">
        <f>D156</f>
        <v>63712.95</v>
      </c>
      <c r="E25" s="6">
        <f>E156</f>
        <v>63712.95</v>
      </c>
      <c r="F25" s="6"/>
      <c r="G25" s="6"/>
      <c r="H25" s="6"/>
      <c r="I25" s="6"/>
      <c r="J25" s="6"/>
    </row>
    <row r="26" spans="1:10">
      <c r="A26" s="6" t="s">
        <v>22</v>
      </c>
      <c r="B26" s="6"/>
      <c r="C26" s="13"/>
      <c r="D26" s="6">
        <f>D155+D157+D158+D159+D160</f>
        <v>1450653.37</v>
      </c>
      <c r="E26" s="6">
        <f>E155+E157+E158+E159+E160</f>
        <v>1450653.37</v>
      </c>
      <c r="F26" s="6"/>
      <c r="G26" s="6"/>
      <c r="H26" s="6"/>
      <c r="I26" s="6"/>
      <c r="J26" s="6"/>
    </row>
    <row r="27" spans="1:10">
      <c r="A27" s="6" t="s">
        <v>23</v>
      </c>
      <c r="B27" s="6"/>
      <c r="C27" s="13"/>
      <c r="D27" s="6"/>
      <c r="E27" s="6"/>
      <c r="F27" s="6"/>
      <c r="G27" s="6"/>
      <c r="H27" s="6"/>
      <c r="I27" s="6"/>
      <c r="J27" s="6"/>
    </row>
    <row r="28" spans="1:10">
      <c r="A28" s="6" t="s">
        <v>24</v>
      </c>
      <c r="B28" s="6"/>
      <c r="C28" s="13"/>
      <c r="D28" s="15">
        <f>D161</f>
        <v>373938.32</v>
      </c>
      <c r="E28" s="15">
        <f>E161</f>
        <v>367571.27</v>
      </c>
      <c r="F28" s="6"/>
      <c r="G28" s="6"/>
      <c r="H28" s="6"/>
      <c r="I28" s="6"/>
      <c r="J28" s="6"/>
    </row>
    <row r="29" spans="1:10">
      <c r="A29" s="6"/>
      <c r="B29" s="6"/>
      <c r="C29" s="13"/>
      <c r="D29" s="6"/>
      <c r="E29" s="6"/>
      <c r="F29" s="6"/>
      <c r="G29" s="6"/>
      <c r="H29" s="6"/>
      <c r="I29" s="6"/>
      <c r="J29" s="6"/>
    </row>
    <row r="30" spans="1:10">
      <c r="A30" s="6" t="s">
        <v>25</v>
      </c>
      <c r="B30" s="6"/>
      <c r="C30" s="13"/>
      <c r="D30" s="6">
        <f>SUM(D24:D29)</f>
        <v>1888304.6400000001</v>
      </c>
      <c r="E30" s="6">
        <f>SUM(E24:E29)</f>
        <v>1881937.59</v>
      </c>
      <c r="F30" s="6"/>
      <c r="G30" s="6"/>
      <c r="H30" s="6"/>
      <c r="I30" s="6"/>
      <c r="J30" s="6"/>
    </row>
    <row r="31" spans="1:10">
      <c r="A31" s="6"/>
      <c r="B31" s="6"/>
      <c r="C31" s="13"/>
      <c r="D31" s="6"/>
      <c r="E31" s="6"/>
      <c r="F31" s="6"/>
      <c r="G31" s="6"/>
      <c r="H31" s="6"/>
      <c r="I31" s="6"/>
      <c r="J31" s="6"/>
    </row>
    <row r="32" spans="1:10">
      <c r="A32" s="6" t="s">
        <v>26</v>
      </c>
      <c r="B32" s="6"/>
      <c r="C32" s="13"/>
      <c r="D32" s="15">
        <f>D170</f>
        <v>-1433439.4300000002</v>
      </c>
      <c r="E32" s="15">
        <f>E170</f>
        <v>-1343022.67</v>
      </c>
      <c r="F32" s="6"/>
      <c r="G32" s="6"/>
      <c r="H32" s="6"/>
      <c r="I32" s="6"/>
      <c r="J32" s="6"/>
    </row>
    <row r="33" spans="1:10">
      <c r="A33" s="6"/>
      <c r="B33" s="6"/>
      <c r="C33" s="13"/>
      <c r="D33" s="6"/>
      <c r="E33" s="6"/>
      <c r="F33" s="6"/>
      <c r="G33" s="6"/>
      <c r="H33" s="6"/>
      <c r="I33" s="6"/>
      <c r="J33" s="6"/>
    </row>
    <row r="34" spans="1:10">
      <c r="A34" s="6" t="s">
        <v>27</v>
      </c>
      <c r="B34" s="6"/>
      <c r="C34" s="13"/>
      <c r="D34" s="6">
        <f>D30+D32</f>
        <v>454865.20999999996</v>
      </c>
      <c r="E34" s="6">
        <f>E30+E32</f>
        <v>538914.92000000016</v>
      </c>
      <c r="F34" s="6"/>
      <c r="G34" s="6"/>
      <c r="H34" s="6"/>
      <c r="I34" s="6"/>
      <c r="J34" s="6"/>
    </row>
    <row r="35" spans="1:10">
      <c r="A35" s="6"/>
      <c r="B35" s="6"/>
      <c r="C35" s="13"/>
      <c r="D35" s="6"/>
      <c r="E35" s="6"/>
      <c r="F35" s="6"/>
      <c r="G35" s="6"/>
      <c r="H35" s="6"/>
      <c r="I35" s="6"/>
      <c r="J35" s="6"/>
    </row>
    <row r="36" spans="1:10">
      <c r="A36" s="6" t="s">
        <v>28</v>
      </c>
      <c r="B36" s="6"/>
      <c r="C36" s="13"/>
      <c r="D36" s="15">
        <f>D175</f>
        <v>9087.3999999999651</v>
      </c>
      <c r="E36" s="15">
        <f>E175</f>
        <v>9087.3999999999651</v>
      </c>
      <c r="F36" s="6"/>
      <c r="G36" s="6"/>
      <c r="H36" s="6"/>
      <c r="I36" s="6"/>
      <c r="J36" s="6"/>
    </row>
    <row r="37" spans="1:10">
      <c r="A37" s="6"/>
      <c r="B37" s="6"/>
      <c r="C37" s="13"/>
      <c r="D37" s="6"/>
      <c r="E37" s="6"/>
      <c r="F37" s="6"/>
      <c r="G37" s="6"/>
      <c r="H37" s="6"/>
      <c r="I37" s="6"/>
      <c r="J37" s="6"/>
    </row>
    <row r="38" spans="1:10" ht="12" thickBot="1">
      <c r="A38" s="6" t="s">
        <v>29</v>
      </c>
      <c r="B38" s="6"/>
      <c r="C38" s="13"/>
      <c r="D38" s="16">
        <f>D18+D22+D34+D36</f>
        <v>3853714.52</v>
      </c>
      <c r="E38" s="16">
        <f>E18+E22+E34+E36</f>
        <v>3829674.9</v>
      </c>
      <c r="F38" s="6"/>
      <c r="G38" s="6"/>
      <c r="H38" s="6"/>
      <c r="I38" s="6"/>
      <c r="J38" s="6"/>
    </row>
    <row r="39" spans="1:10" ht="12" thickTop="1">
      <c r="A39" s="6"/>
      <c r="B39" s="6"/>
      <c r="C39" s="13"/>
      <c r="D39" s="6"/>
      <c r="E39" s="6"/>
      <c r="F39" s="6"/>
      <c r="G39" s="6"/>
      <c r="H39" s="6"/>
      <c r="I39" s="6"/>
      <c r="J39" s="6"/>
    </row>
    <row r="40" spans="1:10">
      <c r="A40" s="6"/>
      <c r="B40" s="13" t="s">
        <v>30</v>
      </c>
      <c r="C40" s="5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13"/>
      <c r="D41" s="6"/>
      <c r="E41" s="6"/>
      <c r="F41" s="6"/>
      <c r="G41" s="6"/>
      <c r="H41" s="6"/>
      <c r="I41" s="6"/>
      <c r="J41" s="6"/>
    </row>
    <row r="42" spans="1:10">
      <c r="A42" s="6" t="s">
        <v>31</v>
      </c>
      <c r="B42" s="6"/>
      <c r="C42" s="13"/>
      <c r="D42" s="6"/>
      <c r="E42" s="6"/>
      <c r="F42" s="6"/>
      <c r="G42" s="6"/>
      <c r="H42" s="6"/>
      <c r="I42" s="6"/>
      <c r="J42" s="6"/>
    </row>
    <row r="43" spans="1:10">
      <c r="A43" s="6" t="s">
        <v>32</v>
      </c>
      <c r="B43" s="6"/>
      <c r="C43" s="13"/>
      <c r="D43" s="6">
        <f>D183+D184+D185+D187+D188+D189+D190+D191+D192+D193+D194+D195+D196+D197+D198</f>
        <v>52609.15</v>
      </c>
      <c r="E43" s="6">
        <f>E183+E184+E185+E187+E188+E189+E190+E191+E192+E193+E194+E195+E196+E197+E198</f>
        <v>96924.13</v>
      </c>
      <c r="F43" s="6"/>
      <c r="G43" s="6"/>
      <c r="H43" s="6"/>
      <c r="I43" s="6"/>
      <c r="J43" s="6"/>
    </row>
    <row r="44" spans="1:10">
      <c r="A44" s="6" t="s">
        <v>33</v>
      </c>
      <c r="B44" s="6"/>
      <c r="C44" s="13"/>
      <c r="D44" s="6">
        <f>D209</f>
        <v>80844.56</v>
      </c>
      <c r="E44" s="6">
        <f>E209</f>
        <v>190933.05999999997</v>
      </c>
      <c r="F44" s="6"/>
      <c r="G44" s="6"/>
      <c r="H44" s="6"/>
      <c r="I44" s="6"/>
      <c r="J44" s="6"/>
    </row>
    <row r="45" spans="1:10">
      <c r="A45" s="6" t="s">
        <v>34</v>
      </c>
      <c r="B45" s="6"/>
      <c r="C45" s="13"/>
      <c r="D45" s="6">
        <f>D186</f>
        <v>0</v>
      </c>
      <c r="E45" s="6">
        <f>E186</f>
        <v>34750</v>
      </c>
      <c r="F45" s="6"/>
      <c r="G45" s="6"/>
      <c r="H45" s="6"/>
      <c r="I45" s="6"/>
      <c r="J45" s="6"/>
    </row>
    <row r="46" spans="1:10">
      <c r="A46" s="6" t="s">
        <v>35</v>
      </c>
      <c r="B46" s="6"/>
      <c r="C46" s="13"/>
      <c r="D46" s="6">
        <f>D221+D253</f>
        <v>102944.04000000001</v>
      </c>
      <c r="E46" s="6">
        <f>E221+E253</f>
        <v>112107.73</v>
      </c>
      <c r="F46" s="6"/>
      <c r="G46" s="6"/>
      <c r="H46" s="6"/>
      <c r="I46" s="6"/>
      <c r="J46" s="6"/>
    </row>
    <row r="47" spans="1:10">
      <c r="A47" s="6" t="s">
        <v>36</v>
      </c>
      <c r="B47" s="6"/>
      <c r="C47" s="13"/>
      <c r="D47" s="15">
        <f>D260</f>
        <v>12808.2</v>
      </c>
      <c r="E47" s="15">
        <f>E260</f>
        <v>26004.2</v>
      </c>
      <c r="F47" s="6"/>
      <c r="G47" s="6"/>
      <c r="H47" s="6"/>
      <c r="I47" s="6"/>
      <c r="J47" s="6"/>
    </row>
    <row r="48" spans="1:10">
      <c r="A48" s="6"/>
      <c r="B48" s="6"/>
      <c r="C48" s="13"/>
      <c r="D48" s="6"/>
      <c r="E48" s="6"/>
      <c r="F48" s="6"/>
      <c r="G48" s="6"/>
      <c r="H48" s="6"/>
      <c r="I48" s="6"/>
      <c r="J48" s="6"/>
    </row>
    <row r="49" spans="1:10">
      <c r="A49" s="6" t="s">
        <v>37</v>
      </c>
      <c r="B49" s="6"/>
      <c r="C49" s="13"/>
      <c r="D49" s="15">
        <f>SUM(D42:D47)</f>
        <v>249205.95</v>
      </c>
      <c r="E49" s="15">
        <f>SUM(E42:E47)</f>
        <v>460719.11999999994</v>
      </c>
      <c r="F49" s="6"/>
      <c r="G49" s="6"/>
      <c r="H49" s="6"/>
      <c r="I49" s="6"/>
      <c r="J49" s="6"/>
    </row>
    <row r="50" spans="1:10">
      <c r="A50" s="6"/>
      <c r="B50" s="6"/>
      <c r="C50" s="13"/>
      <c r="D50" s="6"/>
      <c r="E50" s="6"/>
      <c r="F50" s="6"/>
      <c r="G50" s="6"/>
      <c r="H50" s="6"/>
      <c r="I50" s="6"/>
      <c r="J50" s="6"/>
    </row>
    <row r="51" spans="1:10">
      <c r="A51" s="6" t="s">
        <v>38</v>
      </c>
      <c r="B51" s="6"/>
      <c r="C51" s="13"/>
      <c r="D51" s="6"/>
      <c r="E51" s="6"/>
      <c r="F51" s="6"/>
      <c r="G51" s="6"/>
      <c r="H51" s="6"/>
      <c r="I51" s="6"/>
      <c r="J51" s="6"/>
    </row>
    <row r="52" spans="1:10">
      <c r="A52" s="6" t="s">
        <v>39</v>
      </c>
      <c r="B52" s="6"/>
      <c r="C52" s="13"/>
      <c r="D52" s="6">
        <f>-D273+D275+D277</f>
        <v>3320635.63</v>
      </c>
      <c r="E52" s="6">
        <f>-E273+E275+E277</f>
        <v>3246042.0300000003</v>
      </c>
      <c r="F52" s="6"/>
      <c r="G52" s="6"/>
      <c r="H52" s="6"/>
      <c r="I52" s="6"/>
      <c r="J52" s="6"/>
    </row>
    <row r="53" spans="1:10">
      <c r="A53" s="6" t="s">
        <v>40</v>
      </c>
      <c r="B53" s="6"/>
      <c r="C53" s="13"/>
      <c r="D53" s="6"/>
      <c r="E53" s="6"/>
      <c r="F53" s="6"/>
      <c r="G53" s="6"/>
      <c r="H53" s="6"/>
      <c r="I53" s="6"/>
      <c r="J53" s="6"/>
    </row>
    <row r="54" spans="1:10">
      <c r="A54" s="6" t="s">
        <v>41</v>
      </c>
      <c r="B54" s="6"/>
      <c r="C54" s="13"/>
      <c r="D54" s="6">
        <f>D273</f>
        <v>47940.15</v>
      </c>
      <c r="E54" s="6">
        <f>E273</f>
        <v>47940.15</v>
      </c>
      <c r="F54" s="6"/>
      <c r="G54" s="6"/>
      <c r="H54" s="6"/>
      <c r="I54" s="6"/>
      <c r="J54" s="6"/>
    </row>
    <row r="55" spans="1:10">
      <c r="A55" s="6" t="s">
        <v>42</v>
      </c>
      <c r="B55" s="6"/>
      <c r="C55" s="13"/>
      <c r="D55" s="15">
        <f>D278</f>
        <v>235932.79</v>
      </c>
      <c r="E55" s="15">
        <f>E278</f>
        <v>74593.600000000006</v>
      </c>
      <c r="F55" s="6"/>
      <c r="G55" s="6"/>
      <c r="H55" s="6"/>
      <c r="I55" s="6"/>
      <c r="J55" s="6"/>
    </row>
    <row r="56" spans="1:10">
      <c r="A56" s="6" t="s">
        <v>43</v>
      </c>
      <c r="B56" s="6"/>
      <c r="C56" s="13"/>
      <c r="D56" s="6"/>
      <c r="E56" s="6"/>
      <c r="F56" s="6"/>
      <c r="G56" s="6"/>
      <c r="H56" s="6"/>
      <c r="I56" s="6"/>
      <c r="J56" s="6"/>
    </row>
    <row r="57" spans="1:10">
      <c r="A57" s="6" t="s">
        <v>44</v>
      </c>
      <c r="B57" s="6"/>
      <c r="C57" s="13"/>
      <c r="D57" s="15">
        <f>SUM(D51:D56)</f>
        <v>3604508.57</v>
      </c>
      <c r="E57" s="15">
        <f>SUM(E51:E56)</f>
        <v>3368575.7800000003</v>
      </c>
      <c r="F57" s="6"/>
      <c r="G57" s="6"/>
      <c r="H57" s="6"/>
      <c r="I57" s="6"/>
      <c r="J57" s="6"/>
    </row>
    <row r="58" spans="1:10">
      <c r="A58" s="6"/>
      <c r="B58" s="6"/>
      <c r="C58" s="13"/>
      <c r="D58" s="6"/>
      <c r="E58" s="6"/>
      <c r="F58" s="6"/>
      <c r="G58" s="6"/>
      <c r="H58" s="6"/>
      <c r="I58" s="6"/>
      <c r="J58" s="6"/>
    </row>
    <row r="59" spans="1:10" ht="12" thickBot="1">
      <c r="A59" s="6" t="s">
        <v>45</v>
      </c>
      <c r="B59" s="6"/>
      <c r="C59" s="13"/>
      <c r="D59" s="16">
        <f>D49+D57</f>
        <v>3853714.52</v>
      </c>
      <c r="E59" s="16">
        <f>E49+E57</f>
        <v>3829294.9000000004</v>
      </c>
      <c r="F59" s="6"/>
      <c r="G59" s="6"/>
      <c r="H59" s="6"/>
      <c r="I59" s="6"/>
      <c r="J59" s="6"/>
    </row>
    <row r="60" spans="1:10" ht="12" thickTop="1">
      <c r="A60" s="6"/>
      <c r="B60" s="6"/>
      <c r="C60" s="13"/>
      <c r="D60" s="6"/>
      <c r="E60" s="6"/>
      <c r="F60" s="6"/>
      <c r="G60" s="6"/>
      <c r="H60" s="6"/>
      <c r="I60" s="6"/>
      <c r="J60" s="6"/>
    </row>
    <row r="61" spans="1:10">
      <c r="A61" s="6"/>
      <c r="B61" s="6"/>
      <c r="C61" s="13"/>
      <c r="D61" s="13"/>
      <c r="E61" s="13"/>
      <c r="F61" s="6"/>
      <c r="G61" s="6"/>
      <c r="H61" s="6"/>
      <c r="I61" s="6"/>
      <c r="J61" s="6"/>
    </row>
    <row r="62" spans="1:10">
      <c r="A62" s="6"/>
      <c r="B62" s="6"/>
      <c r="C62" s="13"/>
      <c r="D62" s="13"/>
      <c r="E62" s="13"/>
      <c r="F62" s="6"/>
      <c r="G62" s="17" t="s">
        <v>46</v>
      </c>
      <c r="H62" s="6" t="s">
        <v>47</v>
      </c>
      <c r="I62" s="6" t="s">
        <v>48</v>
      </c>
      <c r="J62" s="6"/>
    </row>
    <row r="63" spans="1:10">
      <c r="A63" s="6"/>
      <c r="B63" s="6"/>
      <c r="C63" s="13"/>
      <c r="D63" s="13"/>
      <c r="E63" s="13"/>
      <c r="F63" s="6"/>
      <c r="G63" s="18">
        <f ca="1">NOW()</f>
        <v>46056.576549537036</v>
      </c>
      <c r="H63" s="6" t="s">
        <v>49</v>
      </c>
      <c r="I63" s="6" t="s">
        <v>48</v>
      </c>
      <c r="J63" s="6"/>
    </row>
    <row r="64" spans="1:10">
      <c r="A64" s="6"/>
      <c r="B64" s="6"/>
      <c r="C64" s="13"/>
      <c r="D64" s="13"/>
      <c r="E64" s="13"/>
      <c r="F64" s="6"/>
      <c r="G64" s="19">
        <f ca="1">NOW()</f>
        <v>46056.576549537036</v>
      </c>
      <c r="H64" s="6" t="s">
        <v>50</v>
      </c>
      <c r="I64" s="6" t="s">
        <v>51</v>
      </c>
      <c r="J64" s="6"/>
    </row>
    <row r="65" spans="1:10">
      <c r="A65" s="6"/>
      <c r="B65" s="6"/>
      <c r="C65" s="13"/>
      <c r="D65" s="13"/>
      <c r="E65" s="13"/>
      <c r="F65" s="6"/>
      <c r="G65" s="6"/>
      <c r="H65" s="6" t="s">
        <v>52</v>
      </c>
      <c r="I65" s="6" t="s">
        <v>53</v>
      </c>
      <c r="J65" s="6"/>
    </row>
    <row r="66" spans="1:10">
      <c r="A66" s="6"/>
      <c r="B66" s="6"/>
      <c r="C66" s="13"/>
      <c r="D66" s="13"/>
      <c r="E66" s="13"/>
      <c r="F66" s="6"/>
      <c r="G66" s="6"/>
      <c r="H66" s="6"/>
      <c r="I66" s="6"/>
      <c r="J66" s="6"/>
    </row>
    <row r="67" spans="1:10">
      <c r="A67" s="6"/>
      <c r="B67" s="6"/>
      <c r="C67" s="13"/>
      <c r="D67" s="13"/>
      <c r="E67" s="13"/>
      <c r="F67" s="6"/>
      <c r="G67" s="6" t="s">
        <v>54</v>
      </c>
      <c r="H67" s="6" t="s">
        <v>55</v>
      </c>
      <c r="I67" s="6"/>
      <c r="J67" s="6"/>
    </row>
    <row r="68" spans="1:10">
      <c r="A68" s="6"/>
      <c r="B68" s="6"/>
      <c r="C68" s="13"/>
      <c r="D68" s="13"/>
      <c r="E68" s="13"/>
      <c r="F68" s="6"/>
      <c r="G68" s="6" t="s">
        <v>56</v>
      </c>
      <c r="H68" s="6" t="s">
        <v>57</v>
      </c>
      <c r="I68" s="6"/>
      <c r="J68" s="6"/>
    </row>
    <row r="69" spans="1:10">
      <c r="A69" s="6"/>
      <c r="B69" s="6"/>
      <c r="C69" s="20" t="s">
        <v>58</v>
      </c>
      <c r="D69" s="20" t="s">
        <v>59</v>
      </c>
      <c r="E69" s="20" t="s">
        <v>60</v>
      </c>
      <c r="F69" s="21"/>
      <c r="G69" s="6" t="s">
        <v>61</v>
      </c>
      <c r="H69" s="6" t="s">
        <v>62</v>
      </c>
      <c r="I69" s="6"/>
      <c r="J69" s="6"/>
    </row>
    <row r="70" spans="1:10">
      <c r="A70" s="6"/>
      <c r="B70" s="6"/>
      <c r="C70" s="22">
        <v>912</v>
      </c>
      <c r="D70" s="22">
        <v>912</v>
      </c>
      <c r="E70" s="23" t="s">
        <v>63</v>
      </c>
      <c r="F70" s="24"/>
      <c r="G70" s="6" t="s">
        <v>64</v>
      </c>
      <c r="H70" s="6" t="s">
        <v>65</v>
      </c>
      <c r="I70" s="6"/>
      <c r="J70" s="6"/>
    </row>
    <row r="71" spans="1:10">
      <c r="A71" s="6"/>
      <c r="B71" s="6"/>
      <c r="C71" s="13"/>
      <c r="D71" s="13"/>
      <c r="E71" s="13"/>
      <c r="F71" s="6"/>
      <c r="G71" s="6" t="s">
        <v>66</v>
      </c>
      <c r="H71" s="6" t="s">
        <v>67</v>
      </c>
      <c r="I71" s="6"/>
      <c r="J71" s="6"/>
    </row>
    <row r="72" spans="1:10">
      <c r="A72" s="25" t="s">
        <v>68</v>
      </c>
      <c r="B72" s="6"/>
      <c r="C72" s="6"/>
      <c r="D72" s="6" t="s">
        <v>69</v>
      </c>
      <c r="E72" s="6" t="s">
        <v>69</v>
      </c>
      <c r="F72" s="6"/>
      <c r="G72" s="6" t="s">
        <v>70</v>
      </c>
      <c r="H72" s="6"/>
      <c r="I72" s="6"/>
      <c r="J72" s="6"/>
    </row>
    <row r="73" spans="1:10">
      <c r="A73" s="6"/>
      <c r="B73" s="6"/>
      <c r="C73" s="6" t="s">
        <v>69</v>
      </c>
      <c r="D73" s="6"/>
      <c r="E73" s="6"/>
      <c r="F73" s="6"/>
      <c r="G73" s="6" t="s">
        <v>71</v>
      </c>
      <c r="H73" s="6" t="s">
        <v>72</v>
      </c>
      <c r="I73" s="6"/>
      <c r="J73" s="6"/>
    </row>
    <row r="74" spans="1:10">
      <c r="A74" s="6" t="s">
        <v>73</v>
      </c>
      <c r="B74" s="6"/>
      <c r="C74" s="6">
        <f>0</f>
        <v>0</v>
      </c>
      <c r="D74" s="6">
        <f>700</f>
        <v>700</v>
      </c>
      <c r="E74" s="6">
        <f>1080</f>
        <v>1080</v>
      </c>
      <c r="F74" s="6"/>
      <c r="G74" s="6" t="s">
        <v>74</v>
      </c>
      <c r="H74" s="6" t="s">
        <v>75</v>
      </c>
      <c r="I74" s="17" t="s">
        <v>76</v>
      </c>
      <c r="J74" s="6"/>
    </row>
    <row r="75" spans="1:10">
      <c r="A75" s="6" t="s">
        <v>77</v>
      </c>
      <c r="B75" s="6"/>
      <c r="C75" s="6">
        <f>0</f>
        <v>0</v>
      </c>
      <c r="D75" s="6">
        <f>33654.45</f>
        <v>33654.449999999997</v>
      </c>
      <c r="E75" s="6">
        <f>33654.45</f>
        <v>33654.449999999997</v>
      </c>
      <c r="F75" s="6"/>
      <c r="G75" s="6" t="s">
        <v>78</v>
      </c>
      <c r="H75" s="6" t="s">
        <v>79</v>
      </c>
      <c r="I75" s="6"/>
      <c r="J75" s="6"/>
    </row>
    <row r="76" spans="1:10">
      <c r="A76" s="6" t="s">
        <v>80</v>
      </c>
      <c r="B76" s="6"/>
      <c r="C76" s="6">
        <f>0</f>
        <v>0</v>
      </c>
      <c r="D76" s="6">
        <f>-33654.45</f>
        <v>-33654.449999999997</v>
      </c>
      <c r="E76" s="6">
        <f>-33654.45</f>
        <v>-33654.449999999997</v>
      </c>
      <c r="F76" s="6"/>
      <c r="G76" s="6" t="s">
        <v>81</v>
      </c>
      <c r="H76" s="6" t="s">
        <v>82</v>
      </c>
      <c r="I76" s="6"/>
      <c r="J76" s="6"/>
    </row>
    <row r="77" spans="1:10">
      <c r="A77" s="6" t="s">
        <v>83</v>
      </c>
      <c r="B77" s="6"/>
      <c r="C77" s="6">
        <f>-33071.43</f>
        <v>-33071.43</v>
      </c>
      <c r="D77" s="6">
        <f>105041.72</f>
        <v>105041.72</v>
      </c>
      <c r="E77" s="6">
        <f>-21859.58</f>
        <v>-21859.58</v>
      </c>
      <c r="F77" s="6"/>
      <c r="G77" s="6" t="s">
        <v>84</v>
      </c>
      <c r="H77" s="6" t="s">
        <v>85</v>
      </c>
      <c r="I77" s="6"/>
      <c r="J77" s="6"/>
    </row>
    <row r="78" spans="1:10">
      <c r="A78" s="6" t="s">
        <v>86</v>
      </c>
      <c r="B78" s="6"/>
      <c r="C78" s="6">
        <f>0</f>
        <v>0</v>
      </c>
      <c r="D78" s="6">
        <f>0</f>
        <v>0</v>
      </c>
      <c r="E78" s="6">
        <f>17798.99</f>
        <v>17798.990000000002</v>
      </c>
      <c r="F78" s="6"/>
      <c r="G78" s="6" t="s">
        <v>87</v>
      </c>
      <c r="H78" s="6" t="s">
        <v>88</v>
      </c>
      <c r="I78" s="6"/>
      <c r="J78" s="6"/>
    </row>
    <row r="79" spans="1:10">
      <c r="A79" s="6" t="s">
        <v>89</v>
      </c>
      <c r="B79" s="6"/>
      <c r="C79" s="6">
        <f>0</f>
        <v>0</v>
      </c>
      <c r="D79" s="6">
        <f>-2205.94</f>
        <v>-2205.94</v>
      </c>
      <c r="E79" s="6">
        <f>900</f>
        <v>900</v>
      </c>
      <c r="F79" s="6"/>
      <c r="G79" s="6" t="s">
        <v>90</v>
      </c>
      <c r="H79" s="6" t="s">
        <v>91</v>
      </c>
      <c r="I79" s="6"/>
      <c r="J79" s="6"/>
    </row>
    <row r="80" spans="1:10">
      <c r="A80" s="6" t="s">
        <v>92</v>
      </c>
      <c r="B80" s="6"/>
      <c r="C80" s="6">
        <f>0</f>
        <v>0</v>
      </c>
      <c r="D80" s="6">
        <f>-6945.61</f>
        <v>-6945.61</v>
      </c>
      <c r="E80" s="6">
        <f>4527.51</f>
        <v>4527.51</v>
      </c>
      <c r="F80" s="6"/>
      <c r="G80" s="6" t="s">
        <v>93</v>
      </c>
      <c r="H80" s="6" t="s">
        <v>94</v>
      </c>
      <c r="I80" s="6"/>
      <c r="J80" s="6"/>
    </row>
    <row r="81" spans="1:10">
      <c r="A81" s="6" t="s">
        <v>95</v>
      </c>
      <c r="B81" s="6"/>
      <c r="C81" s="6">
        <f>0</f>
        <v>0</v>
      </c>
      <c r="D81" s="6">
        <f>92421.7</f>
        <v>92421.7</v>
      </c>
      <c r="E81" s="6">
        <f>743105.69</f>
        <v>743105.69</v>
      </c>
      <c r="F81" s="6"/>
      <c r="G81" s="6" t="s">
        <v>96</v>
      </c>
      <c r="H81" s="6" t="s">
        <v>97</v>
      </c>
      <c r="I81" s="6"/>
      <c r="J81" s="6"/>
    </row>
    <row r="82" spans="1:10">
      <c r="A82" s="6" t="s">
        <v>98</v>
      </c>
      <c r="B82" s="6"/>
      <c r="C82" s="15">
        <f>-290626.07</f>
        <v>-290626.07</v>
      </c>
      <c r="D82" s="15">
        <f>167938.93</f>
        <v>167938.93</v>
      </c>
      <c r="E82" s="15">
        <f>0</f>
        <v>0</v>
      </c>
      <c r="F82" s="6"/>
      <c r="G82" s="6" t="s">
        <v>99</v>
      </c>
      <c r="H82" s="6" t="s">
        <v>100</v>
      </c>
      <c r="I82" s="6"/>
      <c r="J82" s="6"/>
    </row>
    <row r="83" spans="1:10">
      <c r="A83" s="6" t="s">
        <v>101</v>
      </c>
      <c r="B83" s="6"/>
      <c r="C83" s="6">
        <f>SUM(C74:C82)</f>
        <v>-323697.5</v>
      </c>
      <c r="D83" s="6">
        <f>SUM(D74:D82)</f>
        <v>356950.8</v>
      </c>
      <c r="E83" s="6">
        <f>SUM(E74:E82)</f>
        <v>745552.61</v>
      </c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>
      <c r="A86" s="6" t="s">
        <v>102</v>
      </c>
      <c r="B86" s="6"/>
      <c r="C86" s="6">
        <f>0</f>
        <v>0</v>
      </c>
      <c r="D86" s="6">
        <f>1397749.25</f>
        <v>1397749.25</v>
      </c>
      <c r="E86" s="6">
        <f>2130000</f>
        <v>2130000</v>
      </c>
      <c r="F86" s="6"/>
      <c r="G86" s="6" t="s">
        <v>103</v>
      </c>
      <c r="H86" s="6" t="s">
        <v>104</v>
      </c>
      <c r="I86" s="6"/>
      <c r="J86" s="6"/>
    </row>
    <row r="87" spans="1:10">
      <c r="A87" s="6" t="s">
        <v>105</v>
      </c>
      <c r="B87" s="6"/>
      <c r="C87" s="6">
        <f>0</f>
        <v>0</v>
      </c>
      <c r="D87" s="6">
        <f>0</f>
        <v>0</v>
      </c>
      <c r="E87" s="6">
        <f>0</f>
        <v>0</v>
      </c>
      <c r="F87" s="6"/>
      <c r="G87" s="6" t="s">
        <v>106</v>
      </c>
      <c r="H87" s="6" t="s">
        <v>107</v>
      </c>
      <c r="I87" s="6"/>
      <c r="J87" s="6"/>
    </row>
    <row r="88" spans="1:10">
      <c r="A88" s="6" t="s">
        <v>108</v>
      </c>
      <c r="B88" s="6"/>
      <c r="C88" s="6">
        <f>0</f>
        <v>0</v>
      </c>
      <c r="D88" s="6">
        <f>0</f>
        <v>0</v>
      </c>
      <c r="E88" s="6">
        <f>0</f>
        <v>0</v>
      </c>
      <c r="F88" s="6"/>
      <c r="G88" s="6" t="s">
        <v>109</v>
      </c>
      <c r="H88" s="6" t="s">
        <v>110</v>
      </c>
      <c r="I88" s="6"/>
      <c r="J88" s="6"/>
    </row>
    <row r="89" spans="1:10">
      <c r="A89" s="6" t="s">
        <v>111</v>
      </c>
      <c r="B89" s="6"/>
      <c r="C89" s="6">
        <f>0</f>
        <v>0</v>
      </c>
      <c r="D89" s="6">
        <f>1451.4</f>
        <v>1451.4</v>
      </c>
      <c r="E89" s="6">
        <f>1451.4</f>
        <v>1451.4</v>
      </c>
      <c r="F89" s="6"/>
      <c r="G89" s="6" t="s">
        <v>112</v>
      </c>
      <c r="H89" s="6" t="s">
        <v>113</v>
      </c>
      <c r="I89" s="6"/>
      <c r="J89" s="6"/>
    </row>
    <row r="90" spans="1:10">
      <c r="A90" s="6" t="s">
        <v>114</v>
      </c>
      <c r="B90" s="6"/>
      <c r="C90" s="6">
        <f>0</f>
        <v>0</v>
      </c>
      <c r="D90" s="6">
        <f>0</f>
        <v>0</v>
      </c>
      <c r="E90" s="6">
        <f>0</f>
        <v>0</v>
      </c>
      <c r="F90" s="6"/>
      <c r="G90" s="6" t="s">
        <v>115</v>
      </c>
      <c r="H90" s="6" t="s">
        <v>116</v>
      </c>
      <c r="I90" s="6"/>
      <c r="J90" s="6"/>
    </row>
    <row r="91" spans="1:10">
      <c r="A91" s="6" t="s">
        <v>117</v>
      </c>
      <c r="B91" s="6"/>
      <c r="C91" s="6">
        <f>0</f>
        <v>0</v>
      </c>
      <c r="D91" s="6">
        <f>0</f>
        <v>0</v>
      </c>
      <c r="E91" s="6">
        <f>0</f>
        <v>0</v>
      </c>
      <c r="F91" s="6"/>
      <c r="G91" s="6" t="s">
        <v>118</v>
      </c>
      <c r="H91" s="6" t="s">
        <v>119</v>
      </c>
      <c r="I91" s="6"/>
      <c r="J91" s="6"/>
    </row>
    <row r="92" spans="1:10">
      <c r="A92" s="6" t="s">
        <v>120</v>
      </c>
      <c r="B92" s="6"/>
      <c r="C92" s="6">
        <f>0</f>
        <v>0</v>
      </c>
      <c r="D92" s="6">
        <f>-3665.43</f>
        <v>-3665.43</v>
      </c>
      <c r="E92" s="6">
        <f>-12574.18</f>
        <v>-12574.18</v>
      </c>
      <c r="F92" s="6"/>
      <c r="G92" s="6" t="s">
        <v>121</v>
      </c>
      <c r="H92" s="6" t="s">
        <v>122</v>
      </c>
      <c r="I92" s="6"/>
      <c r="J92" s="6"/>
    </row>
    <row r="93" spans="1:10">
      <c r="A93" s="6" t="s">
        <v>123</v>
      </c>
      <c r="B93" s="6"/>
      <c r="C93" s="6">
        <f>0</f>
        <v>0</v>
      </c>
      <c r="D93" s="6">
        <f>0</f>
        <v>0</v>
      </c>
      <c r="E93" s="6">
        <f>30132.06</f>
        <v>30132.06</v>
      </c>
      <c r="F93" s="6"/>
      <c r="G93" s="6" t="s">
        <v>124</v>
      </c>
      <c r="H93" s="6" t="s">
        <v>125</v>
      </c>
      <c r="I93" s="6"/>
      <c r="J93" s="6"/>
    </row>
    <row r="94" spans="1:10">
      <c r="A94" s="6" t="s">
        <v>126</v>
      </c>
      <c r="B94" s="6"/>
      <c r="C94" s="6">
        <f>0</f>
        <v>0</v>
      </c>
      <c r="D94" s="6">
        <f>319.7</f>
        <v>319.7</v>
      </c>
      <c r="E94" s="6">
        <f>14853.9</f>
        <v>14853.9</v>
      </c>
      <c r="F94" s="6"/>
      <c r="G94" s="6" t="s">
        <v>127</v>
      </c>
      <c r="H94" s="6" t="s">
        <v>128</v>
      </c>
      <c r="I94" s="6"/>
      <c r="J94" s="6"/>
    </row>
    <row r="95" spans="1:10">
      <c r="A95" s="6" t="s">
        <v>129</v>
      </c>
      <c r="B95" s="6"/>
      <c r="C95" s="15">
        <f>0</f>
        <v>0</v>
      </c>
      <c r="D95" s="15">
        <f>12227.69</f>
        <v>12227.69</v>
      </c>
      <c r="E95" s="15">
        <f>0</f>
        <v>0</v>
      </c>
      <c r="F95" s="6"/>
      <c r="G95" s="6" t="s">
        <v>130</v>
      </c>
      <c r="H95" s="6" t="s">
        <v>131</v>
      </c>
      <c r="I95" s="6"/>
      <c r="J95" s="6"/>
    </row>
    <row r="96" spans="1:10">
      <c r="A96" s="6" t="s">
        <v>132</v>
      </c>
      <c r="B96" s="6"/>
      <c r="C96" s="6">
        <f>SUM(C86:C95)</f>
        <v>0</v>
      </c>
      <c r="D96" s="6">
        <f>SUM(D86:D95)</f>
        <v>1408082.6099999999</v>
      </c>
      <c r="E96" s="6">
        <f>SUM(E86:E95)</f>
        <v>2163863.1799999997</v>
      </c>
      <c r="F96" s="6"/>
      <c r="G96" s="6"/>
      <c r="H96" s="6"/>
      <c r="I96" s="6"/>
      <c r="J96" s="6"/>
    </row>
    <row r="97" spans="1:10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>
      <c r="A99" s="6" t="s">
        <v>133</v>
      </c>
      <c r="B99" s="6"/>
      <c r="C99" s="6">
        <f>0</f>
        <v>0</v>
      </c>
      <c r="D99" s="6">
        <f>1260374.99</f>
        <v>1260374.99</v>
      </c>
      <c r="E99" s="6">
        <f>114195.12</f>
        <v>114195.12</v>
      </c>
      <c r="F99" s="6"/>
      <c r="G99" s="6" t="s">
        <v>134</v>
      </c>
      <c r="H99" s="6" t="s">
        <v>135</v>
      </c>
      <c r="I99" s="6"/>
      <c r="J99" s="6"/>
    </row>
    <row r="100" spans="1:10">
      <c r="A100" s="6" t="s">
        <v>136</v>
      </c>
      <c r="B100" s="6"/>
      <c r="C100" s="6">
        <f>-12966.32</f>
        <v>-12966.32</v>
      </c>
      <c r="D100" s="6">
        <f>54558.96</f>
        <v>54558.96</v>
      </c>
      <c r="E100" s="6">
        <f>6712.66</f>
        <v>6712.66</v>
      </c>
      <c r="F100" s="6"/>
      <c r="G100" s="6" t="s">
        <v>137</v>
      </c>
      <c r="H100" s="6" t="s">
        <v>138</v>
      </c>
      <c r="I100" s="6"/>
      <c r="J100" s="6"/>
    </row>
    <row r="101" spans="1:10">
      <c r="A101" s="6" t="s">
        <v>139</v>
      </c>
      <c r="B101" s="6"/>
      <c r="C101" s="6">
        <f>-3866.57</f>
        <v>-3866.57</v>
      </c>
      <c r="D101" s="6">
        <f>4859.7</f>
        <v>4859.7</v>
      </c>
      <c r="E101" s="6">
        <f>4011.83</f>
        <v>4011.83</v>
      </c>
      <c r="F101" s="6"/>
      <c r="G101" s="6" t="s">
        <v>140</v>
      </c>
      <c r="H101" s="6" t="s">
        <v>141</v>
      </c>
      <c r="I101" s="6"/>
      <c r="J101" s="6"/>
    </row>
    <row r="102" spans="1:10">
      <c r="A102" s="6" t="s">
        <v>142</v>
      </c>
      <c r="B102" s="6"/>
      <c r="C102" s="6">
        <f>0</f>
        <v>0</v>
      </c>
      <c r="D102" s="6">
        <f>30230.45</f>
        <v>30230.45</v>
      </c>
      <c r="E102" s="6">
        <f>30230.45</f>
        <v>30230.45</v>
      </c>
      <c r="F102" s="6"/>
      <c r="G102" s="6" t="s">
        <v>143</v>
      </c>
      <c r="H102" s="6" t="s">
        <v>144</v>
      </c>
      <c r="I102" s="6"/>
      <c r="J102" s="6"/>
    </row>
    <row r="103" spans="1:10">
      <c r="A103" s="6" t="s">
        <v>145</v>
      </c>
      <c r="B103" s="6"/>
      <c r="C103" s="6">
        <f>0</f>
        <v>0</v>
      </c>
      <c r="D103" s="6">
        <f>50395.93</f>
        <v>50395.93</v>
      </c>
      <c r="E103" s="6">
        <f>-55347.74</f>
        <v>-55347.74</v>
      </c>
      <c r="F103" s="6"/>
      <c r="G103" s="6" t="s">
        <v>146</v>
      </c>
      <c r="H103" s="6" t="s">
        <v>147</v>
      </c>
      <c r="I103" s="6"/>
      <c r="J103" s="6"/>
    </row>
    <row r="104" spans="1:10">
      <c r="A104" s="6" t="s">
        <v>148</v>
      </c>
      <c r="B104" s="6"/>
      <c r="C104" s="6">
        <f>0</f>
        <v>0</v>
      </c>
      <c r="D104" s="6">
        <f>0</f>
        <v>0</v>
      </c>
      <c r="E104" s="6">
        <f>0</f>
        <v>0</v>
      </c>
      <c r="F104" s="6"/>
      <c r="G104" s="6" t="s">
        <v>149</v>
      </c>
      <c r="H104" s="6" t="s">
        <v>150</v>
      </c>
      <c r="I104" s="6"/>
      <c r="J104" s="6"/>
    </row>
    <row r="105" spans="1:10">
      <c r="A105" s="6" t="s">
        <v>151</v>
      </c>
      <c r="B105" s="6"/>
      <c r="C105" s="6">
        <f>0</f>
        <v>0</v>
      </c>
      <c r="D105" s="6">
        <f>2299.36</f>
        <v>2299.36</v>
      </c>
      <c r="E105" s="6">
        <f>1031.88</f>
        <v>1031.8800000000001</v>
      </c>
      <c r="F105" s="6"/>
      <c r="G105" s="6" t="s">
        <v>152</v>
      </c>
      <c r="H105" s="6" t="s">
        <v>153</v>
      </c>
      <c r="I105" s="6"/>
      <c r="J105" s="6"/>
    </row>
    <row r="106" spans="1:10">
      <c r="A106" s="6" t="s">
        <v>154</v>
      </c>
      <c r="B106" s="6"/>
      <c r="C106" s="6">
        <f>0</f>
        <v>0</v>
      </c>
      <c r="D106" s="6">
        <f>4170.17</f>
        <v>4170.17</v>
      </c>
      <c r="E106" s="6">
        <f>-8947.77</f>
        <v>-8947.77</v>
      </c>
      <c r="F106" s="6"/>
      <c r="G106" s="6" t="s">
        <v>155</v>
      </c>
      <c r="H106" s="6" t="s">
        <v>156</v>
      </c>
      <c r="I106" s="6"/>
      <c r="J106" s="6"/>
    </row>
    <row r="107" spans="1:10">
      <c r="A107" s="6" t="s">
        <v>157</v>
      </c>
      <c r="B107" s="6"/>
      <c r="C107" s="6">
        <f>0</f>
        <v>0</v>
      </c>
      <c r="D107" s="6">
        <f>311.5</f>
        <v>311.5</v>
      </c>
      <c r="E107" s="6">
        <f>108.5</f>
        <v>108.5</v>
      </c>
      <c r="F107" s="6"/>
      <c r="G107" s="6" t="s">
        <v>158</v>
      </c>
      <c r="H107" s="6" t="s">
        <v>159</v>
      </c>
      <c r="I107" s="6"/>
      <c r="J107" s="6"/>
    </row>
    <row r="108" spans="1:10">
      <c r="A108" s="6" t="s">
        <v>160</v>
      </c>
      <c r="B108" s="6"/>
      <c r="C108" s="6">
        <f>21762.9</f>
        <v>21762.9</v>
      </c>
      <c r="D108" s="6">
        <f>46642.5</f>
        <v>46642.5</v>
      </c>
      <c r="E108" s="6">
        <f>122159.2</f>
        <v>122159.2</v>
      </c>
      <c r="F108" s="6"/>
      <c r="G108" s="6" t="s">
        <v>161</v>
      </c>
      <c r="H108" s="6" t="s">
        <v>162</v>
      </c>
      <c r="I108" s="6"/>
      <c r="J108" s="6"/>
    </row>
    <row r="109" spans="1:10">
      <c r="A109" s="6" t="s">
        <v>163</v>
      </c>
      <c r="B109" s="6"/>
      <c r="C109" s="6">
        <f>0</f>
        <v>0</v>
      </c>
      <c r="D109" s="6">
        <f>0</f>
        <v>0</v>
      </c>
      <c r="E109" s="6">
        <f>0</f>
        <v>0</v>
      </c>
      <c r="F109" s="6"/>
      <c r="G109" s="6" t="s">
        <v>164</v>
      </c>
      <c r="H109" s="6" t="s">
        <v>165</v>
      </c>
      <c r="I109" s="6"/>
      <c r="J109" s="6"/>
    </row>
    <row r="110" spans="1:10">
      <c r="A110" s="6" t="s">
        <v>166</v>
      </c>
      <c r="B110" s="6"/>
      <c r="C110" s="6">
        <f>0</f>
        <v>0</v>
      </c>
      <c r="D110" s="6">
        <f>0</f>
        <v>0</v>
      </c>
      <c r="E110" s="6">
        <f>0</f>
        <v>0</v>
      </c>
      <c r="F110" s="6"/>
      <c r="G110" s="6" t="s">
        <v>167</v>
      </c>
      <c r="H110" s="6" t="s">
        <v>168</v>
      </c>
      <c r="I110" s="6"/>
      <c r="J110" s="6"/>
    </row>
    <row r="111" spans="1:10">
      <c r="A111" s="6" t="s">
        <v>169</v>
      </c>
      <c r="B111" s="6"/>
      <c r="C111" s="6">
        <f>0</f>
        <v>0</v>
      </c>
      <c r="D111" s="6">
        <f>0</f>
        <v>0</v>
      </c>
      <c r="E111" s="6">
        <f>0</f>
        <v>0</v>
      </c>
      <c r="F111" s="6"/>
      <c r="G111" s="6" t="s">
        <v>170</v>
      </c>
      <c r="H111" s="6" t="s">
        <v>171</v>
      </c>
      <c r="I111" s="6"/>
      <c r="J111" s="6"/>
    </row>
    <row r="112" spans="1:10">
      <c r="A112" s="6" t="s">
        <v>172</v>
      </c>
      <c r="B112" s="6"/>
      <c r="C112" s="6">
        <f>0</f>
        <v>0</v>
      </c>
      <c r="D112" s="6">
        <f>-21626.52</f>
        <v>-21626.52</v>
      </c>
      <c r="E112" s="6">
        <f>-21626.52</f>
        <v>-21626.52</v>
      </c>
      <c r="F112" s="6"/>
      <c r="G112" s="6" t="s">
        <v>173</v>
      </c>
      <c r="H112" s="6" t="s">
        <v>174</v>
      </c>
      <c r="I112" s="6"/>
      <c r="J112" s="6"/>
    </row>
    <row r="113" spans="1:10">
      <c r="A113" s="6" t="s">
        <v>175</v>
      </c>
      <c r="B113" s="6"/>
      <c r="C113" s="15">
        <f>0</f>
        <v>0</v>
      </c>
      <c r="D113" s="15">
        <f>0</f>
        <v>0</v>
      </c>
      <c r="E113" s="15">
        <f>0</f>
        <v>0</v>
      </c>
      <c r="F113" s="6"/>
      <c r="G113" s="6" t="s">
        <v>176</v>
      </c>
      <c r="H113" s="6" t="s">
        <v>177</v>
      </c>
      <c r="I113" s="6"/>
      <c r="J113" s="6"/>
    </row>
    <row r="114" spans="1:10">
      <c r="A114" s="6" t="s">
        <v>178</v>
      </c>
      <c r="B114" s="6"/>
      <c r="C114" s="6">
        <f>SUM(C99:C113)</f>
        <v>4930.010000000002</v>
      </c>
      <c r="D114" s="6">
        <f>SUM(D99:D113)</f>
        <v>1432217.0399999998</v>
      </c>
      <c r="E114" s="6">
        <f>SUM(E99:E113)</f>
        <v>192527.61000000002</v>
      </c>
      <c r="F114" s="6"/>
      <c r="G114" s="6"/>
      <c r="H114" s="6"/>
      <c r="I114" s="6"/>
      <c r="J114" s="6"/>
    </row>
    <row r="115" spans="1:10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>
      <c r="A117" s="6" t="s">
        <v>179</v>
      </c>
      <c r="B117" s="6"/>
      <c r="C117" s="6">
        <f>-93.65</f>
        <v>-93.65</v>
      </c>
      <c r="D117" s="6">
        <f>35967.39</f>
        <v>35967.39</v>
      </c>
      <c r="E117" s="6">
        <f>39568.97</f>
        <v>39568.97</v>
      </c>
      <c r="F117" s="6"/>
      <c r="G117" s="6" t="s">
        <v>180</v>
      </c>
      <c r="H117" s="6" t="s">
        <v>181</v>
      </c>
      <c r="I117" s="6"/>
      <c r="J117" s="6"/>
    </row>
    <row r="118" spans="1:10">
      <c r="A118" s="6" t="s">
        <v>182</v>
      </c>
      <c r="B118" s="6"/>
      <c r="C118" s="6">
        <f>-187.3</f>
        <v>-187.3</v>
      </c>
      <c r="D118" s="6">
        <f>11902.98</f>
        <v>11902.98</v>
      </c>
      <c r="E118" s="6">
        <f>18233.82</f>
        <v>18233.82</v>
      </c>
      <c r="F118" s="6"/>
      <c r="G118" s="6" t="s">
        <v>183</v>
      </c>
      <c r="H118" s="6" t="s">
        <v>184</v>
      </c>
      <c r="I118" s="6"/>
      <c r="J118" s="6"/>
    </row>
    <row r="119" spans="1:10">
      <c r="A119" s="6" t="s">
        <v>185</v>
      </c>
      <c r="B119" s="6"/>
      <c r="C119" s="6">
        <f>326.03</f>
        <v>326.02999999999997</v>
      </c>
      <c r="D119" s="6">
        <f>19030.52</f>
        <v>19030.52</v>
      </c>
      <c r="E119" s="6">
        <f>18704.49</f>
        <v>18704.490000000002</v>
      </c>
      <c r="F119" s="6"/>
      <c r="G119" s="6" t="s">
        <v>186</v>
      </c>
      <c r="H119" s="6" t="s">
        <v>187</v>
      </c>
      <c r="I119" s="6"/>
      <c r="J119" s="6"/>
    </row>
    <row r="120" spans="1:10">
      <c r="A120" s="6" t="s">
        <v>188</v>
      </c>
      <c r="B120" s="6"/>
      <c r="C120" s="6">
        <f>4203.92</f>
        <v>4203.92</v>
      </c>
      <c r="D120" s="6">
        <f>39114.31</f>
        <v>39114.31</v>
      </c>
      <c r="E120" s="6">
        <f>30531.74</f>
        <v>30531.74</v>
      </c>
      <c r="F120" s="6"/>
      <c r="G120" s="6" t="s">
        <v>189</v>
      </c>
      <c r="H120" s="6" t="s">
        <v>190</v>
      </c>
      <c r="I120" s="6"/>
      <c r="J120" s="6"/>
    </row>
    <row r="121" spans="1:10">
      <c r="A121" s="6" t="s">
        <v>191</v>
      </c>
      <c r="B121" s="6"/>
      <c r="C121" s="6">
        <f>0</f>
        <v>0</v>
      </c>
      <c r="D121" s="6">
        <f>5101.35</f>
        <v>5101.3500000000004</v>
      </c>
      <c r="E121" s="6">
        <f>5194.35</f>
        <v>5194.3500000000004</v>
      </c>
      <c r="F121" s="6"/>
      <c r="G121" s="6" t="s">
        <v>192</v>
      </c>
      <c r="H121" s="6" t="s">
        <v>193</v>
      </c>
      <c r="I121" s="6"/>
      <c r="J121" s="6"/>
    </row>
    <row r="122" spans="1:10">
      <c r="A122" s="6" t="s">
        <v>194</v>
      </c>
      <c r="B122" s="6"/>
      <c r="C122" s="6">
        <f>0</f>
        <v>0</v>
      </c>
      <c r="D122" s="6">
        <f>0</f>
        <v>0</v>
      </c>
      <c r="E122" s="6">
        <f>0</f>
        <v>0</v>
      </c>
      <c r="F122" s="6"/>
      <c r="G122" s="6" t="s">
        <v>195</v>
      </c>
      <c r="H122" s="6" t="s">
        <v>196</v>
      </c>
      <c r="I122" s="6"/>
      <c r="J122" s="6"/>
    </row>
    <row r="123" spans="1:10">
      <c r="A123" s="6" t="s">
        <v>197</v>
      </c>
      <c r="B123" s="6"/>
      <c r="C123" s="6">
        <f>0</f>
        <v>0</v>
      </c>
      <c r="D123" s="6">
        <f>0</f>
        <v>0</v>
      </c>
      <c r="E123" s="6">
        <f>0</f>
        <v>0</v>
      </c>
      <c r="F123" s="6"/>
      <c r="G123" s="6" t="s">
        <v>198</v>
      </c>
      <c r="H123" s="6" t="s">
        <v>199</v>
      </c>
      <c r="I123" s="6"/>
      <c r="J123" s="6"/>
    </row>
    <row r="124" spans="1:10">
      <c r="A124" s="6" t="s">
        <v>200</v>
      </c>
      <c r="B124" s="6"/>
      <c r="C124" s="6">
        <f>0</f>
        <v>0</v>
      </c>
      <c r="D124" s="6">
        <f>0</f>
        <v>0</v>
      </c>
      <c r="E124" s="6">
        <f>0</f>
        <v>0</v>
      </c>
      <c r="F124" s="6"/>
      <c r="G124" s="6" t="s">
        <v>201</v>
      </c>
      <c r="H124" s="6" t="s">
        <v>202</v>
      </c>
      <c r="I124" s="6"/>
      <c r="J124" s="6"/>
    </row>
    <row r="125" spans="1:10">
      <c r="A125" s="6" t="s">
        <v>203</v>
      </c>
      <c r="B125" s="6"/>
      <c r="C125" s="6">
        <f>0</f>
        <v>0</v>
      </c>
      <c r="D125" s="6">
        <f>0</f>
        <v>0</v>
      </c>
      <c r="E125" s="6">
        <f>0</f>
        <v>0</v>
      </c>
      <c r="F125" s="6"/>
      <c r="G125" s="6" t="s">
        <v>204</v>
      </c>
      <c r="H125" s="6" t="s">
        <v>205</v>
      </c>
      <c r="I125" s="6"/>
      <c r="J125" s="6"/>
    </row>
    <row r="126" spans="1:10">
      <c r="A126" s="6" t="s">
        <v>206</v>
      </c>
      <c r="B126" s="6"/>
      <c r="C126" s="6">
        <f>0</f>
        <v>0</v>
      </c>
      <c r="D126" s="6">
        <f>0</f>
        <v>0</v>
      </c>
      <c r="E126" s="6">
        <f>0</f>
        <v>0</v>
      </c>
      <c r="F126" s="6"/>
      <c r="G126" s="6" t="s">
        <v>207</v>
      </c>
      <c r="H126" s="6" t="s">
        <v>208</v>
      </c>
      <c r="I126" s="6"/>
      <c r="J126" s="6"/>
    </row>
    <row r="127" spans="1:10">
      <c r="A127" s="6" t="s">
        <v>209</v>
      </c>
      <c r="B127" s="6"/>
      <c r="C127" s="6">
        <f>0</f>
        <v>0</v>
      </c>
      <c r="D127" s="6">
        <f>0</f>
        <v>0</v>
      </c>
      <c r="E127" s="6">
        <f>0</f>
        <v>0</v>
      </c>
      <c r="F127" s="6"/>
      <c r="G127" s="6" t="s">
        <v>210</v>
      </c>
      <c r="H127" s="6" t="s">
        <v>211</v>
      </c>
      <c r="I127" s="6"/>
      <c r="J127" s="6"/>
    </row>
    <row r="128" spans="1:10">
      <c r="A128" s="6" t="s">
        <v>212</v>
      </c>
      <c r="B128" s="6"/>
      <c r="C128" s="6">
        <f>0</f>
        <v>0</v>
      </c>
      <c r="D128" s="6">
        <f>0</f>
        <v>0</v>
      </c>
      <c r="E128" s="6">
        <f>0</f>
        <v>0</v>
      </c>
      <c r="F128" s="6"/>
      <c r="G128" s="6" t="s">
        <v>213</v>
      </c>
      <c r="H128" s="6" t="s">
        <v>214</v>
      </c>
      <c r="I128" s="6"/>
      <c r="J128" s="6"/>
    </row>
    <row r="129" spans="1:10">
      <c r="A129" s="6" t="s">
        <v>215</v>
      </c>
      <c r="B129" s="6"/>
      <c r="C129" s="6">
        <f>0</f>
        <v>0</v>
      </c>
      <c r="D129" s="6">
        <f>0</f>
        <v>0</v>
      </c>
      <c r="E129" s="6">
        <f>0</f>
        <v>0</v>
      </c>
      <c r="F129" s="6"/>
      <c r="G129" s="6" t="s">
        <v>216</v>
      </c>
      <c r="H129" s="6" t="s">
        <v>217</v>
      </c>
      <c r="I129" s="6"/>
      <c r="J129" s="6"/>
    </row>
    <row r="130" spans="1:10">
      <c r="A130" s="6" t="s">
        <v>218</v>
      </c>
      <c r="B130" s="6"/>
      <c r="C130" s="6">
        <f>0</f>
        <v>0</v>
      </c>
      <c r="D130" s="6">
        <f>0</f>
        <v>0</v>
      </c>
      <c r="E130" s="6">
        <f>0</f>
        <v>0</v>
      </c>
      <c r="F130" s="6"/>
      <c r="G130" s="6" t="s">
        <v>219</v>
      </c>
      <c r="H130" s="6" t="s">
        <v>220</v>
      </c>
      <c r="I130" s="6"/>
      <c r="J130" s="6"/>
    </row>
    <row r="131" spans="1:10">
      <c r="A131" s="6" t="s">
        <v>221</v>
      </c>
      <c r="B131" s="6"/>
      <c r="C131" s="15">
        <f>0</f>
        <v>0</v>
      </c>
      <c r="D131" s="15">
        <f>0</f>
        <v>0</v>
      </c>
      <c r="E131" s="15">
        <f>0</f>
        <v>0</v>
      </c>
      <c r="F131" s="6"/>
      <c r="G131" s="6" t="s">
        <v>222</v>
      </c>
      <c r="H131" s="6" t="s">
        <v>223</v>
      </c>
      <c r="I131" s="6"/>
      <c r="J131" s="6"/>
    </row>
    <row r="132" spans="1:10">
      <c r="A132" s="6" t="s">
        <v>224</v>
      </c>
      <c r="B132" s="6"/>
      <c r="C132" s="6">
        <f>SUM(C117:C131)</f>
        <v>4249</v>
      </c>
      <c r="D132" s="6">
        <f>SUM(D117:D131)</f>
        <v>111116.55</v>
      </c>
      <c r="E132" s="6">
        <f>SUM(E117:E131)</f>
        <v>112233.37000000001</v>
      </c>
      <c r="F132" s="6"/>
      <c r="G132" s="6"/>
      <c r="H132" s="6"/>
      <c r="I132" s="6"/>
      <c r="J132" s="6"/>
    </row>
    <row r="133" spans="1:10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>
      <c r="A135" s="6" t="s">
        <v>225</v>
      </c>
      <c r="B135" s="6"/>
      <c r="C135" s="6">
        <f>46200.18</f>
        <v>46200.18</v>
      </c>
      <c r="D135" s="6">
        <f>86101.47</f>
        <v>86101.47</v>
      </c>
      <c r="E135" s="6">
        <f>99443.57</f>
        <v>99443.57</v>
      </c>
      <c r="F135" s="6"/>
      <c r="G135" s="6" t="s">
        <v>226</v>
      </c>
      <c r="H135" s="6" t="s">
        <v>227</v>
      </c>
      <c r="I135" s="6"/>
      <c r="J135" s="6"/>
    </row>
    <row r="136" spans="1:10">
      <c r="A136" s="6" t="s">
        <v>228</v>
      </c>
      <c r="B136" s="6"/>
      <c r="C136" s="6">
        <f>0</f>
        <v>0</v>
      </c>
      <c r="D136" s="6">
        <f>5798.24</f>
        <v>5798.24</v>
      </c>
      <c r="E136" s="6">
        <f>2173.77</f>
        <v>2173.77</v>
      </c>
      <c r="F136" s="6"/>
      <c r="G136" s="6" t="s">
        <v>229</v>
      </c>
      <c r="H136" s="6" t="s">
        <v>230</v>
      </c>
      <c r="I136" s="6"/>
      <c r="J136" s="6"/>
    </row>
    <row r="137" spans="1:10">
      <c r="A137" s="6" t="s">
        <v>231</v>
      </c>
      <c r="B137" s="6"/>
      <c r="C137" s="6">
        <f>0</f>
        <v>0</v>
      </c>
      <c r="D137" s="6">
        <f>0</f>
        <v>0</v>
      </c>
      <c r="E137" s="6">
        <f>0</f>
        <v>0</v>
      </c>
      <c r="F137" s="6"/>
      <c r="G137" s="6" t="s">
        <v>232</v>
      </c>
      <c r="H137" s="6" t="s">
        <v>233</v>
      </c>
      <c r="I137" s="6"/>
      <c r="J137" s="6"/>
    </row>
    <row r="138" spans="1:10">
      <c r="A138" s="6" t="s">
        <v>234</v>
      </c>
      <c r="B138" s="6"/>
      <c r="C138" s="15">
        <f>-7087.64</f>
        <v>-7087.64</v>
      </c>
      <c r="D138" s="15">
        <f>-3543.82</f>
        <v>-3543.82</v>
      </c>
      <c r="E138" s="15">
        <f>0</f>
        <v>0</v>
      </c>
      <c r="F138" s="6"/>
      <c r="G138" s="6" t="s">
        <v>235</v>
      </c>
      <c r="H138" s="6" t="s">
        <v>236</v>
      </c>
      <c r="I138" s="6"/>
      <c r="J138" s="6"/>
    </row>
    <row r="139" spans="1:10">
      <c r="A139" s="6" t="s">
        <v>237</v>
      </c>
      <c r="B139" s="6"/>
      <c r="C139" s="6">
        <f>SUM(C135:C138)</f>
        <v>39112.54</v>
      </c>
      <c r="D139" s="6">
        <f>SUM(D135:D138)</f>
        <v>88355.89</v>
      </c>
      <c r="E139" s="6">
        <f>SUM(E135:E138)</f>
        <v>101617.34000000001</v>
      </c>
      <c r="F139" s="6"/>
      <c r="G139" s="6"/>
      <c r="H139" s="6"/>
      <c r="I139" s="6"/>
      <c r="J139" s="6"/>
    </row>
    <row r="140" spans="1:1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>
      <c r="A142" s="6" t="s">
        <v>238</v>
      </c>
      <c r="B142" s="6"/>
      <c r="C142" s="6">
        <f>0</f>
        <v>0</v>
      </c>
      <c r="D142" s="6">
        <f>0</f>
        <v>0</v>
      </c>
      <c r="E142" s="6">
        <f>0</f>
        <v>0</v>
      </c>
      <c r="F142" s="6"/>
      <c r="G142" s="6" t="s">
        <v>239</v>
      </c>
      <c r="H142" s="6" t="s">
        <v>240</v>
      </c>
      <c r="I142" s="6" t="s">
        <v>241</v>
      </c>
      <c r="J142" s="6" t="s">
        <v>242</v>
      </c>
    </row>
    <row r="143" spans="1:10">
      <c r="A143" s="6" t="s">
        <v>243</v>
      </c>
      <c r="B143" s="6"/>
      <c r="C143" s="15">
        <f>-500</f>
        <v>-500</v>
      </c>
      <c r="D143" s="15">
        <f>0</f>
        <v>0</v>
      </c>
      <c r="E143" s="15">
        <f>0</f>
        <v>0</v>
      </c>
      <c r="F143" s="6"/>
      <c r="G143" s="6" t="s">
        <v>244</v>
      </c>
      <c r="H143" s="6" t="s">
        <v>245</v>
      </c>
      <c r="I143" s="6" t="s">
        <v>246</v>
      </c>
      <c r="J143" s="6" t="s">
        <v>247</v>
      </c>
    </row>
    <row r="144" spans="1:10">
      <c r="A144" s="6" t="s">
        <v>248</v>
      </c>
      <c r="B144" s="6"/>
      <c r="C144" s="6">
        <f>SUM(C142:C143)</f>
        <v>-500</v>
      </c>
      <c r="D144" s="6">
        <f>SUM(D142:D143)</f>
        <v>0</v>
      </c>
      <c r="E144" s="6">
        <f>SUM(E142:E143)</f>
        <v>0</v>
      </c>
      <c r="F144" s="6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>
      <c r="A147" s="6" t="s">
        <v>249</v>
      </c>
      <c r="B147" s="6"/>
      <c r="C147" s="6">
        <f>0</f>
        <v>0</v>
      </c>
      <c r="D147" s="6">
        <f>-5897.9</f>
        <v>-5897.9</v>
      </c>
      <c r="E147" s="6">
        <f>0</f>
        <v>0</v>
      </c>
      <c r="F147" s="6"/>
      <c r="G147" s="6" t="s">
        <v>250</v>
      </c>
      <c r="H147" s="6" t="s">
        <v>251</v>
      </c>
      <c r="I147" s="6"/>
      <c r="J147" s="6"/>
    </row>
    <row r="148" spans="1:10">
      <c r="A148" s="6" t="s">
        <v>252</v>
      </c>
      <c r="B148" s="6"/>
      <c r="C148" s="6">
        <f>-81442.7</f>
        <v>-81442.7</v>
      </c>
      <c r="D148" s="6">
        <f>27408.45</f>
        <v>27408.45</v>
      </c>
      <c r="E148" s="6">
        <f>0</f>
        <v>0</v>
      </c>
      <c r="F148" s="6"/>
      <c r="G148" s="6" t="s">
        <v>253</v>
      </c>
      <c r="H148" s="6" t="s">
        <v>254</v>
      </c>
      <c r="I148" s="6"/>
      <c r="J148" s="6"/>
    </row>
    <row r="149" spans="1:10">
      <c r="A149" s="6" t="s">
        <v>255</v>
      </c>
      <c r="B149" s="6"/>
      <c r="C149" s="6">
        <f>0</f>
        <v>0</v>
      </c>
      <c r="D149" s="6">
        <f>5650</f>
        <v>5650</v>
      </c>
      <c r="E149" s="6">
        <f>0</f>
        <v>0</v>
      </c>
      <c r="F149" s="6"/>
      <c r="G149" s="6" t="s">
        <v>256</v>
      </c>
      <c r="H149" s="6" t="s">
        <v>257</v>
      </c>
      <c r="I149" s="6" t="s">
        <v>258</v>
      </c>
      <c r="J149" s="6" t="s">
        <v>259</v>
      </c>
    </row>
    <row r="150" spans="1:10">
      <c r="A150" s="6" t="s">
        <v>260</v>
      </c>
      <c r="B150" s="6"/>
      <c r="C150" s="6">
        <f>0</f>
        <v>0</v>
      </c>
      <c r="D150" s="6">
        <f>-3031.09</f>
        <v>-3031.09</v>
      </c>
      <c r="E150" s="6">
        <f>-3031.09</f>
        <v>-3031.09</v>
      </c>
      <c r="F150" s="6"/>
      <c r="G150" s="6" t="s">
        <v>261</v>
      </c>
      <c r="H150" s="6" t="s">
        <v>262</v>
      </c>
      <c r="I150" s="6"/>
      <c r="J150" s="6"/>
    </row>
    <row r="151" spans="1:10">
      <c r="A151" s="6" t="s">
        <v>263</v>
      </c>
      <c r="B151" s="6"/>
      <c r="C151" s="15">
        <f>0</f>
        <v>0</v>
      </c>
      <c r="D151" s="15">
        <f>-31090.44</f>
        <v>-31090.44</v>
      </c>
      <c r="E151" s="15">
        <f>-31090.44</f>
        <v>-31090.44</v>
      </c>
      <c r="F151" s="6"/>
      <c r="G151" s="6" t="s">
        <v>264</v>
      </c>
      <c r="H151" s="6" t="s">
        <v>265</v>
      </c>
      <c r="I151" s="6"/>
      <c r="J151" s="6"/>
    </row>
    <row r="152" spans="1:10">
      <c r="A152" s="6" t="s">
        <v>266</v>
      </c>
      <c r="B152" s="6"/>
      <c r="C152" s="6">
        <f>SUM(C147:C151)</f>
        <v>-81442.7</v>
      </c>
      <c r="D152" s="6">
        <f>SUM(D147:D151)</f>
        <v>-6960.9799999999959</v>
      </c>
      <c r="E152" s="6">
        <f>SUM(E147:E151)</f>
        <v>-34121.53</v>
      </c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>
      <c r="A155" s="6" t="s">
        <v>267</v>
      </c>
      <c r="B155" s="6"/>
      <c r="C155" s="6">
        <f>0</f>
        <v>0</v>
      </c>
      <c r="D155" s="6">
        <f>57399.18</f>
        <v>57399.18</v>
      </c>
      <c r="E155" s="6">
        <f>57399.18</f>
        <v>57399.18</v>
      </c>
      <c r="F155" s="6"/>
      <c r="G155" s="6" t="s">
        <v>268</v>
      </c>
      <c r="H155" s="6" t="s">
        <v>269</v>
      </c>
      <c r="I155" s="6"/>
      <c r="J155" s="6"/>
    </row>
    <row r="156" spans="1:10">
      <c r="A156" s="6" t="s">
        <v>270</v>
      </c>
      <c r="B156" s="6"/>
      <c r="C156" s="6">
        <f>0</f>
        <v>0</v>
      </c>
      <c r="D156" s="6">
        <f>63712.95</f>
        <v>63712.95</v>
      </c>
      <c r="E156" s="6">
        <f>63712.95</f>
        <v>63712.95</v>
      </c>
      <c r="F156" s="6"/>
      <c r="G156" s="6" t="s">
        <v>271</v>
      </c>
      <c r="H156" s="6" t="s">
        <v>272</v>
      </c>
      <c r="I156" s="6"/>
      <c r="J156" s="6"/>
    </row>
    <row r="157" spans="1:10">
      <c r="A157" s="6" t="s">
        <v>273</v>
      </c>
      <c r="B157" s="6"/>
      <c r="C157" s="6">
        <f>0</f>
        <v>0</v>
      </c>
      <c r="D157" s="6">
        <f>92127.66</f>
        <v>92127.66</v>
      </c>
      <c r="E157" s="6">
        <f>92127.66</f>
        <v>92127.66</v>
      </c>
      <c r="F157" s="6"/>
      <c r="G157" s="6" t="s">
        <v>274</v>
      </c>
      <c r="H157" s="6" t="s">
        <v>275</v>
      </c>
      <c r="I157" s="6"/>
      <c r="J157" s="6"/>
    </row>
    <row r="158" spans="1:10">
      <c r="A158" s="6" t="s">
        <v>276</v>
      </c>
      <c r="B158" s="6"/>
      <c r="C158" s="6">
        <f>0</f>
        <v>0</v>
      </c>
      <c r="D158" s="6">
        <f>60000</f>
        <v>60000</v>
      </c>
      <c r="E158" s="6">
        <f>60000</f>
        <v>60000</v>
      </c>
      <c r="F158" s="6"/>
      <c r="G158" s="6" t="s">
        <v>277</v>
      </c>
      <c r="H158" s="6" t="s">
        <v>278</v>
      </c>
      <c r="I158" s="6"/>
      <c r="J158" s="6"/>
    </row>
    <row r="159" spans="1:10">
      <c r="A159" s="6" t="s">
        <v>279</v>
      </c>
      <c r="B159" s="6"/>
      <c r="C159" s="6">
        <f>0</f>
        <v>0</v>
      </c>
      <c r="D159" s="6">
        <f>869022.26</f>
        <v>869022.26</v>
      </c>
      <c r="E159" s="6">
        <f>869022.26</f>
        <v>869022.26</v>
      </c>
      <c r="F159" s="6"/>
      <c r="G159" s="6" t="s">
        <v>280</v>
      </c>
      <c r="H159" s="6" t="s">
        <v>281</v>
      </c>
      <c r="I159" s="6"/>
      <c r="J159" s="6"/>
    </row>
    <row r="160" spans="1:10">
      <c r="A160" s="6" t="s">
        <v>282</v>
      </c>
      <c r="B160" s="6"/>
      <c r="C160" s="6">
        <f>0</f>
        <v>0</v>
      </c>
      <c r="D160" s="6">
        <f>372104.27</f>
        <v>372104.27</v>
      </c>
      <c r="E160" s="6">
        <f>372104.27</f>
        <v>372104.27</v>
      </c>
      <c r="F160" s="6"/>
      <c r="G160" s="6" t="s">
        <v>283</v>
      </c>
      <c r="H160" s="6" t="s">
        <v>284</v>
      </c>
      <c r="I160" s="6"/>
      <c r="J160" s="6"/>
    </row>
    <row r="161" spans="1:10">
      <c r="A161" s="6" t="s">
        <v>285</v>
      </c>
      <c r="B161" s="6"/>
      <c r="C161" s="15">
        <f>3869.64</f>
        <v>3869.64</v>
      </c>
      <c r="D161" s="15">
        <f>373938.32</f>
        <v>373938.32</v>
      </c>
      <c r="E161" s="15">
        <f>367571.27</f>
        <v>367571.27</v>
      </c>
      <c r="F161" s="6"/>
      <c r="G161" s="6" t="s">
        <v>286</v>
      </c>
      <c r="H161" s="6" t="s">
        <v>287</v>
      </c>
      <c r="I161" s="6"/>
      <c r="J161" s="6"/>
    </row>
    <row r="162" spans="1:10">
      <c r="A162" s="6" t="s">
        <v>288</v>
      </c>
      <c r="B162" s="6"/>
      <c r="C162" s="6">
        <f>SUM(C155:C161)</f>
        <v>3869.64</v>
      </c>
      <c r="D162" s="6">
        <f>SUM(D155:D161)</f>
        <v>1888304.6400000001</v>
      </c>
      <c r="E162" s="6">
        <f>SUM(E155:E161)</f>
        <v>1881937.59</v>
      </c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>
      <c r="A165" s="6" t="s">
        <v>289</v>
      </c>
      <c r="B165" s="6"/>
      <c r="C165" s="6">
        <f>-1591.67</f>
        <v>-1591.67</v>
      </c>
      <c r="D165" s="6">
        <f>-134995.52</f>
        <v>-134995.51999999999</v>
      </c>
      <c r="E165" s="6">
        <f>-123853.83</f>
        <v>-123853.83</v>
      </c>
      <c r="F165" s="6"/>
      <c r="G165" s="6" t="s">
        <v>290</v>
      </c>
      <c r="H165" s="6" t="s">
        <v>291</v>
      </c>
      <c r="I165" s="6"/>
      <c r="J165" s="6"/>
    </row>
    <row r="166" spans="1:10">
      <c r="A166" s="6" t="s">
        <v>292</v>
      </c>
      <c r="B166" s="6"/>
      <c r="C166" s="6">
        <f>-3425</f>
        <v>-3425</v>
      </c>
      <c r="D166" s="6">
        <f>-828635.8</f>
        <v>-828635.8</v>
      </c>
      <c r="E166" s="6">
        <f>-804660.8</f>
        <v>-804660.8</v>
      </c>
      <c r="F166" s="6"/>
      <c r="G166" s="6" t="s">
        <v>293</v>
      </c>
      <c r="H166" s="6" t="s">
        <v>294</v>
      </c>
      <c r="I166" s="6"/>
      <c r="J166" s="6"/>
    </row>
    <row r="167" spans="1:10">
      <c r="A167" s="6" t="s">
        <v>295</v>
      </c>
      <c r="B167" s="6"/>
      <c r="C167" s="6">
        <f>-6666.67</f>
        <v>-6666.67</v>
      </c>
      <c r="D167" s="6">
        <f>-344963.33</f>
        <v>-344963.33</v>
      </c>
      <c r="E167" s="6">
        <f>-298296.64</f>
        <v>-298296.64</v>
      </c>
      <c r="F167" s="6"/>
      <c r="G167" s="6" t="s">
        <v>296</v>
      </c>
      <c r="H167" s="6" t="s">
        <v>297</v>
      </c>
      <c r="I167" s="6"/>
      <c r="J167" s="6"/>
    </row>
    <row r="168" spans="1:10">
      <c r="A168" s="6" t="s">
        <v>298</v>
      </c>
      <c r="B168" s="6"/>
      <c r="C168" s="6">
        <f>-500</f>
        <v>-500</v>
      </c>
      <c r="D168" s="6">
        <f>-33500.01</f>
        <v>-33500.01</v>
      </c>
      <c r="E168" s="6">
        <f>-30000.01</f>
        <v>-30000.01</v>
      </c>
      <c r="F168" s="6"/>
      <c r="G168" s="6" t="s">
        <v>299</v>
      </c>
      <c r="H168" s="6" t="s">
        <v>300</v>
      </c>
      <c r="I168" s="6"/>
      <c r="J168" s="6"/>
    </row>
    <row r="169" spans="1:10">
      <c r="A169" s="6" t="s">
        <v>301</v>
      </c>
      <c r="B169" s="6"/>
      <c r="C169" s="15">
        <f>-733.34</f>
        <v>-733.34</v>
      </c>
      <c r="D169" s="15">
        <f>-91344.77</f>
        <v>-91344.77</v>
      </c>
      <c r="E169" s="15">
        <f>-86211.39</f>
        <v>-86211.39</v>
      </c>
      <c r="F169" s="6"/>
      <c r="G169" s="6" t="s">
        <v>302</v>
      </c>
      <c r="H169" s="6" t="s">
        <v>303</v>
      </c>
      <c r="I169" s="6"/>
      <c r="J169" s="6"/>
    </row>
    <row r="170" spans="1:10">
      <c r="A170" s="6" t="s">
        <v>304</v>
      </c>
      <c r="B170" s="6"/>
      <c r="C170" s="6">
        <f>SUM(C165:C169)</f>
        <v>-12916.68</v>
      </c>
      <c r="D170" s="6">
        <f>SUM(D165:D169)</f>
        <v>-1433439.4300000002</v>
      </c>
      <c r="E170" s="6">
        <f>SUM(E165:E169)</f>
        <v>-1343022.67</v>
      </c>
      <c r="F170" s="6"/>
      <c r="G170" s="6"/>
      <c r="H170" s="6"/>
      <c r="I170" s="6"/>
      <c r="J170" s="6"/>
    </row>
    <row r="171" spans="1:10">
      <c r="A171" s="6"/>
      <c r="B171" s="6"/>
      <c r="C171" s="26"/>
      <c r="D171" s="26"/>
      <c r="E171" s="26"/>
      <c r="F171" s="6"/>
      <c r="G171" s="6"/>
      <c r="H171" s="6"/>
      <c r="I171" s="6"/>
      <c r="J171" s="6"/>
    </row>
    <row r="172" spans="1:10">
      <c r="A172" s="6"/>
      <c r="B172" s="6"/>
      <c r="C172" s="26"/>
      <c r="D172" s="26"/>
      <c r="E172" s="26"/>
      <c r="F172" s="6"/>
      <c r="G172" s="6"/>
      <c r="H172" s="6"/>
      <c r="I172" s="6"/>
      <c r="J172" s="6"/>
    </row>
    <row r="173" spans="1:10">
      <c r="A173" s="6" t="s">
        <v>305</v>
      </c>
      <c r="B173" s="6"/>
      <c r="C173" s="6">
        <f>0</f>
        <v>0</v>
      </c>
      <c r="D173" s="6">
        <f>394974.85</f>
        <v>394974.85</v>
      </c>
      <c r="E173" s="6">
        <f>394974.85</f>
        <v>394974.85</v>
      </c>
      <c r="F173" s="6"/>
      <c r="G173" s="6" t="s">
        <v>306</v>
      </c>
      <c r="H173" s="6" t="s">
        <v>307</v>
      </c>
      <c r="I173" s="6"/>
      <c r="J173" s="6"/>
    </row>
    <row r="174" spans="1:10">
      <c r="A174" s="6" t="s">
        <v>308</v>
      </c>
      <c r="B174" s="6"/>
      <c r="C174" s="15">
        <f>0</f>
        <v>0</v>
      </c>
      <c r="D174" s="15">
        <f>-385887.45</f>
        <v>-385887.45</v>
      </c>
      <c r="E174" s="15">
        <f>-385887.45</f>
        <v>-385887.45</v>
      </c>
      <c r="F174" s="6"/>
      <c r="G174" s="6" t="s">
        <v>309</v>
      </c>
      <c r="H174" s="6" t="s">
        <v>310</v>
      </c>
      <c r="I174" s="6"/>
      <c r="J174" s="6"/>
    </row>
    <row r="175" spans="1:10">
      <c r="A175" s="6" t="s">
        <v>311</v>
      </c>
      <c r="B175" s="6"/>
      <c r="C175" s="6">
        <f>SUM(C173:C174)</f>
        <v>0</v>
      </c>
      <c r="D175" s="6">
        <f>SUM(D173:D174)</f>
        <v>9087.3999999999651</v>
      </c>
      <c r="E175" s="6">
        <f>SUM(E173:E174)</f>
        <v>9087.3999999999651</v>
      </c>
      <c r="F175" s="6"/>
      <c r="G175" s="6"/>
      <c r="H175" s="6"/>
      <c r="I175" s="6"/>
      <c r="J175" s="6"/>
    </row>
    <row r="176" spans="1:10">
      <c r="A176" s="6"/>
      <c r="B176" s="6"/>
      <c r="C176" s="26"/>
      <c r="D176" s="26"/>
      <c r="E176" s="26"/>
      <c r="F176" s="6"/>
      <c r="G176" s="6"/>
      <c r="H176" s="6"/>
      <c r="I176" s="6"/>
      <c r="J176" s="6"/>
    </row>
    <row r="177" spans="1:10">
      <c r="A177" s="6"/>
      <c r="B177" s="6"/>
      <c r="C177" s="26"/>
      <c r="D177" s="26"/>
      <c r="E177" s="26"/>
      <c r="F177" s="6"/>
      <c r="G177" s="6"/>
      <c r="H177" s="6"/>
      <c r="I177" s="6"/>
      <c r="J177" s="6"/>
    </row>
    <row r="178" spans="1:10" ht="12" thickBot="1">
      <c r="A178" s="27" t="s">
        <v>312</v>
      </c>
      <c r="B178" s="6"/>
      <c r="C178" s="16">
        <f>C83+C96+C114+C132+C139+C144+C152+C162+C170+C175</f>
        <v>-366395.69</v>
      </c>
      <c r="D178" s="16">
        <f>D83+D96+D114+D132+D139+D144+D152+D162+D170+D175</f>
        <v>3853714.5199999996</v>
      </c>
      <c r="E178" s="16">
        <f>E83+E96+E114+E132+E139+E144+E152+E162+E170+E175</f>
        <v>3829674.9</v>
      </c>
      <c r="F178" s="6"/>
      <c r="G178" s="6"/>
      <c r="H178" s="6"/>
      <c r="I178" s="6"/>
      <c r="J178" s="6"/>
    </row>
    <row r="179" spans="1:10" ht="12" thickTop="1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>
      <c r="A181" s="25" t="s">
        <v>313</v>
      </c>
      <c r="B181" s="6"/>
      <c r="C181" s="6"/>
      <c r="D181" s="6"/>
      <c r="E181" s="6"/>
      <c r="F181" s="6"/>
      <c r="G181" s="6"/>
      <c r="H181" s="6"/>
      <c r="I181" s="6"/>
      <c r="J181" s="6"/>
    </row>
    <row r="182" spans="1:10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>
      <c r="A183" s="6" t="s">
        <v>314</v>
      </c>
      <c r="B183" s="6"/>
      <c r="C183" s="6">
        <f>12654.77</f>
        <v>12654.77</v>
      </c>
      <c r="D183" s="6">
        <f>33994.93</f>
        <v>33994.93</v>
      </c>
      <c r="E183" s="6">
        <f>93119.64</f>
        <v>93119.64</v>
      </c>
      <c r="F183" s="6"/>
      <c r="G183" s="6" t="s">
        <v>315</v>
      </c>
      <c r="H183" s="6" t="s">
        <v>316</v>
      </c>
      <c r="I183" s="6"/>
      <c r="J183" s="6"/>
    </row>
    <row r="184" spans="1:10">
      <c r="A184" s="6" t="s">
        <v>317</v>
      </c>
      <c r="B184" s="6"/>
      <c r="C184" s="6">
        <f>0</f>
        <v>0</v>
      </c>
      <c r="D184" s="6">
        <f>466.5</f>
        <v>466.5</v>
      </c>
      <c r="E184" s="6">
        <f>174.5</f>
        <v>174.5</v>
      </c>
      <c r="F184" s="6"/>
      <c r="G184" s="6" t="s">
        <v>318</v>
      </c>
      <c r="H184" s="6" t="s">
        <v>319</v>
      </c>
      <c r="I184" s="6"/>
      <c r="J184" s="6"/>
    </row>
    <row r="185" spans="1:10">
      <c r="A185" s="6" t="s">
        <v>320</v>
      </c>
      <c r="B185" s="6"/>
      <c r="C185" s="6">
        <f>-500</f>
        <v>-500</v>
      </c>
      <c r="D185" s="6">
        <f>2680</f>
        <v>2680</v>
      </c>
      <c r="E185" s="6">
        <f>3630</f>
        <v>3630</v>
      </c>
      <c r="F185" s="6"/>
      <c r="G185" s="6" t="s">
        <v>321</v>
      </c>
      <c r="H185" s="6" t="s">
        <v>322</v>
      </c>
      <c r="I185" s="6"/>
      <c r="J185" s="6"/>
    </row>
    <row r="186" spans="1:10">
      <c r="A186" s="6" t="s">
        <v>323</v>
      </c>
      <c r="B186" s="6"/>
      <c r="C186" s="6">
        <f>0</f>
        <v>0</v>
      </c>
      <c r="D186" s="6">
        <f>0</f>
        <v>0</v>
      </c>
      <c r="E186" s="6">
        <f>34750</f>
        <v>34750</v>
      </c>
      <c r="F186" s="6"/>
      <c r="G186" s="6" t="s">
        <v>324</v>
      </c>
      <c r="H186" s="6" t="s">
        <v>325</v>
      </c>
      <c r="I186" s="6"/>
      <c r="J186" s="6"/>
    </row>
    <row r="187" spans="1:10">
      <c r="A187" s="6" t="s">
        <v>326</v>
      </c>
      <c r="B187" s="6"/>
      <c r="C187" s="6">
        <f>-9626.55</f>
        <v>-9626.5499999999993</v>
      </c>
      <c r="D187" s="6">
        <f>0</f>
        <v>0</v>
      </c>
      <c r="E187" s="6">
        <f>0</f>
        <v>0</v>
      </c>
      <c r="F187" s="6"/>
      <c r="G187" s="6" t="s">
        <v>327</v>
      </c>
      <c r="H187" s="6" t="s">
        <v>328</v>
      </c>
      <c r="I187" s="6"/>
      <c r="J187" s="6"/>
    </row>
    <row r="188" spans="1:10">
      <c r="A188" s="6" t="s">
        <v>329</v>
      </c>
      <c r="B188" s="6"/>
      <c r="C188" s="6">
        <f>-2230</f>
        <v>-2230</v>
      </c>
      <c r="D188" s="6">
        <f>0</f>
        <v>0</v>
      </c>
      <c r="E188" s="6">
        <f>0</f>
        <v>0</v>
      </c>
      <c r="F188" s="6"/>
      <c r="G188" s="6" t="s">
        <v>330</v>
      </c>
      <c r="H188" s="6" t="s">
        <v>331</v>
      </c>
      <c r="I188" s="6"/>
      <c r="J188" s="6"/>
    </row>
    <row r="189" spans="1:10">
      <c r="A189" s="6" t="s">
        <v>332</v>
      </c>
      <c r="B189" s="6"/>
      <c r="C189" s="6">
        <f>-117.47</f>
        <v>-117.47</v>
      </c>
      <c r="D189" s="6">
        <f>0</f>
        <v>0</v>
      </c>
      <c r="E189" s="6">
        <f>0</f>
        <v>0</v>
      </c>
      <c r="F189" s="6"/>
      <c r="G189" s="6" t="s">
        <v>333</v>
      </c>
      <c r="H189" s="6" t="s">
        <v>334</v>
      </c>
      <c r="I189" s="6"/>
      <c r="J189" s="6"/>
    </row>
    <row r="190" spans="1:10">
      <c r="A190" s="6" t="s">
        <v>329</v>
      </c>
      <c r="B190" s="6"/>
      <c r="C190" s="6">
        <f>-497.05</f>
        <v>-497.05</v>
      </c>
      <c r="D190" s="6">
        <f>0</f>
        <v>0</v>
      </c>
      <c r="E190" s="6">
        <f>0</f>
        <v>0</v>
      </c>
      <c r="F190" s="6"/>
      <c r="G190" s="6" t="s">
        <v>335</v>
      </c>
      <c r="H190" s="6" t="s">
        <v>336</v>
      </c>
      <c r="I190" s="6"/>
      <c r="J190" s="6"/>
    </row>
    <row r="191" spans="1:10">
      <c r="A191" s="6" t="s">
        <v>337</v>
      </c>
      <c r="B191" s="6"/>
      <c r="C191" s="6">
        <f>-25513.8</f>
        <v>-25513.8</v>
      </c>
      <c r="D191" s="6">
        <f>0</f>
        <v>0</v>
      </c>
      <c r="E191" s="6">
        <f>-0.01</f>
        <v>-0.01</v>
      </c>
      <c r="F191" s="6"/>
      <c r="G191" s="6" t="s">
        <v>338</v>
      </c>
      <c r="H191" s="6" t="s">
        <v>339</v>
      </c>
      <c r="I191" s="6"/>
      <c r="J191" s="6"/>
    </row>
    <row r="192" spans="1:10">
      <c r="A192" s="6" t="s">
        <v>340</v>
      </c>
      <c r="B192" s="6"/>
      <c r="C192" s="6">
        <f>-2592.5</f>
        <v>-2592.5</v>
      </c>
      <c r="D192" s="6">
        <f>442.5</f>
        <v>442.5</v>
      </c>
      <c r="E192" s="6">
        <f>0</f>
        <v>0</v>
      </c>
      <c r="F192" s="6"/>
      <c r="G192" s="6" t="s">
        <v>341</v>
      </c>
      <c r="H192" s="6" t="s">
        <v>342</v>
      </c>
      <c r="I192" s="6"/>
      <c r="J192" s="6"/>
    </row>
    <row r="193" spans="1:10">
      <c r="A193" s="6" t="s">
        <v>343</v>
      </c>
      <c r="B193" s="6"/>
      <c r="C193" s="6">
        <f>2072.5</f>
        <v>2072.5</v>
      </c>
      <c r="D193" s="6">
        <f>7397.5</f>
        <v>7397.5</v>
      </c>
      <c r="E193" s="6">
        <f>0</f>
        <v>0</v>
      </c>
      <c r="F193" s="6"/>
      <c r="G193" s="6" t="s">
        <v>344</v>
      </c>
      <c r="H193" s="6" t="s">
        <v>345</v>
      </c>
      <c r="I193" s="6"/>
      <c r="J193" s="6"/>
    </row>
    <row r="194" spans="1:10">
      <c r="A194" s="6" t="s">
        <v>346</v>
      </c>
      <c r="B194" s="6"/>
      <c r="C194" s="6">
        <f>196</f>
        <v>196</v>
      </c>
      <c r="D194" s="6">
        <f>672</f>
        <v>672</v>
      </c>
      <c r="E194" s="6">
        <f>0</f>
        <v>0</v>
      </c>
      <c r="F194" s="6"/>
      <c r="G194" s="6" t="s">
        <v>347</v>
      </c>
      <c r="H194" s="6" t="s">
        <v>348</v>
      </c>
      <c r="I194" s="6"/>
      <c r="J194" s="6"/>
    </row>
    <row r="195" spans="1:10">
      <c r="A195" s="6" t="s">
        <v>349</v>
      </c>
      <c r="B195" s="6"/>
      <c r="C195" s="6">
        <f>0</f>
        <v>0</v>
      </c>
      <c r="D195" s="6">
        <f>0</f>
        <v>0</v>
      </c>
      <c r="E195" s="6">
        <f>0</f>
        <v>0</v>
      </c>
      <c r="F195" s="6"/>
      <c r="G195" s="6" t="s">
        <v>350</v>
      </c>
      <c r="H195" s="6" t="s">
        <v>351</v>
      </c>
      <c r="I195" s="6"/>
      <c r="J195" s="6"/>
    </row>
    <row r="196" spans="1:10">
      <c r="A196" s="6" t="s">
        <v>352</v>
      </c>
      <c r="B196" s="6"/>
      <c r="C196" s="6">
        <f>883.34</f>
        <v>883.34</v>
      </c>
      <c r="D196" s="6">
        <f>2673.34</f>
        <v>2673.34</v>
      </c>
      <c r="E196" s="6">
        <f>0</f>
        <v>0</v>
      </c>
      <c r="F196" s="6"/>
      <c r="G196" s="6" t="s">
        <v>353</v>
      </c>
      <c r="H196" s="6" t="s">
        <v>354</v>
      </c>
      <c r="I196" s="6"/>
      <c r="J196" s="6"/>
    </row>
    <row r="197" spans="1:10">
      <c r="A197" s="6" t="s">
        <v>355</v>
      </c>
      <c r="B197" s="6"/>
      <c r="C197" s="6">
        <f>1025.85</f>
        <v>1025.8499999999999</v>
      </c>
      <c r="D197" s="6">
        <f>4282.38</f>
        <v>4282.38</v>
      </c>
      <c r="E197" s="6">
        <f>0</f>
        <v>0</v>
      </c>
      <c r="F197" s="6"/>
      <c r="G197" s="6" t="s">
        <v>356</v>
      </c>
      <c r="H197" s="6" t="s">
        <v>357</v>
      </c>
      <c r="I197" s="6"/>
      <c r="J197" s="6"/>
    </row>
    <row r="198" spans="1:10">
      <c r="A198" s="6" t="s">
        <v>358</v>
      </c>
      <c r="B198" s="6"/>
      <c r="C198" s="15">
        <f>0</f>
        <v>0</v>
      </c>
      <c r="D198" s="15">
        <f>0</f>
        <v>0</v>
      </c>
      <c r="E198" s="15">
        <f>0</f>
        <v>0</v>
      </c>
      <c r="F198" s="6"/>
      <c r="G198" s="6" t="s">
        <v>359</v>
      </c>
      <c r="H198" s="6" t="s">
        <v>360</v>
      </c>
      <c r="I198" s="6"/>
      <c r="J198" s="6"/>
    </row>
    <row r="199" spans="1:10">
      <c r="A199" s="6" t="s">
        <v>361</v>
      </c>
      <c r="B199" s="6"/>
      <c r="C199" s="6">
        <f>SUM(C182:C198)</f>
        <v>-24244.91</v>
      </c>
      <c r="D199" s="6">
        <f>SUM(D182:D198)</f>
        <v>52609.15</v>
      </c>
      <c r="E199" s="6">
        <f>SUM(E182:E198)</f>
        <v>131674.13</v>
      </c>
      <c r="F199" s="6"/>
      <c r="G199" s="6"/>
      <c r="H199" s="6"/>
      <c r="I199" s="6"/>
      <c r="J199" s="6"/>
    </row>
    <row r="200" spans="1:1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>
      <c r="A202" s="6" t="s">
        <v>362</v>
      </c>
      <c r="B202" s="6"/>
      <c r="C202" s="6">
        <f>0</f>
        <v>0</v>
      </c>
      <c r="D202" s="6">
        <f>-23311.4</f>
        <v>-23311.4</v>
      </c>
      <c r="E202" s="6">
        <f>88491.5</f>
        <v>88491.5</v>
      </c>
      <c r="F202" s="6"/>
      <c r="G202" s="6" t="s">
        <v>363</v>
      </c>
      <c r="H202" s="6" t="s">
        <v>364</v>
      </c>
      <c r="I202" s="6"/>
      <c r="J202" s="6"/>
    </row>
    <row r="203" spans="1:10">
      <c r="A203" s="6" t="s">
        <v>365</v>
      </c>
      <c r="B203" s="6"/>
      <c r="C203" s="6">
        <f>0</f>
        <v>0</v>
      </c>
      <c r="D203" s="6">
        <f>75339.17</f>
        <v>75339.17</v>
      </c>
      <c r="E203" s="6">
        <f>79458.15</f>
        <v>79458.149999999994</v>
      </c>
      <c r="F203" s="6"/>
      <c r="G203" s="6" t="s">
        <v>366</v>
      </c>
      <c r="H203" s="6" t="s">
        <v>367</v>
      </c>
      <c r="I203" s="6"/>
      <c r="J203" s="6"/>
    </row>
    <row r="204" spans="1:10">
      <c r="A204" s="6" t="s">
        <v>368</v>
      </c>
      <c r="B204" s="6"/>
      <c r="C204" s="6">
        <f>0</f>
        <v>0</v>
      </c>
      <c r="D204" s="6">
        <f>1017.8</f>
        <v>1017.8</v>
      </c>
      <c r="E204" s="6">
        <f>1017.8</f>
        <v>1017.8</v>
      </c>
      <c r="F204" s="6"/>
      <c r="G204" s="6" t="s">
        <v>369</v>
      </c>
      <c r="H204" s="6" t="s">
        <v>370</v>
      </c>
      <c r="I204" s="6"/>
      <c r="J204" s="6"/>
    </row>
    <row r="205" spans="1:10">
      <c r="A205" s="6" t="s">
        <v>371</v>
      </c>
      <c r="B205" s="6"/>
      <c r="C205" s="6">
        <f>0</f>
        <v>0</v>
      </c>
      <c r="D205" s="6">
        <f>210.15</f>
        <v>210.15</v>
      </c>
      <c r="E205" s="6">
        <f>210.15</f>
        <v>210.15</v>
      </c>
      <c r="F205" s="6"/>
      <c r="G205" s="6" t="s">
        <v>372</v>
      </c>
      <c r="H205" s="6" t="s">
        <v>373</v>
      </c>
      <c r="I205" s="6"/>
      <c r="J205" s="6"/>
    </row>
    <row r="206" spans="1:10">
      <c r="A206" s="6" t="s">
        <v>374</v>
      </c>
      <c r="B206" s="6"/>
      <c r="C206" s="6">
        <f>0</f>
        <v>0</v>
      </c>
      <c r="D206" s="6">
        <f>922</f>
        <v>922</v>
      </c>
      <c r="E206" s="6">
        <f>922</f>
        <v>922</v>
      </c>
      <c r="F206" s="6"/>
      <c r="G206" s="6" t="s">
        <v>375</v>
      </c>
      <c r="H206" s="6" t="s">
        <v>376</v>
      </c>
      <c r="I206" s="6"/>
      <c r="J206" s="6"/>
    </row>
    <row r="207" spans="1:10">
      <c r="A207" s="6" t="s">
        <v>377</v>
      </c>
      <c r="B207" s="6"/>
      <c r="C207" s="6">
        <f>0</f>
        <v>0</v>
      </c>
      <c r="D207" s="6">
        <f>0</f>
        <v>0</v>
      </c>
      <c r="E207" s="6">
        <f>0</f>
        <v>0</v>
      </c>
      <c r="F207" s="6"/>
      <c r="G207" s="6" t="s">
        <v>378</v>
      </c>
      <c r="H207" s="6" t="s">
        <v>379</v>
      </c>
      <c r="I207" s="6"/>
      <c r="J207" s="6"/>
    </row>
    <row r="208" spans="1:10">
      <c r="A208" s="6" t="s">
        <v>380</v>
      </c>
      <c r="B208" s="6"/>
      <c r="C208" s="15">
        <f>833.34</f>
        <v>833.34</v>
      </c>
      <c r="D208" s="15">
        <f>26666.84</f>
        <v>26666.84</v>
      </c>
      <c r="E208" s="15">
        <f>20833.46</f>
        <v>20833.46</v>
      </c>
      <c r="F208" s="6"/>
      <c r="G208" s="6" t="s">
        <v>381</v>
      </c>
      <c r="H208" s="6" t="s">
        <v>382</v>
      </c>
      <c r="I208" s="6"/>
      <c r="J208" s="6"/>
    </row>
    <row r="209" spans="1:10">
      <c r="A209" s="6" t="s">
        <v>383</v>
      </c>
      <c r="B209" s="6"/>
      <c r="C209" s="6">
        <f>SUM(C202:C208)</f>
        <v>833.34</v>
      </c>
      <c r="D209" s="6">
        <f>SUM(D202:D208)</f>
        <v>80844.56</v>
      </c>
      <c r="E209" s="6">
        <f>SUM(E202:E208)</f>
        <v>190933.05999999997</v>
      </c>
      <c r="F209" s="6"/>
      <c r="G209" s="6"/>
      <c r="H209" s="6"/>
      <c r="I209" s="6"/>
      <c r="J209" s="6"/>
    </row>
    <row r="210" spans="1: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>
      <c r="A212" s="6" t="s">
        <v>384</v>
      </c>
      <c r="B212" s="6"/>
      <c r="C212" s="6"/>
      <c r="D212" s="6"/>
      <c r="E212" s="6"/>
      <c r="F212" s="6"/>
      <c r="G212" s="6"/>
      <c r="H212" s="6"/>
      <c r="I212" s="6"/>
      <c r="J212" s="6"/>
    </row>
    <row r="213" spans="1:10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>
      <c r="A214" s="6" t="s">
        <v>385</v>
      </c>
      <c r="B214" s="6"/>
      <c r="C214" s="6">
        <f>-5000</f>
        <v>-5000</v>
      </c>
      <c r="D214" s="6">
        <f>16720.88</f>
        <v>16720.88</v>
      </c>
      <c r="E214" s="6">
        <f>25881.72</f>
        <v>25881.72</v>
      </c>
      <c r="F214" s="6"/>
      <c r="G214" s="6" t="s">
        <v>386</v>
      </c>
      <c r="H214" s="6" t="s">
        <v>387</v>
      </c>
      <c r="I214" s="6"/>
      <c r="J214" s="6"/>
    </row>
    <row r="215" spans="1:10">
      <c r="A215" s="6" t="s">
        <v>388</v>
      </c>
      <c r="B215" s="6"/>
      <c r="C215" s="6">
        <f>0</f>
        <v>0</v>
      </c>
      <c r="D215" s="6">
        <f>5113.34</f>
        <v>5113.34</v>
      </c>
      <c r="E215" s="6">
        <f>5113.34</f>
        <v>5113.34</v>
      </c>
      <c r="F215" s="6"/>
      <c r="G215" s="6" t="s">
        <v>389</v>
      </c>
      <c r="H215" s="6" t="s">
        <v>390</v>
      </c>
      <c r="I215" s="6"/>
      <c r="J215" s="6"/>
    </row>
    <row r="216" spans="1:10">
      <c r="A216" s="6" t="s">
        <v>391</v>
      </c>
      <c r="B216" s="6"/>
      <c r="C216" s="6">
        <f>0</f>
        <v>0</v>
      </c>
      <c r="D216" s="6">
        <f>5229.26</f>
        <v>5229.26</v>
      </c>
      <c r="E216" s="6">
        <f>5229.26</f>
        <v>5229.26</v>
      </c>
      <c r="F216" s="6"/>
      <c r="G216" s="6" t="s">
        <v>392</v>
      </c>
      <c r="H216" s="6" t="s">
        <v>393</v>
      </c>
      <c r="I216" s="6"/>
      <c r="J216" s="6"/>
    </row>
    <row r="217" spans="1:10">
      <c r="A217" s="6" t="s">
        <v>394</v>
      </c>
      <c r="B217" s="6"/>
      <c r="C217" s="6">
        <f>0</f>
        <v>0</v>
      </c>
      <c r="D217" s="6">
        <f>0</f>
        <v>0</v>
      </c>
      <c r="E217" s="6">
        <f>0</f>
        <v>0</v>
      </c>
      <c r="F217" s="6"/>
      <c r="G217" s="6" t="s">
        <v>395</v>
      </c>
      <c r="H217" s="6" t="s">
        <v>396</v>
      </c>
      <c r="I217" s="6"/>
      <c r="J217" s="6"/>
    </row>
    <row r="218" spans="1:10">
      <c r="A218" s="6" t="s">
        <v>397</v>
      </c>
      <c r="B218" s="6"/>
      <c r="C218" s="6">
        <f>0</f>
        <v>0</v>
      </c>
      <c r="D218" s="6">
        <f>0</f>
        <v>0</v>
      </c>
      <c r="E218" s="6">
        <f>0</f>
        <v>0</v>
      </c>
      <c r="F218" s="6"/>
      <c r="G218" s="6" t="s">
        <v>398</v>
      </c>
      <c r="H218" s="6" t="s">
        <v>399</v>
      </c>
      <c r="I218" s="6"/>
      <c r="J218" s="6"/>
    </row>
    <row r="219" spans="1:10">
      <c r="A219" s="6" t="s">
        <v>400</v>
      </c>
      <c r="B219" s="6"/>
      <c r="C219" s="6">
        <f>0</f>
        <v>0</v>
      </c>
      <c r="D219" s="6">
        <f>25112.02</f>
        <v>25112.02</v>
      </c>
      <c r="E219" s="6">
        <f>25112.02</f>
        <v>25112.02</v>
      </c>
      <c r="F219" s="6"/>
      <c r="G219" s="6" t="s">
        <v>401</v>
      </c>
      <c r="H219" s="6" t="s">
        <v>402</v>
      </c>
      <c r="I219" s="6"/>
      <c r="J219" s="6"/>
    </row>
    <row r="220" spans="1:10">
      <c r="A220" s="6" t="s">
        <v>403</v>
      </c>
      <c r="B220" s="6"/>
      <c r="C220" s="15">
        <f>0</f>
        <v>0</v>
      </c>
      <c r="D220" s="15">
        <f>5037.5</f>
        <v>5037.5</v>
      </c>
      <c r="E220" s="15">
        <f>5037.5</f>
        <v>5037.5</v>
      </c>
      <c r="F220" s="6"/>
      <c r="G220" s="6" t="s">
        <v>404</v>
      </c>
      <c r="H220" s="6" t="s">
        <v>405</v>
      </c>
      <c r="I220" s="6"/>
      <c r="J220" s="6"/>
    </row>
    <row r="221" spans="1:10">
      <c r="A221" s="6" t="s">
        <v>406</v>
      </c>
      <c r="B221" s="6"/>
      <c r="C221" s="15">
        <f>SUM(C213:C220)</f>
        <v>-5000</v>
      </c>
      <c r="D221" s="15">
        <f>SUM(D213:D220)</f>
        <v>57213</v>
      </c>
      <c r="E221" s="15">
        <f>SUM(E213:E220)</f>
        <v>66373.84</v>
      </c>
      <c r="F221" s="6"/>
      <c r="G221" s="6"/>
      <c r="H221" s="6"/>
      <c r="I221" s="6"/>
      <c r="J221" s="6"/>
    </row>
    <row r="222" spans="1:10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>
      <c r="A223" s="6"/>
      <c r="B223" s="6"/>
      <c r="C223" s="26"/>
      <c r="D223" s="26"/>
      <c r="E223" s="26"/>
      <c r="F223" s="6"/>
      <c r="G223" s="6"/>
      <c r="H223" s="6"/>
      <c r="I223" s="6"/>
      <c r="J223" s="6"/>
    </row>
    <row r="224" spans="1:10">
      <c r="A224" s="6" t="s">
        <v>407</v>
      </c>
      <c r="B224" s="6"/>
      <c r="C224" s="6"/>
      <c r="D224" s="6"/>
      <c r="E224" s="6"/>
      <c r="F224" s="6"/>
      <c r="G224" s="6"/>
      <c r="H224" s="6"/>
      <c r="I224" s="6"/>
      <c r="J224" s="6"/>
    </row>
    <row r="225" spans="1:10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>
      <c r="A226" s="6" t="s">
        <v>408</v>
      </c>
      <c r="B226" s="6"/>
      <c r="C226" s="6">
        <f>0</f>
        <v>0</v>
      </c>
      <c r="D226" s="6">
        <f>2654</f>
        <v>2654</v>
      </c>
      <c r="E226" s="6">
        <f>2654</f>
        <v>2654</v>
      </c>
      <c r="F226" s="6"/>
      <c r="G226" s="6" t="s">
        <v>409</v>
      </c>
      <c r="H226" s="6" t="s">
        <v>410</v>
      </c>
      <c r="I226" s="6"/>
      <c r="J226" s="6"/>
    </row>
    <row r="227" spans="1:10">
      <c r="A227" s="6" t="s">
        <v>411</v>
      </c>
      <c r="B227" s="6"/>
      <c r="C227" s="6">
        <f>0</f>
        <v>0</v>
      </c>
      <c r="D227" s="6">
        <f>2614.63</f>
        <v>2614.63</v>
      </c>
      <c r="E227" s="6">
        <f>2614.63</f>
        <v>2614.63</v>
      </c>
      <c r="F227" s="6"/>
      <c r="G227" s="6" t="s">
        <v>412</v>
      </c>
      <c r="H227" s="6" t="s">
        <v>413</v>
      </c>
      <c r="I227" s="6"/>
      <c r="J227" s="6"/>
    </row>
    <row r="228" spans="1:10">
      <c r="A228" s="6" t="s">
        <v>414</v>
      </c>
      <c r="B228" s="6"/>
      <c r="C228" s="6">
        <f>0</f>
        <v>0</v>
      </c>
      <c r="D228" s="6">
        <f>2595.17</f>
        <v>2595.17</v>
      </c>
      <c r="E228" s="6">
        <f>2595.17</f>
        <v>2595.17</v>
      </c>
      <c r="F228" s="6"/>
      <c r="G228" s="6" t="s">
        <v>415</v>
      </c>
      <c r="H228" s="6" t="s">
        <v>416</v>
      </c>
      <c r="I228" s="6"/>
      <c r="J228" s="6"/>
    </row>
    <row r="229" spans="1:10">
      <c r="A229" s="6" t="s">
        <v>417</v>
      </c>
      <c r="B229" s="6"/>
      <c r="C229" s="6">
        <f>0</f>
        <v>0</v>
      </c>
      <c r="D229" s="6">
        <f t="shared" ref="D229:E231" si="0">2575.85</f>
        <v>2575.85</v>
      </c>
      <c r="E229" s="6">
        <f t="shared" si="0"/>
        <v>2575.85</v>
      </c>
      <c r="F229" s="6"/>
      <c r="G229" s="6" t="s">
        <v>418</v>
      </c>
      <c r="H229" s="6" t="s">
        <v>419</v>
      </c>
      <c r="I229" s="6"/>
      <c r="J229" s="6"/>
    </row>
    <row r="230" spans="1:10">
      <c r="A230" s="6" t="s">
        <v>420</v>
      </c>
      <c r="B230" s="6"/>
      <c r="C230" s="6">
        <f>0</f>
        <v>0</v>
      </c>
      <c r="D230" s="6">
        <f t="shared" si="0"/>
        <v>2575.85</v>
      </c>
      <c r="E230" s="6">
        <f t="shared" si="0"/>
        <v>2575.85</v>
      </c>
      <c r="F230" s="6"/>
      <c r="G230" s="6" t="s">
        <v>421</v>
      </c>
      <c r="H230" s="6" t="s">
        <v>422</v>
      </c>
      <c r="I230" s="6"/>
      <c r="J230" s="6"/>
    </row>
    <row r="231" spans="1:10">
      <c r="A231" s="6" t="s">
        <v>423</v>
      </c>
      <c r="B231" s="6"/>
      <c r="C231" s="6">
        <f>0</f>
        <v>0</v>
      </c>
      <c r="D231" s="6">
        <f t="shared" si="0"/>
        <v>2575.85</v>
      </c>
      <c r="E231" s="6">
        <f t="shared" si="0"/>
        <v>2575.85</v>
      </c>
      <c r="F231" s="6"/>
      <c r="G231" s="6" t="s">
        <v>424</v>
      </c>
      <c r="H231" s="6" t="s">
        <v>425</v>
      </c>
      <c r="I231" s="6"/>
      <c r="J231" s="6"/>
    </row>
    <row r="232" spans="1:10">
      <c r="A232" s="6" t="s">
        <v>426</v>
      </c>
      <c r="B232" s="6"/>
      <c r="C232" s="6">
        <f>0</f>
        <v>0</v>
      </c>
      <c r="D232" s="6">
        <f>2561.79</f>
        <v>2561.79</v>
      </c>
      <c r="E232" s="6">
        <f>2561.79</f>
        <v>2561.79</v>
      </c>
      <c r="F232" s="6"/>
      <c r="G232" s="6" t="s">
        <v>427</v>
      </c>
      <c r="H232" s="6" t="s">
        <v>428</v>
      </c>
      <c r="I232" s="6"/>
      <c r="J232" s="6"/>
    </row>
    <row r="233" spans="1:10">
      <c r="A233" s="6" t="s">
        <v>429</v>
      </c>
      <c r="B233" s="6"/>
      <c r="C233" s="6">
        <f>0</f>
        <v>0</v>
      </c>
      <c r="D233" s="6">
        <f>2514.93</f>
        <v>2514.9299999999998</v>
      </c>
      <c r="E233" s="6">
        <f>2514.93</f>
        <v>2514.9299999999998</v>
      </c>
      <c r="F233" s="6"/>
      <c r="G233" s="6" t="s">
        <v>430</v>
      </c>
      <c r="H233" s="6" t="s">
        <v>431</v>
      </c>
      <c r="I233" s="6"/>
      <c r="J233" s="6"/>
    </row>
    <row r="234" spans="1:10">
      <c r="A234" s="6" t="s">
        <v>432</v>
      </c>
      <c r="B234" s="6"/>
      <c r="C234" s="6">
        <f>0</f>
        <v>0</v>
      </c>
      <c r="D234" s="6">
        <f>2506.32</f>
        <v>2506.3200000000002</v>
      </c>
      <c r="E234" s="6">
        <f>2506.32</f>
        <v>2506.3200000000002</v>
      </c>
      <c r="F234" s="6"/>
      <c r="G234" s="6" t="s">
        <v>433</v>
      </c>
      <c r="H234" s="6" t="s">
        <v>434</v>
      </c>
      <c r="I234" s="6"/>
      <c r="J234" s="6"/>
    </row>
    <row r="235" spans="1:10">
      <c r="A235" s="6" t="s">
        <v>435</v>
      </c>
      <c r="B235" s="6"/>
      <c r="C235" s="6">
        <f>0</f>
        <v>0</v>
      </c>
      <c r="D235" s="6">
        <f>2500</f>
        <v>2500</v>
      </c>
      <c r="E235" s="6">
        <f>0</f>
        <v>0</v>
      </c>
      <c r="F235" s="6"/>
      <c r="G235" s="6" t="s">
        <v>436</v>
      </c>
      <c r="H235" s="6" t="s">
        <v>437</v>
      </c>
      <c r="I235" s="6"/>
      <c r="J235" s="6"/>
    </row>
    <row r="236" spans="1:10">
      <c r="A236" s="6" t="s">
        <v>438</v>
      </c>
      <c r="B236" s="6"/>
      <c r="C236" s="6">
        <f>0</f>
        <v>0</v>
      </c>
      <c r="D236" s="6">
        <f>2991.04</f>
        <v>2991.04</v>
      </c>
      <c r="E236" s="6">
        <f>2991.04</f>
        <v>2991.04</v>
      </c>
      <c r="F236" s="6"/>
      <c r="G236" s="6" t="s">
        <v>439</v>
      </c>
      <c r="H236" s="6" t="s">
        <v>440</v>
      </c>
      <c r="I236" s="6"/>
      <c r="J236" s="6"/>
    </row>
    <row r="237" spans="1:10">
      <c r="A237" s="6" t="s">
        <v>441</v>
      </c>
      <c r="B237" s="6"/>
      <c r="C237" s="6">
        <f>0</f>
        <v>0</v>
      </c>
      <c r="D237" s="6">
        <f>462.24</f>
        <v>462.24</v>
      </c>
      <c r="E237" s="6">
        <f>462.24</f>
        <v>462.24</v>
      </c>
      <c r="F237" s="6"/>
      <c r="G237" s="6" t="s">
        <v>442</v>
      </c>
      <c r="H237" s="6" t="s">
        <v>443</v>
      </c>
      <c r="I237" s="6"/>
      <c r="J237" s="6"/>
    </row>
    <row r="238" spans="1:10">
      <c r="A238" s="6" t="s">
        <v>444</v>
      </c>
      <c r="B238" s="6"/>
      <c r="C238" s="6">
        <f>0</f>
        <v>0</v>
      </c>
      <c r="D238" s="6">
        <f>0</f>
        <v>0</v>
      </c>
      <c r="E238" s="6">
        <f>0</f>
        <v>0</v>
      </c>
      <c r="F238" s="6"/>
      <c r="G238" s="6" t="s">
        <v>445</v>
      </c>
      <c r="H238" s="6" t="s">
        <v>446</v>
      </c>
      <c r="I238" s="6"/>
      <c r="J238" s="6"/>
    </row>
    <row r="239" spans="1:10">
      <c r="A239" s="6" t="s">
        <v>447</v>
      </c>
      <c r="B239" s="6"/>
      <c r="C239" s="6">
        <f>0</f>
        <v>0</v>
      </c>
      <c r="D239" s="6">
        <f>0</f>
        <v>0</v>
      </c>
      <c r="E239" s="6">
        <f>0</f>
        <v>0</v>
      </c>
      <c r="F239" s="6"/>
      <c r="G239" s="6" t="s">
        <v>448</v>
      </c>
      <c r="H239" s="6" t="s">
        <v>449</v>
      </c>
      <c r="I239" s="6"/>
      <c r="J239" s="6"/>
    </row>
    <row r="240" spans="1:10">
      <c r="A240" s="6" t="s">
        <v>450</v>
      </c>
      <c r="B240" s="6"/>
      <c r="C240" s="6">
        <f>0</f>
        <v>0</v>
      </c>
      <c r="D240" s="6">
        <f>0</f>
        <v>0</v>
      </c>
      <c r="E240" s="6">
        <f>0</f>
        <v>0</v>
      </c>
      <c r="F240" s="6"/>
      <c r="G240" s="6" t="s">
        <v>451</v>
      </c>
      <c r="H240" s="6" t="s">
        <v>452</v>
      </c>
      <c r="I240" s="6"/>
      <c r="J240" s="6"/>
    </row>
    <row r="241" spans="1:10">
      <c r="A241" s="6" t="s">
        <v>453</v>
      </c>
      <c r="B241" s="6"/>
      <c r="C241" s="6">
        <f>0</f>
        <v>0</v>
      </c>
      <c r="D241" s="6">
        <f>2035.63</f>
        <v>2035.63</v>
      </c>
      <c r="E241" s="6">
        <f>2035.63</f>
        <v>2035.63</v>
      </c>
      <c r="F241" s="6"/>
      <c r="G241" s="6" t="s">
        <v>454</v>
      </c>
      <c r="H241" s="6" t="s">
        <v>455</v>
      </c>
      <c r="I241" s="6"/>
      <c r="J241" s="6"/>
    </row>
    <row r="242" spans="1:10">
      <c r="A242" s="6" t="s">
        <v>456</v>
      </c>
      <c r="B242" s="6"/>
      <c r="C242" s="6">
        <f>0</f>
        <v>0</v>
      </c>
      <c r="D242" s="6">
        <f>0</f>
        <v>0</v>
      </c>
      <c r="E242" s="6">
        <f>0</f>
        <v>0</v>
      </c>
      <c r="F242" s="6"/>
      <c r="G242" s="6" t="s">
        <v>457</v>
      </c>
      <c r="H242" s="6" t="s">
        <v>458</v>
      </c>
      <c r="I242" s="6"/>
      <c r="J242" s="6"/>
    </row>
    <row r="243" spans="1:10">
      <c r="A243" s="6" t="s">
        <v>459</v>
      </c>
      <c r="B243" s="6"/>
      <c r="C243" s="6">
        <f>0</f>
        <v>0</v>
      </c>
      <c r="D243" s="6">
        <f>1791.68</f>
        <v>1791.68</v>
      </c>
      <c r="E243" s="6">
        <f>1791.68</f>
        <v>1791.68</v>
      </c>
      <c r="F243" s="6"/>
      <c r="G243" s="6" t="s">
        <v>460</v>
      </c>
      <c r="H243" s="6" t="s">
        <v>461</v>
      </c>
      <c r="I243" s="6"/>
      <c r="J243" s="6"/>
    </row>
    <row r="244" spans="1:10">
      <c r="A244" s="6" t="s">
        <v>462</v>
      </c>
      <c r="B244" s="6"/>
      <c r="C244" s="6">
        <f>0</f>
        <v>0</v>
      </c>
      <c r="D244" s="6">
        <f>0</f>
        <v>0</v>
      </c>
      <c r="E244" s="6">
        <f>0</f>
        <v>0</v>
      </c>
      <c r="F244" s="6"/>
      <c r="G244" s="6" t="s">
        <v>463</v>
      </c>
      <c r="H244" s="6" t="s">
        <v>464</v>
      </c>
      <c r="I244" s="6"/>
      <c r="J244" s="6"/>
    </row>
    <row r="245" spans="1:10">
      <c r="A245" s="6" t="s">
        <v>465</v>
      </c>
      <c r="B245" s="6"/>
      <c r="C245" s="6">
        <f>0</f>
        <v>0</v>
      </c>
      <c r="D245" s="6">
        <f>2817.48</f>
        <v>2817.48</v>
      </c>
      <c r="E245" s="6">
        <f>2817.48</f>
        <v>2817.48</v>
      </c>
      <c r="F245" s="6"/>
      <c r="G245" s="6" t="s">
        <v>466</v>
      </c>
      <c r="H245" s="6" t="s">
        <v>467</v>
      </c>
      <c r="I245" s="6"/>
      <c r="J245" s="6"/>
    </row>
    <row r="246" spans="1:10">
      <c r="A246" s="6" t="s">
        <v>468</v>
      </c>
      <c r="B246" s="6"/>
      <c r="C246" s="6">
        <f>0</f>
        <v>0</v>
      </c>
      <c r="D246" s="6">
        <f>2105.41</f>
        <v>2105.41</v>
      </c>
      <c r="E246" s="6">
        <f>2105.41</f>
        <v>2105.41</v>
      </c>
      <c r="F246" s="6"/>
      <c r="G246" s="6" t="s">
        <v>469</v>
      </c>
      <c r="H246" s="6" t="s">
        <v>470</v>
      </c>
      <c r="I246" s="6"/>
      <c r="J246" s="6"/>
    </row>
    <row r="247" spans="1:10">
      <c r="A247" s="6" t="s">
        <v>471</v>
      </c>
      <c r="B247" s="6"/>
      <c r="C247" s="6">
        <f>0</f>
        <v>0</v>
      </c>
      <c r="D247" s="6">
        <f>0</f>
        <v>0</v>
      </c>
      <c r="E247" s="6">
        <f>0</f>
        <v>0</v>
      </c>
      <c r="F247" s="6"/>
      <c r="G247" s="6" t="s">
        <v>472</v>
      </c>
      <c r="H247" s="6" t="s">
        <v>473</v>
      </c>
      <c r="I247" s="6"/>
      <c r="J247" s="6"/>
    </row>
    <row r="248" spans="1:10">
      <c r="A248" s="6" t="s">
        <v>474</v>
      </c>
      <c r="B248" s="6"/>
      <c r="C248" s="6">
        <f>0</f>
        <v>0</v>
      </c>
      <c r="D248" s="6">
        <f>2520.2</f>
        <v>2520.1999999999998</v>
      </c>
      <c r="E248" s="6">
        <f>2520.2</f>
        <v>2520.1999999999998</v>
      </c>
      <c r="F248" s="6"/>
      <c r="G248" s="6" t="s">
        <v>475</v>
      </c>
      <c r="H248" s="6" t="s">
        <v>476</v>
      </c>
      <c r="I248" s="6"/>
      <c r="J248" s="6"/>
    </row>
    <row r="249" spans="1:10">
      <c r="A249" s="6" t="s">
        <v>477</v>
      </c>
      <c r="B249" s="6"/>
      <c r="C249" s="6">
        <f>0</f>
        <v>0</v>
      </c>
      <c r="D249" s="6">
        <f>0</f>
        <v>0</v>
      </c>
      <c r="E249" s="6">
        <f>2502.85</f>
        <v>2502.85</v>
      </c>
      <c r="F249" s="6"/>
      <c r="G249" s="6" t="s">
        <v>478</v>
      </c>
      <c r="H249" s="6" t="s">
        <v>479</v>
      </c>
      <c r="I249" s="6"/>
      <c r="J249" s="6"/>
    </row>
    <row r="250" spans="1:10">
      <c r="A250" s="6" t="s">
        <v>480</v>
      </c>
      <c r="B250" s="6"/>
      <c r="C250" s="6">
        <f>0</f>
        <v>0</v>
      </c>
      <c r="D250" s="6">
        <f>-136.07</f>
        <v>-136.07</v>
      </c>
      <c r="E250" s="6">
        <f>-136.07</f>
        <v>-136.07</v>
      </c>
      <c r="F250" s="6"/>
      <c r="G250" s="6" t="s">
        <v>481</v>
      </c>
      <c r="H250" s="6" t="s">
        <v>482</v>
      </c>
      <c r="I250" s="6"/>
      <c r="J250" s="6"/>
    </row>
    <row r="251" spans="1:10">
      <c r="A251" s="6" t="s">
        <v>483</v>
      </c>
      <c r="B251" s="6"/>
      <c r="C251" s="6">
        <f>0</f>
        <v>0</v>
      </c>
      <c r="D251" s="6">
        <f>2734.52</f>
        <v>2734.52</v>
      </c>
      <c r="E251" s="6">
        <f>2734.52</f>
        <v>2734.52</v>
      </c>
      <c r="F251" s="6"/>
      <c r="G251" s="6" t="s">
        <v>484</v>
      </c>
      <c r="H251" s="6" t="s">
        <v>485</v>
      </c>
      <c r="I251" s="6"/>
      <c r="J251" s="6"/>
    </row>
    <row r="252" spans="1:10">
      <c r="A252" s="6" t="s">
        <v>486</v>
      </c>
      <c r="B252" s="6"/>
      <c r="C252" s="15">
        <f>0</f>
        <v>0</v>
      </c>
      <c r="D252" s="15">
        <f>2734.52</f>
        <v>2734.52</v>
      </c>
      <c r="E252" s="15">
        <f>2734.52</f>
        <v>2734.52</v>
      </c>
      <c r="F252" s="6"/>
      <c r="G252" s="6" t="s">
        <v>487</v>
      </c>
      <c r="H252" s="6" t="s">
        <v>488</v>
      </c>
      <c r="I252" s="6"/>
      <c r="J252" s="6"/>
    </row>
    <row r="253" spans="1:10">
      <c r="A253" s="6" t="s">
        <v>489</v>
      </c>
      <c r="B253" s="6"/>
      <c r="C253" s="15">
        <f>SUM(C225:C252)</f>
        <v>0</v>
      </c>
      <c r="D253" s="15">
        <f>SUM(D225:D252)</f>
        <v>45731.040000000001</v>
      </c>
      <c r="E253" s="15">
        <f>SUM(E225:E252)</f>
        <v>45733.89</v>
      </c>
      <c r="F253" s="6"/>
      <c r="G253" s="6"/>
      <c r="H253" s="6"/>
      <c r="I253" s="6"/>
      <c r="J253" s="6"/>
    </row>
    <row r="254" spans="1:10">
      <c r="A254" s="6"/>
      <c r="B254" s="6"/>
      <c r="C254" s="15"/>
      <c r="D254" s="15"/>
      <c r="E254" s="15"/>
      <c r="F254" s="6"/>
      <c r="G254" s="6"/>
      <c r="H254" s="6"/>
      <c r="I254" s="6"/>
      <c r="J254" s="6"/>
    </row>
    <row r="255" spans="1:10">
      <c r="A255" s="6" t="s">
        <v>490</v>
      </c>
      <c r="B255" s="6"/>
      <c r="C255" s="6">
        <f>C221+C253</f>
        <v>-5000</v>
      </c>
      <c r="D255" s="6">
        <f>D221+D253</f>
        <v>102944.04000000001</v>
      </c>
      <c r="E255" s="6">
        <f>E221+E253</f>
        <v>112107.73</v>
      </c>
      <c r="F255" s="6"/>
      <c r="G255" s="6"/>
      <c r="H255" s="6"/>
      <c r="I255" s="6"/>
      <c r="J255" s="6"/>
    </row>
    <row r="256" spans="1:10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>
      <c r="A258" s="6" t="s">
        <v>491</v>
      </c>
      <c r="B258" s="6"/>
      <c r="C258" s="6">
        <f>0</f>
        <v>0</v>
      </c>
      <c r="D258" s="6">
        <f>0</f>
        <v>0</v>
      </c>
      <c r="E258" s="6">
        <f>13196</f>
        <v>13196</v>
      </c>
      <c r="F258" s="6"/>
      <c r="G258" s="6" t="s">
        <v>492</v>
      </c>
      <c r="H258" s="6" t="s">
        <v>493</v>
      </c>
      <c r="I258" s="6"/>
      <c r="J258" s="6"/>
    </row>
    <row r="259" spans="1:10">
      <c r="A259" s="6" t="s">
        <v>494</v>
      </c>
      <c r="B259" s="6"/>
      <c r="C259" s="15">
        <f>0</f>
        <v>0</v>
      </c>
      <c r="D259" s="15">
        <f>12808.2</f>
        <v>12808.2</v>
      </c>
      <c r="E259" s="15">
        <f>12808.2</f>
        <v>12808.2</v>
      </c>
      <c r="F259" s="6"/>
      <c r="G259" s="6" t="s">
        <v>495</v>
      </c>
      <c r="H259" s="6" t="s">
        <v>496</v>
      </c>
      <c r="I259" s="6"/>
      <c r="J259" s="6"/>
    </row>
    <row r="260" spans="1:10">
      <c r="A260" s="6" t="s">
        <v>497</v>
      </c>
      <c r="B260" s="6"/>
      <c r="C260" s="6">
        <f>SUM(C258:C259)</f>
        <v>0</v>
      </c>
      <c r="D260" s="6">
        <f>SUM(D258:D259)</f>
        <v>12808.2</v>
      </c>
      <c r="E260" s="6">
        <f>SUM(E258:E259)</f>
        <v>26004.2</v>
      </c>
      <c r="F260" s="6"/>
      <c r="G260" s="6"/>
      <c r="H260" s="6"/>
      <c r="I260" s="6"/>
      <c r="J260" s="6"/>
    </row>
    <row r="261" spans="1:10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>
      <c r="A262" s="27" t="s">
        <v>498</v>
      </c>
      <c r="B262" s="6"/>
      <c r="C262" s="6">
        <f>C199+C209+C221+C253+C260</f>
        <v>-28411.57</v>
      </c>
      <c r="D262" s="6">
        <f>D199+D209+D221+D253+D260</f>
        <v>249205.95</v>
      </c>
      <c r="E262" s="6">
        <f>E199+E209+E221+E253+E260</f>
        <v>460719.11999999994</v>
      </c>
      <c r="F262" s="6"/>
      <c r="G262" s="6"/>
      <c r="H262" s="6"/>
      <c r="I262" s="6"/>
      <c r="J262" s="6"/>
    </row>
    <row r="263" spans="1:10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>
      <c r="A265" s="25" t="s">
        <v>499</v>
      </c>
      <c r="B265" s="6"/>
      <c r="C265" s="6"/>
      <c r="D265" s="6"/>
      <c r="E265" s="6"/>
      <c r="F265" s="6"/>
      <c r="G265" s="6"/>
      <c r="H265" s="6"/>
      <c r="I265" s="6"/>
      <c r="J265" s="6"/>
    </row>
    <row r="266" spans="1:10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>
      <c r="A267" s="6" t="s">
        <v>500</v>
      </c>
      <c r="B267" s="6"/>
      <c r="C267" s="6">
        <f>0</f>
        <v>0</v>
      </c>
      <c r="D267" s="6">
        <f>-16777.29</f>
        <v>-16777.29</v>
      </c>
      <c r="E267" s="6">
        <f>-16777.29</f>
        <v>-16777.29</v>
      </c>
      <c r="F267" s="6"/>
      <c r="G267" s="6" t="s">
        <v>501</v>
      </c>
      <c r="H267" s="6" t="s">
        <v>502</v>
      </c>
      <c r="I267" s="6"/>
      <c r="J267" s="6"/>
    </row>
    <row r="268" spans="1:10">
      <c r="A268" s="6" t="s">
        <v>503</v>
      </c>
      <c r="B268" s="6"/>
      <c r="C268" s="6">
        <f>0</f>
        <v>0</v>
      </c>
      <c r="D268" s="6">
        <f>24791.9</f>
        <v>24791.9</v>
      </c>
      <c r="E268" s="6">
        <f>24791.9</f>
        <v>24791.9</v>
      </c>
      <c r="F268" s="6"/>
      <c r="G268" s="6" t="s">
        <v>504</v>
      </c>
      <c r="H268" s="6" t="s">
        <v>505</v>
      </c>
      <c r="I268" s="6"/>
      <c r="J268" s="6"/>
    </row>
    <row r="269" spans="1:10">
      <c r="A269" s="6" t="s">
        <v>506</v>
      </c>
      <c r="B269" s="6"/>
      <c r="C269" s="6">
        <f>0</f>
        <v>0</v>
      </c>
      <c r="D269" s="6">
        <f>69659.38</f>
        <v>69659.38</v>
      </c>
      <c r="E269" s="6">
        <f>69659.38</f>
        <v>69659.38</v>
      </c>
      <c r="F269" s="6"/>
      <c r="G269" s="6" t="s">
        <v>507</v>
      </c>
      <c r="H269" s="6" t="s">
        <v>508</v>
      </c>
      <c r="I269" s="6"/>
      <c r="J269" s="6"/>
    </row>
    <row r="270" spans="1:10">
      <c r="A270" s="6" t="s">
        <v>509</v>
      </c>
      <c r="B270" s="6"/>
      <c r="C270" s="6">
        <f>0</f>
        <v>0</v>
      </c>
      <c r="D270" s="6">
        <f>2500</f>
        <v>2500</v>
      </c>
      <c r="E270" s="6">
        <f>2500</f>
        <v>2500</v>
      </c>
      <c r="F270" s="6"/>
      <c r="G270" s="6" t="s">
        <v>510</v>
      </c>
      <c r="H270" s="6" t="s">
        <v>511</v>
      </c>
      <c r="I270" s="6"/>
      <c r="J270" s="6"/>
    </row>
    <row r="271" spans="1:10">
      <c r="A271" s="6" t="s">
        <v>512</v>
      </c>
      <c r="B271" s="6"/>
      <c r="C271" s="6">
        <f>0</f>
        <v>0</v>
      </c>
      <c r="D271" s="6">
        <f>6062.97</f>
        <v>6062.97</v>
      </c>
      <c r="E271" s="6">
        <f>6062.97</f>
        <v>6062.97</v>
      </c>
      <c r="F271" s="6"/>
      <c r="G271" s="6" t="s">
        <v>513</v>
      </c>
      <c r="H271" s="6" t="s">
        <v>514</v>
      </c>
      <c r="I271" s="6"/>
      <c r="J271" s="6"/>
    </row>
    <row r="272" spans="1:10">
      <c r="A272" s="6" t="s">
        <v>515</v>
      </c>
      <c r="B272" s="6"/>
      <c r="C272" s="6">
        <f>0</f>
        <v>0</v>
      </c>
      <c r="D272" s="6">
        <f>1000</f>
        <v>1000</v>
      </c>
      <c r="E272" s="6">
        <f>1000</f>
        <v>1000</v>
      </c>
      <c r="F272" s="6"/>
      <c r="G272" s="6" t="s">
        <v>516</v>
      </c>
      <c r="H272" s="6" t="s">
        <v>517</v>
      </c>
      <c r="I272" s="6"/>
      <c r="J272" s="6"/>
    </row>
    <row r="273" spans="1:10">
      <c r="A273" s="6" t="s">
        <v>518</v>
      </c>
      <c r="B273" s="6"/>
      <c r="C273" s="6">
        <f>0</f>
        <v>0</v>
      </c>
      <c r="D273" s="6">
        <f>47940.15</f>
        <v>47940.15</v>
      </c>
      <c r="E273" s="6">
        <f>47940.15</f>
        <v>47940.15</v>
      </c>
      <c r="F273" s="6"/>
      <c r="G273" s="6" t="s">
        <v>519</v>
      </c>
      <c r="H273" s="6" t="s">
        <v>520</v>
      </c>
      <c r="I273" s="6"/>
      <c r="J273" s="6"/>
    </row>
    <row r="274" spans="1:10">
      <c r="A274" s="6" t="s">
        <v>521</v>
      </c>
      <c r="B274" s="6"/>
      <c r="C274" s="15">
        <f>5329.42</f>
        <v>5329.42</v>
      </c>
      <c r="D274" s="15">
        <f>1195951.66</f>
        <v>1195951.6599999999</v>
      </c>
      <c r="E274" s="15">
        <f>1158645.72</f>
        <v>1158645.72</v>
      </c>
      <c r="F274" s="6"/>
      <c r="G274" s="6" t="s">
        <v>522</v>
      </c>
      <c r="H274" s="6" t="s">
        <v>523</v>
      </c>
      <c r="I274" s="6"/>
      <c r="J274" s="6"/>
    </row>
    <row r="275" spans="1:10">
      <c r="A275" s="6" t="s">
        <v>524</v>
      </c>
      <c r="B275" s="6"/>
      <c r="C275" s="6">
        <f>SUM(C266:C274)</f>
        <v>5329.42</v>
      </c>
      <c r="D275" s="6">
        <f>SUM(D266:D274)</f>
        <v>1331128.77</v>
      </c>
      <c r="E275" s="6">
        <f>SUM(E266:E274)</f>
        <v>1293822.83</v>
      </c>
      <c r="F275" s="6"/>
      <c r="G275" s="6"/>
      <c r="H275" s="6"/>
      <c r="I275" s="6"/>
      <c r="J275" s="6"/>
    </row>
    <row r="276" spans="1:10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>
      <c r="A277" s="6" t="s">
        <v>525</v>
      </c>
      <c r="B277" s="6"/>
      <c r="C277" s="6">
        <f>-5329.42</f>
        <v>-5329.42</v>
      </c>
      <c r="D277" s="6">
        <f>2037447.01</f>
        <v>2037447.01</v>
      </c>
      <c r="E277" s="6">
        <f>2000159.35</f>
        <v>2000159.35</v>
      </c>
      <c r="F277" s="6"/>
      <c r="G277" s="6" t="s">
        <v>526</v>
      </c>
      <c r="H277" s="6" t="s">
        <v>527</v>
      </c>
      <c r="I277" s="6"/>
      <c r="J277" s="6"/>
    </row>
    <row r="278" spans="1:10">
      <c r="A278" s="6" t="s">
        <v>528</v>
      </c>
      <c r="B278" s="6"/>
      <c r="C278" s="15">
        <f>-337984.12</f>
        <v>-337984.12</v>
      </c>
      <c r="D278" s="15">
        <f>235932.79</f>
        <v>235932.79</v>
      </c>
      <c r="E278" s="15">
        <f>74593.6</f>
        <v>74593.600000000006</v>
      </c>
      <c r="F278" s="6"/>
      <c r="G278" s="6" t="s">
        <v>246</v>
      </c>
      <c r="H278" s="6" t="s">
        <v>247</v>
      </c>
      <c r="I278" s="6"/>
      <c r="J278" s="6"/>
    </row>
    <row r="279" spans="1:10">
      <c r="A279" s="6" t="s">
        <v>529</v>
      </c>
      <c r="B279" s="6"/>
      <c r="C279" s="6">
        <f>SUM(C277:C278)</f>
        <v>-343313.54</v>
      </c>
      <c r="D279" s="6">
        <f>SUM(D277:D278)</f>
        <v>2273379.7999999998</v>
      </c>
      <c r="E279" s="6">
        <f>SUM(E277:E278)</f>
        <v>2074752.9500000002</v>
      </c>
      <c r="F279" s="6"/>
      <c r="G279" s="6"/>
      <c r="H279" s="6"/>
      <c r="I279" s="6"/>
      <c r="J279" s="6"/>
    </row>
    <row r="280" spans="1:10">
      <c r="A280" s="6"/>
      <c r="B280" s="6"/>
      <c r="C280" s="6"/>
      <c r="D280" s="6"/>
      <c r="E280" s="6"/>
      <c r="F280" s="6"/>
      <c r="G280" s="6" t="s">
        <v>530</v>
      </c>
      <c r="H280" s="6"/>
      <c r="I280" s="6"/>
      <c r="J280" s="6"/>
    </row>
    <row r="281" spans="1:10">
      <c r="A281" s="27" t="s">
        <v>531</v>
      </c>
      <c r="B281" s="6"/>
      <c r="C281" s="6">
        <f>C275+C279</f>
        <v>-337984.12</v>
      </c>
      <c r="D281" s="6">
        <f>D275+D279</f>
        <v>3604508.57</v>
      </c>
      <c r="E281" s="6">
        <f>E275+E279</f>
        <v>3368575.7800000003</v>
      </c>
      <c r="F281" s="6"/>
      <c r="G281" s="6" t="s">
        <v>499</v>
      </c>
      <c r="H281" s="6">
        <f>3368575.78</f>
        <v>3368575.78</v>
      </c>
      <c r="I281" s="6" t="s">
        <v>241</v>
      </c>
      <c r="J281" s="6" t="s">
        <v>242</v>
      </c>
    </row>
    <row r="282" spans="1:10">
      <c r="A282" s="27"/>
      <c r="B282" s="6"/>
      <c r="C282" s="6"/>
      <c r="D282" s="6"/>
      <c r="E282" s="6"/>
      <c r="F282" s="6"/>
      <c r="G282" s="6" t="s">
        <v>532</v>
      </c>
      <c r="H282" s="26">
        <f>235932.79</f>
        <v>235932.79</v>
      </c>
      <c r="I282" s="6" t="s">
        <v>246</v>
      </c>
      <c r="J282" s="6" t="s">
        <v>247</v>
      </c>
    </row>
    <row r="283" spans="1:10" ht="12" thickBot="1">
      <c r="A283" s="27" t="s">
        <v>533</v>
      </c>
      <c r="B283" s="6"/>
      <c r="C283" s="16">
        <f>C262+C281</f>
        <v>-366395.69</v>
      </c>
      <c r="D283" s="16">
        <f>D262+D281</f>
        <v>3853714.52</v>
      </c>
      <c r="E283" s="16">
        <f>E262+E281</f>
        <v>3829294.9000000004</v>
      </c>
      <c r="F283" s="6"/>
      <c r="G283" s="6" t="s">
        <v>534</v>
      </c>
      <c r="H283" s="6">
        <f>SUM(H281:H282)</f>
        <v>3604508.57</v>
      </c>
      <c r="I283" s="6"/>
      <c r="J283" s="6"/>
    </row>
    <row r="284" spans="1:10" ht="12" thickTop="1">
      <c r="A284" s="6"/>
      <c r="B284" s="6"/>
      <c r="C284" s="6"/>
      <c r="D284" s="6"/>
      <c r="E284" s="6"/>
      <c r="F284" s="6"/>
      <c r="G284" s="6" t="s">
        <v>69</v>
      </c>
      <c r="H284" s="6"/>
      <c r="I284" s="6"/>
      <c r="J284" s="6"/>
    </row>
    <row r="285" spans="1:10">
      <c r="A285" s="6"/>
      <c r="B285" s="6"/>
      <c r="C285" s="6"/>
      <c r="D285" s="6"/>
      <c r="E285" s="6"/>
      <c r="F285" s="6"/>
      <c r="G285" s="6" t="s">
        <v>535</v>
      </c>
      <c r="H285" s="6">
        <f>3855164.52</f>
        <v>3855164.52</v>
      </c>
      <c r="I285" s="6" t="s">
        <v>258</v>
      </c>
      <c r="J285" s="6" t="s">
        <v>259</v>
      </c>
    </row>
    <row r="286" spans="1:10">
      <c r="A286" s="6"/>
      <c r="B286" s="6"/>
      <c r="C286" s="6"/>
      <c r="D286" s="6"/>
      <c r="E286" s="6"/>
      <c r="F286" s="6"/>
      <c r="G286" s="6" t="s">
        <v>536</v>
      </c>
      <c r="H286" s="6">
        <f>3855164.52</f>
        <v>3855164.52</v>
      </c>
      <c r="I286" s="6" t="s">
        <v>537</v>
      </c>
      <c r="J286" s="6" t="s">
        <v>538</v>
      </c>
    </row>
    <row r="287" spans="1:10">
      <c r="A287" s="6"/>
      <c r="B287" s="6"/>
      <c r="C287" s="6"/>
      <c r="D287" s="6"/>
      <c r="E287" s="6"/>
      <c r="F287" s="6"/>
      <c r="G287" s="6" t="s">
        <v>539</v>
      </c>
      <c r="H287" s="6">
        <f>H285-H286</f>
        <v>0</v>
      </c>
      <c r="I287" s="6"/>
      <c r="J287" s="6"/>
    </row>
    <row r="288" spans="1:10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>
      <c r="A289" s="6"/>
      <c r="B289" s="6"/>
      <c r="C289" s="6"/>
      <c r="D289" s="6"/>
      <c r="E289" s="6"/>
      <c r="F289" s="6"/>
      <c r="G289" s="6"/>
      <c r="H289" s="6">
        <f>D178</f>
        <v>3853714.5199999996</v>
      </c>
      <c r="I289" s="6"/>
      <c r="J289" s="6"/>
    </row>
    <row r="290" spans="1:10">
      <c r="A290" s="6"/>
      <c r="B290" s="6"/>
      <c r="C290" s="6"/>
      <c r="D290" s="6"/>
      <c r="E290" s="6"/>
      <c r="F290" s="6"/>
      <c r="G290" s="6"/>
      <c r="H290" s="6">
        <f>-D283</f>
        <v>-3853714.52</v>
      </c>
      <c r="I290" s="6"/>
      <c r="J290" s="6"/>
    </row>
    <row r="291" spans="1:10">
      <c r="A291" s="6"/>
      <c r="B291" s="6"/>
      <c r="C291" s="6"/>
      <c r="D291" s="6"/>
      <c r="E291" s="6"/>
      <c r="F291" s="6"/>
      <c r="G291" s="6"/>
      <c r="H291" s="6">
        <f>SUM(H289:H290)</f>
        <v>0</v>
      </c>
      <c r="I291" s="6"/>
      <c r="J291" s="6"/>
    </row>
    <row r="292" spans="1:10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5">
      <c r="A305" s="28"/>
      <c r="B305" s="28"/>
      <c r="C305" s="5"/>
      <c r="D305" s="5"/>
      <c r="E305" s="5"/>
    </row>
    <row r="306" spans="1:5">
      <c r="A306" s="28"/>
      <c r="B306" s="28"/>
      <c r="C306" s="5"/>
      <c r="D306" s="5"/>
      <c r="E306" s="5"/>
    </row>
    <row r="307" spans="1:5">
      <c r="A307" s="28"/>
      <c r="B307" s="28"/>
      <c r="C307" s="5"/>
      <c r="D307" s="5"/>
      <c r="E307" s="5"/>
    </row>
    <row r="308" spans="1:5">
      <c r="A308" s="28"/>
      <c r="B308" s="28"/>
      <c r="C308" s="5"/>
      <c r="D308" s="5"/>
      <c r="E308" s="5"/>
    </row>
    <row r="309" spans="1:5">
      <c r="A309" s="28"/>
      <c r="B309" s="28"/>
      <c r="C309" s="5"/>
      <c r="D309" s="5"/>
      <c r="E309" s="5"/>
    </row>
    <row r="310" spans="1:5">
      <c r="A310" s="28"/>
      <c r="B310" s="28"/>
      <c r="C310" s="5"/>
      <c r="D310" s="5"/>
      <c r="E310" s="5"/>
    </row>
    <row r="311" spans="1:5">
      <c r="A311" s="28"/>
      <c r="B311" s="28"/>
      <c r="C311" s="5"/>
      <c r="D311" s="5"/>
      <c r="E311" s="5"/>
    </row>
    <row r="312" spans="1:5">
      <c r="A312" s="28"/>
      <c r="B312" s="28"/>
      <c r="C312" s="5"/>
      <c r="D312" s="5"/>
      <c r="E312" s="5"/>
    </row>
    <row r="313" spans="1:5">
      <c r="A313" s="28"/>
      <c r="B313" s="28"/>
      <c r="C313" s="5"/>
      <c r="D313" s="5"/>
      <c r="E313" s="5"/>
    </row>
    <row r="314" spans="1:5">
      <c r="A314" s="28"/>
      <c r="B314" s="28"/>
      <c r="C314" s="5"/>
      <c r="D314" s="5"/>
      <c r="E314" s="5"/>
    </row>
    <row r="315" spans="1:5">
      <c r="A315" s="28"/>
      <c r="B315" s="28"/>
      <c r="C315" s="5"/>
      <c r="D315" s="5"/>
      <c r="E315" s="5"/>
    </row>
    <row r="316" spans="1:5">
      <c r="A316" s="28"/>
      <c r="B316" s="28"/>
      <c r="C316" s="5"/>
      <c r="D316" s="5"/>
      <c r="E316" s="5"/>
    </row>
    <row r="317" spans="1:5">
      <c r="A317" s="28"/>
      <c r="B317" s="28"/>
      <c r="C317" s="5"/>
      <c r="D317" s="5"/>
      <c r="E317" s="5"/>
    </row>
  </sheetData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rowBreaks count="2" manualBreakCount="2">
    <brk id="61" max="16383" man="1"/>
    <brk id="180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9007-3A75-40F0-B389-248E9C50BD60}">
  <sheetPr transitionEvaluation="1"/>
  <dimension ref="A1"/>
  <sheetViews>
    <sheetView defaultGridColor="0" colorId="22" zoomScale="87" workbookViewId="0">
      <selection activeCell="B2" sqref="B2"/>
    </sheetView>
  </sheetViews>
  <sheetFormatPr baseColWidth="10" defaultColWidth="9.83203125" defaultRowHeight="11.25"/>
  <sheetData/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colBreaks count="2" manualBreakCount="2">
    <brk id="11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14</vt:i4>
      </vt:variant>
    </vt:vector>
  </HeadingPairs>
  <TitlesOfParts>
    <vt:vector size="16" baseType="lpstr">
      <vt:lpstr>A</vt:lpstr>
      <vt:lpstr>B</vt:lpstr>
      <vt:lpstr>ACCOUNT</vt:lpstr>
      <vt:lpstr>COMPANY</vt:lpstr>
      <vt:lpstr>A!Druckbereich</vt:lpstr>
      <vt:lpstr>Druckbereich</vt:lpstr>
      <vt:lpstr>EXPENSE</vt:lpstr>
      <vt:lpstr>EXTENSION</vt:lpstr>
      <vt:lpstr>MAIN</vt:lpstr>
      <vt:lpstr>MASK</vt:lpstr>
      <vt:lpstr>PERIOD</vt:lpstr>
      <vt:lpstr>PERIOD1</vt:lpstr>
      <vt:lpstr>PRINT_AREA_MI</vt:lpstr>
      <vt:lpstr>TYPE</vt:lpstr>
      <vt:lpstr>TYPE2</vt:lpstr>
      <vt:lpstr>YEAR</vt:lpstr>
    </vt:vector>
  </TitlesOfParts>
  <Company>JCI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gist</dc:creator>
  <cp:lastModifiedBy>Kaufmann Timon</cp:lastModifiedBy>
  <dcterms:created xsi:type="dcterms:W3CDTF">2002-08-19T12:10:04Z</dcterms:created>
  <dcterms:modified xsi:type="dcterms:W3CDTF">2026-02-03T12:50:14Z</dcterms:modified>
</cp:coreProperties>
</file>