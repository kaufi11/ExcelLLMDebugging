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s by Source" sheetId="1" state="visible" r:id="rId2"/>
    <sheet name="Expenditures by Function" sheetId="2" state="visible" r:id="rId3"/>
    <sheet name="Expenditures by Category" sheetId="3" state="visible" r:id="rId4"/>
    <sheet name="General State Financial Aid" sheetId="4" state="visible" r:id="rId5"/>
    <sheet name="FTEE Calculation" sheetId="5" state="visible" r:id="rId6"/>
    <sheet name="FTEE Graph" sheetId="6" state="visible" r:id="rId7"/>
  </sheets>
  <definedNames>
    <definedName function="false" hidden="false" localSheetId="3" name="_xlnm.Print_Area" vbProcedure="false">'General State Financial Aid'!$A$1:$D$61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<sst xmlns="http://schemas.openxmlformats.org/spreadsheetml/2006/main" count="176" uniqueCount="103">
  <si>
    <t xml:space="preserve">Table 22</t>
  </si>
  <si>
    <t xml:space="preserve">Iowa Community Colleges</t>
  </si>
  <si>
    <t xml:space="preserve">Revenues by Source as Percent of the Unrestricted General Operating Fund Revenues</t>
  </si>
  <si>
    <t xml:space="preserve">Fiscal Year 1999-2000</t>
  </si>
  <si>
    <t xml:space="preserve">Percentage</t>
  </si>
  <si>
    <t xml:space="preserve">Dollar Revenue</t>
  </si>
  <si>
    <t xml:space="preserve">Revenue Source</t>
  </si>
  <si>
    <t xml:space="preserve">of Total</t>
  </si>
  <si>
    <t xml:space="preserve">by Source</t>
  </si>
  <si>
    <t xml:space="preserve">Tuition &amp; Fees</t>
  </si>
  <si>
    <t xml:space="preserve">Local</t>
  </si>
  <si>
    <t xml:space="preserve">General State Financial Aid</t>
  </si>
  <si>
    <t xml:space="preserve">Federal</t>
  </si>
  <si>
    <t xml:space="preserve">Other Income</t>
  </si>
  <si>
    <t xml:space="preserve">#</t>
  </si>
  <si>
    <t xml:space="preserve">Total Revenues ^</t>
  </si>
  <si>
    <t xml:space="preserve">*</t>
  </si>
  <si>
    <t xml:space="preserve">^ Total per confirmation with individual community colleges on 6-12-01. </t>
  </si>
  <si>
    <t xml:space="preserve"># Other Income includes: Other State Aid (12.29%), Sales &amp; Services (22.32%), and Other Income (65.39%)</t>
  </si>
  <si>
    <t xml:space="preserve">* Figures rounded to the nearest whole dollar and may differ from the Revenues by Source due to rounding.</t>
  </si>
  <si>
    <t xml:space="preserve">Source:  Iowa Department of Education, Annual Report Fiscal Year 2000, Unrestricted </t>
  </si>
  <si>
    <t xml:space="preserve">General Fund AS-15E, Fund 1.</t>
  </si>
  <si>
    <t xml:space="preserve">Figure 21</t>
  </si>
  <si>
    <t xml:space="preserve">Table 23</t>
  </si>
  <si>
    <t xml:space="preserve">Expenditures by Function of the Unrestricted General Operating Fund Expenditures</t>
  </si>
  <si>
    <t xml:space="preserve">Percent</t>
  </si>
  <si>
    <t xml:space="preserve">Dollar Expenditures</t>
  </si>
  <si>
    <t xml:space="preserve">Expenditures by Function</t>
  </si>
  <si>
    <t xml:space="preserve">by Function</t>
  </si>
  <si>
    <t xml:space="preserve">Arts &amp; Sciences</t>
  </si>
  <si>
    <t xml:space="preserve">Vocational Technical</t>
  </si>
  <si>
    <t xml:space="preserve">Adult Education</t>
  </si>
  <si>
    <t xml:space="preserve">Cooperative Pgms/Svcs.</t>
  </si>
  <si>
    <t xml:space="preserve">Administration</t>
  </si>
  <si>
    <t xml:space="preserve">Student Services</t>
  </si>
  <si>
    <t xml:space="preserve">Learning Resources</t>
  </si>
  <si>
    <t xml:space="preserve">Physical Plant</t>
  </si>
  <si>
    <t xml:space="preserve">General Institutional</t>
  </si>
  <si>
    <t xml:space="preserve">Total Expenditures</t>
  </si>
  <si>
    <t xml:space="preserve">* Figures rounded to the nearest whole dollar and may differ from Expenditures by Function due to rounding.</t>
  </si>
  <si>
    <t xml:space="preserve">Source:  Iowa Department of Education, Annual Report Fiscal Year 2000, Unrestricted</t>
  </si>
  <si>
    <t xml:space="preserve">Figure 22</t>
  </si>
  <si>
    <t xml:space="preserve">Table 24</t>
  </si>
  <si>
    <t xml:space="preserve">Expenditures by Category of the Unrestricted General Operating Fund Expenditures</t>
  </si>
  <si>
    <t xml:space="preserve">Expenditures by Category</t>
  </si>
  <si>
    <t xml:space="preserve">by Category</t>
  </si>
  <si>
    <t xml:space="preserve">Salaries</t>
  </si>
  <si>
    <t xml:space="preserve">Services</t>
  </si>
  <si>
    <t xml:space="preserve">Matls, Supp &amp; Travel</t>
  </si>
  <si>
    <t xml:space="preserve">Current Expenses</t>
  </si>
  <si>
    <t xml:space="preserve">Capital Outlay</t>
  </si>
  <si>
    <t xml:space="preserve">* Figures rounded to the nearest whole dollar and may differ from Expenditures by Category due to rounding.</t>
  </si>
  <si>
    <t xml:space="preserve">Figure 23</t>
  </si>
  <si>
    <t xml:space="preserve">Table 25</t>
  </si>
  <si>
    <t xml:space="preserve">General State Financial Aid by Iowa Community College</t>
  </si>
  <si>
    <t xml:space="preserve">General State</t>
  </si>
  <si>
    <t xml:space="preserve">Total % of General</t>
  </si>
  <si>
    <t xml:space="preserve">% of Total FTEE</t>
  </si>
  <si>
    <t xml:space="preserve">College - Area #</t>
  </si>
  <si>
    <t xml:space="preserve">Financial Aid</t>
  </si>
  <si>
    <t xml:space="preserve">State Financial Aid</t>
  </si>
  <si>
    <t xml:space="preserve">Fiscal Year 1998 #</t>
  </si>
  <si>
    <t xml:space="preserve">NICC-01</t>
  </si>
  <si>
    <t xml:space="preserve">NIACC-02</t>
  </si>
  <si>
    <t xml:space="preserve">ILCC-03</t>
  </si>
  <si>
    <t xml:space="preserve">NCC-04</t>
  </si>
  <si>
    <t xml:space="preserve">ICCC-05</t>
  </si>
  <si>
    <t xml:space="preserve">IVCCD-06</t>
  </si>
  <si>
    <t xml:space="preserve">HCC-07</t>
  </si>
  <si>
    <t xml:space="preserve">EICCD-09</t>
  </si>
  <si>
    <t xml:space="preserve">KCC-10</t>
  </si>
  <si>
    <t xml:space="preserve">DMACC-11</t>
  </si>
  <si>
    <t xml:space="preserve">WITCC-12</t>
  </si>
  <si>
    <t xml:space="preserve">IWCC-13</t>
  </si>
  <si>
    <t xml:space="preserve">SWCC-14</t>
  </si>
  <si>
    <t xml:space="preserve">IHCC-15</t>
  </si>
  <si>
    <t xml:space="preserve">SCC-16</t>
  </si>
  <si>
    <t xml:space="preserve">Total</t>
  </si>
  <si>
    <t xml:space="preserve"># Fiscal Year 1997-1998 FTEE calculated the Fiscal Year 1999-2000 General State Financial Aid due to</t>
  </si>
  <si>
    <t xml:space="preserve">the deadline for submission to the Legislature.</t>
  </si>
  <si>
    <t xml:space="preserve">Source:  Iowa Department of Education, Annual Report Fiscal Year 2000, Unrestricted General Fund, Fund 1</t>
  </si>
  <si>
    <t xml:space="preserve">               Iowa Department of Education, Fiscal Year 2000 Reimbursement CE-4b Pro-Rate Sheet</t>
  </si>
  <si>
    <t xml:space="preserve">Figure 24</t>
  </si>
  <si>
    <t xml:space="preserve">Table 26</t>
  </si>
  <si>
    <t xml:space="preserve">Iowa community Colleges</t>
  </si>
  <si>
    <t xml:space="preserve">FTEE Calculation by Iowa Community College</t>
  </si>
  <si>
    <t xml:space="preserve">Total </t>
  </si>
  <si>
    <t xml:space="preserve">% of Total</t>
  </si>
  <si>
    <t xml:space="preserve">Credit</t>
  </si>
  <si>
    <t xml:space="preserve">Non-Credit</t>
  </si>
  <si>
    <t xml:space="preserve">FTEE</t>
  </si>
  <si>
    <t xml:space="preserve">% of College</t>
  </si>
  <si>
    <t xml:space="preserve">Contact</t>
  </si>
  <si>
    <t xml:space="preserve">Non-Credit </t>
  </si>
  <si>
    <t xml:space="preserve">Fiscal Year</t>
  </si>
  <si>
    <t xml:space="preserve">Hours</t>
  </si>
  <si>
    <t xml:space="preserve">Total FTEE</t>
  </si>
  <si>
    <t xml:space="preserve">1998 #</t>
  </si>
  <si>
    <t xml:space="preserve">* Percentages may not equal 100% due to rounding.</t>
  </si>
  <si>
    <t xml:space="preserve"># Fiscal Year 1997-1998 FTEE calculated the Fiscal Year 1999-2000 General State Financial Aid due to the deadline for submission to the Legislature.</t>
  </si>
  <si>
    <t xml:space="preserve">Source:  Iowa Department of Education, Bureau of Community Colleges, Iowa Community College Management Information System (MIS), </t>
  </si>
  <si>
    <t xml:space="preserve">      Iowa Department of Education, Fiscal Year 2000 Reimbursement CE-4b Pro-Rate Sheet.</t>
  </si>
  <si>
    <t xml:space="preserve">Figure 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</si>
</sst>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%"/>
    <numFmt numFmtId="167" formatCode="_(* #,##0.00_);_(* \(#,##0.00\);_(* \-??_);_(@_)"/>
    <numFmt numFmtId="168" formatCode="\$#,##0"/>
    <numFmt numFmtId="169" formatCode="_(\$* #,##0.00_);_(\$* \(#,##0.00\);_(\$* \-??_);_(@_)"/>
    <numFmt numFmtId="170" formatCode="_(\$* #,##0_);_(\$* \(#,##0\);_(\$* \-??_);_(@_)"/>
    <numFmt numFmtId="171" formatCode="0.0000%"/>
    <numFmt numFmtId="172" formatCode="_(* #,##0_);_(* \(#,##0\);_(* \-??_);_(@_)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'Revenues by Source'!$A$9:$A$13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Source'!$B$9:$B$13</c:f>
              <c:numCache>
                <c:formatCode>General</c:formatCode>
                <c:ptCount val="5"/>
                <c:pt idx="0">
                  <c:v>0.38741960947102</c:v>
                </c:pt>
                <c:pt idx="1">
                  <c:v>0.0583008018618788</c:v>
                </c:pt>
                <c:pt idx="2">
                  <c:v>0.453894205925204</c:v>
                </c:pt>
                <c:pt idx="3">
                  <c:v>0.0339804650391417</c:v>
                </c:pt>
                <c:pt idx="4">
                  <c:v>0.066404917702755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explosion val="25"/>
            <c:spPr>
              <a:solidFill>
                <a:srgbClr val="ff8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explosion val="25"/>
            <c:spPr>
              <a:solidFill>
                <a:srgbClr val="0066cc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explosion val="25"/>
            <c:spPr>
              <a:solidFill>
                <a:srgbClr val="ccccff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explosion val="25"/>
            <c:spPr>
              <a:solidFill>
                <a:srgbClr val="00008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Function'!$A$9:$A$17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Function'!$B$9:$B$17</c:f>
              <c:numCache>
                <c:formatCode>General</c:formatCode>
                <c:ptCount val="9"/>
                <c:pt idx="0">
                  <c:v>0.20790841837894</c:v>
                </c:pt>
                <c:pt idx="1">
                  <c:v>0.251673081451675</c:v>
                </c:pt>
                <c:pt idx="2">
                  <c:v>0.113416195133061</c:v>
                </c:pt>
                <c:pt idx="3">
                  <c:v>0.032639483488018</c:v>
                </c:pt>
                <c:pt idx="4">
                  <c:v>0.0550926533196448</c:v>
                </c:pt>
                <c:pt idx="5">
                  <c:v>0.0815377519092011</c:v>
                </c:pt>
                <c:pt idx="6">
                  <c:v>0.0330953297903545</c:v>
                </c:pt>
                <c:pt idx="7">
                  <c:v>0.104211458486107</c:v>
                </c:pt>
                <c:pt idx="8">
                  <c:v>0.120425628042999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Category'!$A$9:$A$13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Category'!$B$9:$B$13</c:f>
              <c:numCache>
                <c:formatCode>General</c:formatCode>
                <c:ptCount val="5"/>
                <c:pt idx="0">
                  <c:v>0.740504532351586</c:v>
                </c:pt>
                <c:pt idx="1">
                  <c:v>0.13751976593824</c:v>
                </c:pt>
                <c:pt idx="2">
                  <c:v>0.0593032242105502</c:v>
                </c:pt>
                <c:pt idx="3">
                  <c:v>0.0357388884700157</c:v>
                </c:pt>
                <c:pt idx="4">
                  <c:v>0.0269335890296073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5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6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7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'General State Financial Aid'!$A$9:$A$23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Aid'!$C$9:$C$23</c:f>
              <c:numCache>
                <c:formatCode>General</c:formatCode>
                <c:ptCount val="15"/>
                <c:pt idx="0">
                  <c:v>0.0479483650367566</c:v>
                </c:pt>
                <c:pt idx="1">
                  <c:v>0.0563781566186802</c:v>
                </c:pt>
                <c:pt idx="2">
                  <c:v>0.05263868274233</c:v>
                </c:pt>
                <c:pt idx="3">
                  <c:v>0.0256972929500621</c:v>
                </c:pt>
                <c:pt idx="4">
                  <c:v>0.0536712345260352</c:v>
                </c:pt>
                <c:pt idx="5">
                  <c:v>0.0498635718017797</c:v>
                </c:pt>
                <c:pt idx="6">
                  <c:v>0.0716119294828427</c:v>
                </c:pt>
                <c:pt idx="7">
                  <c:v>0.0879022410094639</c:v>
                </c:pt>
                <c:pt idx="8">
                  <c:v>0.137596908738325</c:v>
                </c:pt>
                <c:pt idx="9">
                  <c:v>0.146352536216532</c:v>
                </c:pt>
                <c:pt idx="10">
                  <c:v>0.0577325535488174</c:v>
                </c:pt>
                <c:pt idx="11">
                  <c:v>0.0593011089488624</c:v>
                </c:pt>
                <c:pt idx="12">
                  <c:v>0.0260240682617974</c:v>
                </c:pt>
                <c:pt idx="13">
                  <c:v>0.0816648755733992</c:v>
                </c:pt>
                <c:pt idx="14">
                  <c:v>0.0456164745443169</c:v>
                </c:pt>
              </c:numCache>
            </c:numRef>
          </c:val>
        </c:ser>
        <c:gapWidth val="150"/>
        <c:overlap val="0"/>
        <c:axId val="70483248"/>
        <c:axId val="79369833"/>
      </c:barChart>
      <c:catAx>
        <c:axId val="7048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9369833"/>
        <c:crossesAt val="0"/>
        <c:auto val="1"/>
        <c:lblAlgn val="ctr"/>
        <c:lblOffset val="100"/>
        <c:noMultiLvlLbl val="0"/>
      </c:catAx>
      <c:valAx>
        <c:axId val="7936983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% of Total General State Financial Aid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0483248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17294775162796"/>
          <c:y val="0.0539069171648164"/>
          <c:w val="0.756499000153823"/>
          <c:h val="0.918659265584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Calculation'!$C$8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Calculation'!$C$11:$C$25</c:f>
              <c:numCache>
                <c:formatCode>General</c:formatCode>
                <c:ptCount val="15"/>
                <c:pt idx="0">
                  <c:v>2964.0625</c:v>
                </c:pt>
                <c:pt idx="1">
                  <c:v>2783.10416666667</c:v>
                </c:pt>
                <c:pt idx="2">
                  <c:v>2580.70833333333</c:v>
                </c:pt>
                <c:pt idx="3">
                  <c:v>973.875</c:v>
                </c:pt>
                <c:pt idx="4">
                  <c:v>2694.62291666667</c:v>
                </c:pt>
                <c:pt idx="5">
                  <c:v>2096.94791666667</c:v>
                </c:pt>
                <c:pt idx="6">
                  <c:v>4072.83333333333</c:v>
                </c:pt>
                <c:pt idx="7">
                  <c:v>5280.78125</c:v>
                </c:pt>
                <c:pt idx="8">
                  <c:v>10184.1770833333</c:v>
                </c:pt>
                <c:pt idx="9">
                  <c:v>9301.83333333333</c:v>
                </c:pt>
                <c:pt idx="10">
                  <c:v>3061.91666666667</c:v>
                </c:pt>
                <c:pt idx="11">
                  <c:v>3407.625</c:v>
                </c:pt>
                <c:pt idx="12">
                  <c:v>1154.125</c:v>
                </c:pt>
                <c:pt idx="13">
                  <c:v>3958.95833333333</c:v>
                </c:pt>
                <c:pt idx="14">
                  <c:v>2502.77916666667</c:v>
                </c:pt>
              </c:numCache>
            </c:numRef>
          </c:val>
        </c:ser>
        <c:ser>
          <c:idx val="1"/>
          <c:order val="1"/>
          <c:tx>
            <c:strRef>
              <c:f>'FTEE Calculation'!$F$8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Calculation'!$F$11:$F$25</c:f>
              <c:numCache>
                <c:formatCode>General</c:formatCode>
                <c:ptCount val="15"/>
                <c:pt idx="0">
                  <c:v>880.445</c:v>
                </c:pt>
                <c:pt idx="1">
                  <c:v>1674.87166666667</c:v>
                </c:pt>
                <c:pt idx="2">
                  <c:v>435.653333333333</c:v>
                </c:pt>
                <c:pt idx="3">
                  <c:v>1.38166666666667</c:v>
                </c:pt>
                <c:pt idx="4">
                  <c:v>515.843333333333</c:v>
                </c:pt>
                <c:pt idx="5">
                  <c:v>909.71</c:v>
                </c:pt>
                <c:pt idx="6">
                  <c:v>1271.62666666667</c:v>
                </c:pt>
                <c:pt idx="7">
                  <c:v>1527.09166666667</c:v>
                </c:pt>
                <c:pt idx="8">
                  <c:v>2573.05333333333</c:v>
                </c:pt>
                <c:pt idx="9">
                  <c:v>2896.59333333333</c:v>
                </c:pt>
                <c:pt idx="10">
                  <c:v>1162.53166666667</c:v>
                </c:pt>
                <c:pt idx="11">
                  <c:v>1414.44166666667</c:v>
                </c:pt>
                <c:pt idx="12">
                  <c:v>373.23</c:v>
                </c:pt>
                <c:pt idx="13">
                  <c:v>1863.365</c:v>
                </c:pt>
                <c:pt idx="14">
                  <c:v>452.356666666667</c:v>
                </c:pt>
              </c:numCache>
            </c:numRef>
          </c:val>
        </c:ser>
        <c:gapWidth val="150"/>
        <c:overlap val="100"/>
        <c:axId val="49113953"/>
        <c:axId val="84335883"/>
      </c:barChart>
      <c:catAx>
        <c:axId val="491139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4335883"/>
        <c:crossesAt val="0"/>
        <c:auto val="1"/>
        <c:lblAlgn val="ctr"/>
        <c:lblOffset val="100"/>
        <c:noMultiLvlLbl val="0"/>
      </c:catAx>
      <c:valAx>
        <c:axId val="8433588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Arial"/>
                  </a:rPr>
                  <a:t>Total FTEE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9113953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4149618007486"/>
          <c:y val="0.10365072587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29</xdr:row>
      <xdr:rowOff>9360</xdr:rowOff>
    </xdr:from>
    <xdr:to>
      <xdr:col>3</xdr:col>
      <xdr:colOff>180720</xdr:colOff>
      <xdr:row>42</xdr:row>
      <xdr:rowOff>142920</xdr:rowOff>
    </xdr:to>
    <xdr:graphicFrame>
      <xdr:nvGraphicFramePr>
        <xdr:cNvPr id="0" name="Chart 1"/>
        <xdr:cNvGraphicFramePr/>
      </xdr:nvGraphicFramePr>
      <xdr:xfrm>
        <a:off x="19440" y="4429080"/>
        <a:ext cx="5284440" cy="223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30</xdr:row>
      <xdr:rowOff>9360</xdr:rowOff>
    </xdr:from>
    <xdr:to>
      <xdr:col>3</xdr:col>
      <xdr:colOff>231120</xdr:colOff>
      <xdr:row>45</xdr:row>
      <xdr:rowOff>162000</xdr:rowOff>
    </xdr:to>
    <xdr:graphicFrame>
      <xdr:nvGraphicFramePr>
        <xdr:cNvPr id="1" name="Chart 1"/>
        <xdr:cNvGraphicFramePr/>
      </xdr:nvGraphicFramePr>
      <xdr:xfrm>
        <a:off x="20520" y="4724280"/>
        <a:ext cx="5263200" cy="258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27</xdr:row>
      <xdr:rowOff>9360</xdr:rowOff>
    </xdr:from>
    <xdr:to>
      <xdr:col>3</xdr:col>
      <xdr:colOff>180720</xdr:colOff>
      <xdr:row>40</xdr:row>
      <xdr:rowOff>152640</xdr:rowOff>
    </xdr:to>
    <xdr:graphicFrame>
      <xdr:nvGraphicFramePr>
        <xdr:cNvPr id="2" name="Chart 1"/>
        <xdr:cNvGraphicFramePr/>
      </xdr:nvGraphicFramePr>
      <xdr:xfrm>
        <a:off x="10440" y="4105080"/>
        <a:ext cx="5292720" cy="22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38</xdr:row>
      <xdr:rowOff>0</xdr:rowOff>
    </xdr:from>
    <xdr:to>
      <xdr:col>4</xdr:col>
      <xdr:colOff>720</xdr:colOff>
      <xdr:row>57</xdr:row>
      <xdr:rowOff>133560</xdr:rowOff>
    </xdr:to>
    <xdr:graphicFrame>
      <xdr:nvGraphicFramePr>
        <xdr:cNvPr id="3" name="Chart 1"/>
        <xdr:cNvGraphicFramePr/>
      </xdr:nvGraphicFramePr>
      <xdr:xfrm>
        <a:off x="10440" y="5781600"/>
        <a:ext cx="5293800" cy="321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18720</xdr:rowOff>
    </xdr:from>
    <xdr:to>
      <xdr:col>11</xdr:col>
      <xdr:colOff>720</xdr:colOff>
      <xdr:row>25</xdr:row>
      <xdr:rowOff>152280</xdr:rowOff>
    </xdr:to>
    <xdr:graphicFrame>
      <xdr:nvGraphicFramePr>
        <xdr:cNvPr id="4" name="Chart 1"/>
        <xdr:cNvGraphicFramePr/>
      </xdr:nvGraphicFramePr>
      <xdr:xfrm>
        <a:off x="0" y="780840"/>
        <a:ext cx="7020720" cy="33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8.83"/>
    <col collapsed="false" customWidth="true" hidden="false" outlineLevel="0" max="3" min="3" style="0" width="25.67"/>
    <col collapsed="false" customWidth="true" hidden="false" outlineLevel="0" max="4" min="4" style="0" width="2.7"/>
  </cols>
  <sheetData>
    <row r="1" customFormat="false" ht="12.75" hidden="false" customHeight="true" outlineLevel="0" collapsed="false">
      <c r="A1" s="1" t="s">
        <v>0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2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4</v>
      </c>
      <c r="C6" s="6" t="s">
        <v>5</v>
      </c>
      <c r="D6" s="6"/>
    </row>
    <row r="7" customFormat="false" ht="13.5" hidden="false" customHeight="false" outlineLevel="0" collapsed="false">
      <c r="A7" s="7" t="s">
        <v>6</v>
      </c>
      <c r="B7" s="7" t="s">
        <v>7</v>
      </c>
      <c r="C7" s="7" t="s">
        <v>8</v>
      </c>
      <c r="D7" s="7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9</v>
      </c>
      <c r="B9" s="12" t="n">
        <f aca="false">+C9/$C$15</f>
        <v>0.38741960947102</v>
      </c>
      <c r="C9" s="13" t="n">
        <f aca="false">9432730+111410104</f>
        <v>120842834</v>
      </c>
      <c r="D9" s="14"/>
    </row>
    <row r="10" customFormat="false" ht="12.75" hidden="false" customHeight="false" outlineLevel="0" collapsed="false">
      <c r="A10" s="15" t="s">
        <v>10</v>
      </c>
      <c r="B10" s="16" t="n">
        <f aca="false">+C10/$C$15</f>
        <v>0.0583008018618788</v>
      </c>
      <c r="C10" s="17" t="n">
        <v>18185022</v>
      </c>
      <c r="D10" s="14"/>
    </row>
    <row r="11" customFormat="false" ht="12.75" hidden="false" customHeight="false" outlineLevel="0" collapsed="false">
      <c r="A11" s="11" t="s">
        <v>11</v>
      </c>
      <c r="B11" s="12" t="n">
        <f aca="false">+C11/$C$15</f>
        <v>0.453894205925204</v>
      </c>
      <c r="C11" s="13" t="n">
        <f aca="false">141577402+1</f>
        <v>141577403</v>
      </c>
      <c r="D11" s="14"/>
    </row>
    <row r="12" customFormat="false" ht="12.75" hidden="false" customHeight="false" outlineLevel="0" collapsed="false">
      <c r="A12" s="15" t="s">
        <v>12</v>
      </c>
      <c r="B12" s="16" t="n">
        <f aca="false">+C12/$C$15</f>
        <v>0.0339804650391417</v>
      </c>
      <c r="C12" s="17" t="n">
        <v>10599091</v>
      </c>
      <c r="D12" s="14"/>
    </row>
    <row r="13" customFormat="false" ht="12.75" hidden="false" customHeight="false" outlineLevel="0" collapsed="false">
      <c r="A13" s="11" t="s">
        <v>13</v>
      </c>
      <c r="B13" s="18" t="n">
        <f aca="false">+C13/$C$15</f>
        <v>0.066404917702755</v>
      </c>
      <c r="C13" s="19" t="n">
        <v>20712835</v>
      </c>
      <c r="D13" s="14" t="s">
        <v>14</v>
      </c>
    </row>
    <row r="14" customFormat="false" ht="12.75" hidden="false" customHeight="false" outlineLevel="0" collapsed="false">
      <c r="A14" s="11"/>
      <c r="B14" s="12"/>
      <c r="C14" s="13"/>
      <c r="D14" s="14"/>
    </row>
    <row r="15" s="24" customFormat="true" ht="13.5" hidden="false" customHeight="false" outlineLevel="0" collapsed="false">
      <c r="A15" s="20" t="s">
        <v>15</v>
      </c>
      <c r="B15" s="21" t="n">
        <f aca="false">SUM(B9:B14)</f>
        <v>1</v>
      </c>
      <c r="C15" s="22" t="n">
        <f aca="false">SUM(C9:C14)</f>
        <v>311917185</v>
      </c>
      <c r="D15" s="23" t="s">
        <v>16</v>
      </c>
    </row>
    <row r="16" customFormat="false" ht="7.5" hidden="false" customHeight="true" outlineLevel="0" collapsed="false">
      <c r="A16" s="25"/>
      <c r="B16" s="26"/>
      <c r="C16" s="25"/>
      <c r="D16" s="25"/>
    </row>
    <row r="17" s="28" customFormat="true" ht="11.25" hidden="false" customHeight="false" outlineLevel="0" collapsed="false">
      <c r="A17" s="27" t="s">
        <v>17</v>
      </c>
      <c r="B17" s="27"/>
      <c r="C17" s="27"/>
      <c r="D17" s="27"/>
    </row>
    <row r="18" s="28" customFormat="true" ht="11.25" hidden="false" customHeight="false" outlineLevel="0" collapsed="false">
      <c r="A18" s="27" t="s">
        <v>18</v>
      </c>
      <c r="B18" s="27"/>
      <c r="C18" s="27"/>
      <c r="D18" s="27"/>
    </row>
    <row r="19" s="28" customFormat="true" ht="11.25" hidden="false" customHeight="false" outlineLevel="0" collapsed="false">
      <c r="A19" s="27" t="s">
        <v>19</v>
      </c>
      <c r="B19" s="27"/>
      <c r="C19" s="27"/>
      <c r="D19" s="27"/>
    </row>
    <row r="20" customFormat="false" ht="7.5" hidden="false" customHeight="true" outlineLevel="0" collapsed="false">
      <c r="A20" s="29"/>
      <c r="B20" s="29"/>
      <c r="C20" s="29"/>
      <c r="D20" s="29"/>
    </row>
    <row r="21" customFormat="false" ht="12.75" hidden="false" customHeight="false" outlineLevel="0" collapsed="false">
      <c r="A21" s="30" t="s">
        <v>20</v>
      </c>
      <c r="B21" s="30"/>
      <c r="C21" s="30"/>
      <c r="D21" s="30"/>
    </row>
    <row r="22" customFormat="false" ht="13.5" hidden="false" customHeight="false" outlineLevel="0" collapsed="false">
      <c r="A22" s="31" t="s">
        <v>21</v>
      </c>
      <c r="B22" s="31"/>
      <c r="C22" s="31"/>
      <c r="D22" s="31"/>
    </row>
    <row r="23" customFormat="false" ht="12.75" hidden="false" customHeight="false" outlineLevel="0" collapsed="false">
      <c r="D23" s="25"/>
    </row>
    <row r="24" customFormat="false" ht="12.75" hidden="false" customHeight="false" outlineLevel="0" collapsed="false">
      <c r="D24" s="25"/>
    </row>
    <row r="25" customFormat="false" ht="13.5" hidden="false" customHeight="false" outlineLevel="0" collapsed="false">
      <c r="A25" s="32" t="s">
        <v>22</v>
      </c>
    </row>
    <row r="26" customFormat="false" ht="12.75" hidden="false" customHeight="false" outlineLevel="0" collapsed="false">
      <c r="A26" s="3" t="s">
        <v>1</v>
      </c>
      <c r="B26" s="3"/>
      <c r="C26" s="3"/>
      <c r="D26" s="3"/>
    </row>
    <row r="27" customFormat="false" ht="12.75" hidden="false" customHeight="false" outlineLevel="0" collapsed="false">
      <c r="A27" s="4" t="s">
        <v>2</v>
      </c>
      <c r="B27" s="4"/>
      <c r="C27" s="4"/>
      <c r="D27" s="4"/>
    </row>
    <row r="28" customFormat="false" ht="12.75" hidden="false" customHeight="false" outlineLevel="0" collapsed="false">
      <c r="A28" s="5" t="s">
        <v>3</v>
      </c>
      <c r="B28" s="5"/>
      <c r="C28" s="5"/>
      <c r="D28" s="5"/>
    </row>
    <row r="29" customFormat="false" ht="7.5" hidden="false" customHeight="true" outlineLevel="0" collapsed="false"/>
    <row r="44" customFormat="false" ht="7.5" hidden="false" customHeight="true" outlineLevel="0" collapsed="false"/>
    <row r="45" customFormat="false" ht="12.75" hidden="false" customHeight="false" outlineLevel="0" collapsed="false">
      <c r="A45" s="30" t="s">
        <v>20</v>
      </c>
      <c r="B45" s="30"/>
      <c r="C45" s="30"/>
      <c r="D45" s="30"/>
    </row>
    <row r="46" customFormat="false" ht="13.5" hidden="false" customHeight="false" outlineLevel="0" collapsed="false">
      <c r="A46" s="31" t="s">
        <v>21</v>
      </c>
      <c r="B46" s="31"/>
      <c r="C46" s="31"/>
      <c r="D46" s="31"/>
    </row>
  </sheetData>
  <mergeCells count="15">
    <mergeCell ref="A2:D2"/>
    <mergeCell ref="A3:D3"/>
    <mergeCell ref="A4:D4"/>
    <mergeCell ref="C6:D6"/>
    <mergeCell ref="C7:D7"/>
    <mergeCell ref="A17:D17"/>
    <mergeCell ref="A18:D18"/>
    <mergeCell ref="A19:D19"/>
    <mergeCell ref="A21:D21"/>
    <mergeCell ref="A22:D22"/>
    <mergeCell ref="A26:D26"/>
    <mergeCell ref="A27:D27"/>
    <mergeCell ref="A28:D28"/>
    <mergeCell ref="A45:D45"/>
    <mergeCell ref="A46:D4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9.82"/>
    <col collapsed="false" customWidth="true" hidden="false" outlineLevel="0" max="2" min="2" style="0" width="19.83"/>
    <col collapsed="false" customWidth="true" hidden="false" outlineLevel="0" max="3" min="3" style="0" width="21.97"/>
    <col collapsed="false" customWidth="true" hidden="false" outlineLevel="0" max="4" min="4" style="0" width="3.56"/>
  </cols>
  <sheetData>
    <row r="1" customFormat="false" ht="12.75" hidden="false" customHeight="true" outlineLevel="0" collapsed="false">
      <c r="A1" s="1" t="s">
        <v>23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24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25</v>
      </c>
      <c r="C6" s="6" t="s">
        <v>26</v>
      </c>
      <c r="D6" s="6"/>
    </row>
    <row r="7" customFormat="false" ht="13.5" hidden="false" customHeight="false" outlineLevel="0" collapsed="false">
      <c r="A7" s="33" t="s">
        <v>27</v>
      </c>
      <c r="B7" s="33" t="s">
        <v>7</v>
      </c>
      <c r="C7" s="33" t="s">
        <v>28</v>
      </c>
      <c r="D7" s="33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29</v>
      </c>
      <c r="B9" s="12" t="n">
        <f aca="false">+C9/$C$19</f>
        <v>0.20790841837894</v>
      </c>
      <c r="C9" s="34" t="n">
        <v>64415417</v>
      </c>
      <c r="D9" s="14"/>
    </row>
    <row r="10" customFormat="false" ht="12.75" hidden="false" customHeight="false" outlineLevel="0" collapsed="false">
      <c r="A10" s="15" t="s">
        <v>30</v>
      </c>
      <c r="B10" s="16" t="n">
        <f aca="false">+C10/$C$19</f>
        <v>0.251673081451675</v>
      </c>
      <c r="C10" s="35" t="n">
        <v>77974844</v>
      </c>
      <c r="D10" s="14"/>
    </row>
    <row r="11" customFormat="false" ht="12.75" hidden="false" customHeight="false" outlineLevel="0" collapsed="false">
      <c r="A11" s="11" t="s">
        <v>31</v>
      </c>
      <c r="B11" s="12" t="n">
        <f aca="false">+C11/$C$19</f>
        <v>0.113416195133061</v>
      </c>
      <c r="C11" s="34" t="n">
        <v>35139277</v>
      </c>
      <c r="D11" s="14"/>
    </row>
    <row r="12" customFormat="false" ht="12.75" hidden="false" customHeight="false" outlineLevel="0" collapsed="false">
      <c r="A12" s="15" t="s">
        <v>32</v>
      </c>
      <c r="B12" s="16" t="n">
        <f aca="false">+C12/$C$19</f>
        <v>0.032639483488018</v>
      </c>
      <c r="C12" s="35" t="n">
        <v>10112558</v>
      </c>
      <c r="D12" s="14"/>
    </row>
    <row r="13" customFormat="false" ht="12.75" hidden="false" customHeight="false" outlineLevel="0" collapsed="false">
      <c r="A13" s="11" t="s">
        <v>33</v>
      </c>
      <c r="B13" s="12" t="n">
        <f aca="false">+C13/$C$19</f>
        <v>0.0550926533196448</v>
      </c>
      <c r="C13" s="34" t="n">
        <v>17069132</v>
      </c>
      <c r="D13" s="14"/>
    </row>
    <row r="14" customFormat="false" ht="12.75" hidden="false" customHeight="false" outlineLevel="0" collapsed="false">
      <c r="A14" s="15" t="s">
        <v>34</v>
      </c>
      <c r="B14" s="16" t="n">
        <f aca="false">+C14/$C$19</f>
        <v>0.0815377519092011</v>
      </c>
      <c r="C14" s="35" t="n">
        <v>25262509</v>
      </c>
      <c r="D14" s="14"/>
    </row>
    <row r="15" customFormat="false" ht="12.75" hidden="false" customHeight="false" outlineLevel="0" collapsed="false">
      <c r="A15" s="11" t="s">
        <v>35</v>
      </c>
      <c r="B15" s="12" t="n">
        <f aca="false">+C15/$C$19</f>
        <v>0.0330953297903545</v>
      </c>
      <c r="C15" s="34" t="n">
        <v>10253791</v>
      </c>
      <c r="D15" s="14"/>
    </row>
    <row r="16" customFormat="false" ht="12.75" hidden="false" customHeight="false" outlineLevel="0" collapsed="false">
      <c r="A16" s="15" t="s">
        <v>36</v>
      </c>
      <c r="B16" s="16" t="n">
        <f aca="false">+C16/$C$19</f>
        <v>0.104211458486107</v>
      </c>
      <c r="C16" s="35" t="n">
        <v>32287411</v>
      </c>
      <c r="D16" s="14"/>
    </row>
    <row r="17" customFormat="false" ht="12.75" hidden="false" customHeight="false" outlineLevel="0" collapsed="false">
      <c r="A17" s="11" t="s">
        <v>37</v>
      </c>
      <c r="B17" s="18" t="n">
        <f aca="false">+C17/$C$19</f>
        <v>0.120425628042999</v>
      </c>
      <c r="C17" s="36" t="n">
        <v>37310981</v>
      </c>
      <c r="D17" s="14"/>
    </row>
    <row r="18" customFormat="false" ht="12.75" hidden="false" customHeight="false" outlineLevel="0" collapsed="false">
      <c r="A18" s="11"/>
      <c r="B18" s="12"/>
      <c r="C18" s="34"/>
      <c r="D18" s="14"/>
    </row>
    <row r="19" s="24" customFormat="true" ht="13.5" hidden="false" customHeight="false" outlineLevel="0" collapsed="false">
      <c r="A19" s="20" t="s">
        <v>38</v>
      </c>
      <c r="B19" s="21" t="n">
        <f aca="false">SUM(B9:B18)</f>
        <v>1</v>
      </c>
      <c r="C19" s="37" t="n">
        <f aca="false">SUM(C9:C18)</f>
        <v>309825920</v>
      </c>
      <c r="D19" s="23" t="s">
        <v>16</v>
      </c>
    </row>
    <row r="20" customFormat="false" ht="12.75" hidden="false" customHeight="false" outlineLevel="0" collapsed="false">
      <c r="A20" s="27" t="s">
        <v>39</v>
      </c>
      <c r="B20" s="27"/>
      <c r="C20" s="27"/>
      <c r="D20" s="27"/>
    </row>
    <row r="21" s="25" customFormat="true" ht="7.5" hidden="false" customHeight="true" outlineLevel="0" collapsed="false">
      <c r="A21" s="38"/>
      <c r="B21" s="38"/>
      <c r="C21" s="38"/>
      <c r="D21" s="38"/>
    </row>
    <row r="22" s="25" customFormat="true" ht="12.75" hidden="false" customHeight="false" outlineLevel="0" collapsed="false">
      <c r="A22" s="27" t="s">
        <v>40</v>
      </c>
      <c r="B22" s="27"/>
      <c r="C22" s="27"/>
      <c r="D22" s="27"/>
    </row>
    <row r="23" customFormat="false" ht="13.5" hidden="false" customHeight="false" outlineLevel="0" collapsed="false">
      <c r="A23" s="31" t="s">
        <v>21</v>
      </c>
      <c r="B23" s="31"/>
      <c r="C23" s="31"/>
      <c r="D23" s="31"/>
    </row>
    <row r="24" s="25" customFormat="true" ht="12.75" hidden="false" customHeight="false" outlineLevel="0" collapsed="false">
      <c r="A24" s="0"/>
      <c r="B24" s="0"/>
      <c r="C24" s="0"/>
      <c r="D24" s="0"/>
    </row>
    <row r="26" customFormat="false" ht="13.5" hidden="false" customHeight="false" outlineLevel="0" collapsed="false">
      <c r="A26" s="32" t="s">
        <v>41</v>
      </c>
    </row>
    <row r="27" customFormat="false" ht="12.75" hidden="false" customHeight="false" outlineLevel="0" collapsed="false">
      <c r="A27" s="3" t="s">
        <v>1</v>
      </c>
      <c r="B27" s="3"/>
      <c r="C27" s="3"/>
      <c r="D27" s="3"/>
    </row>
    <row r="28" customFormat="false" ht="12.75" hidden="false" customHeight="false" outlineLevel="0" collapsed="false">
      <c r="A28" s="4" t="s">
        <v>24</v>
      </c>
      <c r="B28" s="4"/>
      <c r="C28" s="4"/>
      <c r="D28" s="4"/>
    </row>
    <row r="29" customFormat="false" ht="12.75" hidden="false" customHeight="false" outlineLevel="0" collapsed="false">
      <c r="A29" s="5" t="s">
        <v>3</v>
      </c>
      <c r="B29" s="5"/>
      <c r="C29" s="5"/>
      <c r="D29" s="5"/>
    </row>
    <row r="30" customFormat="false" ht="8.25" hidden="false" customHeight="true" outlineLevel="0" collapsed="false"/>
    <row r="47" customFormat="false" ht="12.75" hidden="false" customHeight="false" outlineLevel="0" collapsed="false">
      <c r="A47" s="38"/>
      <c r="B47" s="38"/>
      <c r="C47" s="38"/>
      <c r="D47" s="38"/>
    </row>
    <row r="48" s="25" customFormat="true" ht="12.75" hidden="false" customHeight="false" outlineLevel="0" collapsed="false">
      <c r="A48" s="27" t="s">
        <v>40</v>
      </c>
      <c r="B48" s="27"/>
      <c r="C48" s="27"/>
      <c r="D48" s="27"/>
    </row>
    <row r="49" customFormat="false" ht="13.5" hidden="false" customHeight="false" outlineLevel="0" collapsed="false">
      <c r="A49" s="31" t="s">
        <v>21</v>
      </c>
      <c r="B49" s="31"/>
      <c r="C49" s="31"/>
      <c r="D49" s="31"/>
    </row>
  </sheetData>
  <mergeCells count="13">
    <mergeCell ref="A2:D2"/>
    <mergeCell ref="A3:D3"/>
    <mergeCell ref="A4:D4"/>
    <mergeCell ref="C6:D6"/>
    <mergeCell ref="C7:D7"/>
    <mergeCell ref="A20:D20"/>
    <mergeCell ref="A22:D22"/>
    <mergeCell ref="A23:D23"/>
    <mergeCell ref="A27:D27"/>
    <mergeCell ref="A28:D28"/>
    <mergeCell ref="A29:D29"/>
    <mergeCell ref="A48:D48"/>
    <mergeCell ref="A49:D4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38"/>
    <col collapsed="false" customWidth="true" hidden="false" outlineLevel="0" max="2" min="2" style="0" width="18.83"/>
    <col collapsed="false" customWidth="true" hidden="false" outlineLevel="0" max="3" min="3" style="0" width="23.39"/>
    <col collapsed="false" customWidth="true" hidden="false" outlineLevel="0" max="4" min="4" style="0" width="2.7"/>
  </cols>
  <sheetData>
    <row r="1" customFormat="false" ht="12.75" hidden="false" customHeight="true" outlineLevel="0" collapsed="false">
      <c r="A1" s="39" t="s">
        <v>42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43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25</v>
      </c>
      <c r="C6" s="6" t="s">
        <v>26</v>
      </c>
      <c r="D6" s="6"/>
    </row>
    <row r="7" customFormat="false" ht="13.5" hidden="false" customHeight="false" outlineLevel="0" collapsed="false">
      <c r="A7" s="7" t="s">
        <v>44</v>
      </c>
      <c r="B7" s="7" t="s">
        <v>7</v>
      </c>
      <c r="C7" s="7" t="s">
        <v>45</v>
      </c>
      <c r="D7" s="7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46</v>
      </c>
      <c r="B9" s="12" t="n">
        <f aca="false">+C9/$C$15</f>
        <v>0.740504532351586</v>
      </c>
      <c r="C9" s="34" t="n">
        <v>229427498</v>
      </c>
      <c r="D9" s="14"/>
    </row>
    <row r="10" customFormat="false" ht="12.75" hidden="false" customHeight="false" outlineLevel="0" collapsed="false">
      <c r="A10" s="15" t="s">
        <v>47</v>
      </c>
      <c r="B10" s="16" t="n">
        <f aca="false">+C10/$C$15</f>
        <v>0.13751976593824</v>
      </c>
      <c r="C10" s="35" t="n">
        <v>42607188</v>
      </c>
      <c r="D10" s="40"/>
    </row>
    <row r="11" customFormat="false" ht="12.75" hidden="false" customHeight="false" outlineLevel="0" collapsed="false">
      <c r="A11" s="11" t="s">
        <v>48</v>
      </c>
      <c r="B11" s="12" t="n">
        <f aca="false">+C11/$C$15</f>
        <v>0.0593032242105502</v>
      </c>
      <c r="C11" s="34" t="n">
        <v>18373676</v>
      </c>
      <c r="D11" s="40"/>
    </row>
    <row r="12" customFormat="false" ht="12.75" hidden="false" customHeight="false" outlineLevel="0" collapsed="false">
      <c r="A12" s="15" t="s">
        <v>49</v>
      </c>
      <c r="B12" s="16" t="n">
        <f aca="false">+C12/$C$15</f>
        <v>0.0357388884700157</v>
      </c>
      <c r="C12" s="35" t="n">
        <v>11072834</v>
      </c>
      <c r="D12" s="40"/>
    </row>
    <row r="13" customFormat="false" ht="12.75" hidden="false" customHeight="false" outlineLevel="0" collapsed="false">
      <c r="A13" s="11" t="s">
        <v>50</v>
      </c>
      <c r="B13" s="18" t="n">
        <f aca="false">+C13/$C$15</f>
        <v>0.0269335890296073</v>
      </c>
      <c r="C13" s="36" t="n">
        <v>8344724</v>
      </c>
      <c r="D13" s="14"/>
    </row>
    <row r="14" customFormat="false" ht="7.5" hidden="false" customHeight="true" outlineLevel="0" collapsed="false">
      <c r="A14" s="11"/>
      <c r="B14" s="12"/>
      <c r="C14" s="41"/>
      <c r="D14" s="14"/>
    </row>
    <row r="15" s="24" customFormat="true" ht="13.5" hidden="false" customHeight="false" outlineLevel="0" collapsed="false">
      <c r="A15" s="20" t="s">
        <v>38</v>
      </c>
      <c r="B15" s="21" t="n">
        <f aca="false">SUM(B9:B14)</f>
        <v>1</v>
      </c>
      <c r="C15" s="37" t="n">
        <f aca="false">SUM(C9:C14)</f>
        <v>309825920</v>
      </c>
      <c r="D15" s="23" t="s">
        <v>16</v>
      </c>
    </row>
    <row r="16" customFormat="false" ht="7.5" hidden="false" customHeight="true" outlineLevel="0" collapsed="false">
      <c r="A16" s="25"/>
      <c r="B16" s="25"/>
      <c r="C16" s="25"/>
      <c r="D16" s="25"/>
    </row>
    <row r="17" customFormat="false" ht="12.75" hidden="false" customHeight="false" outlineLevel="0" collapsed="false">
      <c r="A17" s="27" t="s">
        <v>51</v>
      </c>
      <c r="B17" s="27"/>
      <c r="C17" s="27"/>
      <c r="D17" s="27"/>
    </row>
    <row r="18" customFormat="false" ht="7.5" hidden="false" customHeight="true" outlineLevel="0" collapsed="false">
      <c r="A18" s="27"/>
      <c r="B18" s="27"/>
      <c r="C18" s="27"/>
      <c r="D18" s="27"/>
    </row>
    <row r="19" s="25" customFormat="true" ht="12.75" hidden="false" customHeight="false" outlineLevel="0" collapsed="false">
      <c r="A19" s="30" t="s">
        <v>20</v>
      </c>
      <c r="B19" s="30"/>
      <c r="C19" s="30"/>
      <c r="D19" s="30"/>
    </row>
    <row r="20" s="25" customFormat="true" ht="13.5" hidden="false" customHeight="false" outlineLevel="0" collapsed="false">
      <c r="A20" s="31" t="s">
        <v>21</v>
      </c>
      <c r="B20" s="31"/>
      <c r="C20" s="31"/>
      <c r="D20" s="31"/>
    </row>
    <row r="21" s="25" customFormat="true" ht="12.75" hidden="false" customHeight="false" outlineLevel="0" collapsed="false">
      <c r="A21" s="0"/>
      <c r="B21" s="0"/>
      <c r="C21" s="0"/>
      <c r="D21" s="0"/>
    </row>
    <row r="22" s="25" customFormat="true" ht="12.75" hidden="false" customHeight="false" outlineLevel="0" collapsed="false">
      <c r="A22" s="0"/>
      <c r="B22" s="0"/>
      <c r="C22" s="0"/>
      <c r="D22" s="0"/>
    </row>
    <row r="23" customFormat="false" ht="13.5" hidden="false" customHeight="false" outlineLevel="0" collapsed="false">
      <c r="A23" s="32" t="s">
        <v>52</v>
      </c>
    </row>
    <row r="24" customFormat="false" ht="12.75" hidden="false" customHeight="false" outlineLevel="0" collapsed="false">
      <c r="A24" s="3" t="s">
        <v>1</v>
      </c>
      <c r="B24" s="3"/>
      <c r="C24" s="3"/>
      <c r="D24" s="3"/>
    </row>
    <row r="25" customFormat="false" ht="12.75" hidden="false" customHeight="false" outlineLevel="0" collapsed="false">
      <c r="A25" s="4" t="s">
        <v>43</v>
      </c>
      <c r="B25" s="4"/>
      <c r="C25" s="4"/>
      <c r="D25" s="4"/>
    </row>
    <row r="26" customFormat="false" ht="12.75" hidden="false" customHeight="false" outlineLevel="0" collapsed="false">
      <c r="A26" s="5" t="s">
        <v>3</v>
      </c>
      <c r="B26" s="5"/>
      <c r="C26" s="5"/>
      <c r="D26" s="5"/>
    </row>
    <row r="27" customFormat="false" ht="8.25" hidden="false" customHeight="true" outlineLevel="0" collapsed="false"/>
    <row r="42" customFormat="false" ht="8.25" hidden="false" customHeight="true" outlineLevel="0" collapsed="false"/>
    <row r="43" s="25" customFormat="true" ht="12.75" hidden="false" customHeight="false" outlineLevel="0" collapsed="false">
      <c r="A43" s="30" t="s">
        <v>20</v>
      </c>
      <c r="B43" s="30"/>
      <c r="C43" s="30"/>
      <c r="D43" s="30"/>
    </row>
    <row r="44" s="25" customFormat="true" ht="13.5" hidden="false" customHeight="false" outlineLevel="0" collapsed="false">
      <c r="A44" s="31" t="s">
        <v>21</v>
      </c>
      <c r="B44" s="31"/>
      <c r="C44" s="31"/>
      <c r="D44" s="31"/>
    </row>
  </sheetData>
  <mergeCells count="13">
    <mergeCell ref="A2:D2"/>
    <mergeCell ref="A3:D3"/>
    <mergeCell ref="A4:D4"/>
    <mergeCell ref="C6:D6"/>
    <mergeCell ref="C7:D7"/>
    <mergeCell ref="A17:D17"/>
    <mergeCell ref="A19:D19"/>
    <mergeCell ref="A20:D20"/>
    <mergeCell ref="A24:D24"/>
    <mergeCell ref="A25:D25"/>
    <mergeCell ref="A26:D26"/>
    <mergeCell ref="A43:D43"/>
    <mergeCell ref="A44:D44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6.97"/>
    <col collapsed="false" customWidth="true" hidden="false" outlineLevel="0" max="3" min="3" style="0" width="20.68"/>
    <col collapsed="false" customWidth="true" hidden="false" outlineLevel="0" max="4" min="4" style="0" width="18.83"/>
  </cols>
  <sheetData>
    <row r="1" customFormat="false" ht="12.75" hidden="false" customHeight="true" outlineLevel="0" collapsed="false">
      <c r="A1" s="1" t="s">
        <v>53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54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7.5" hidden="false" customHeight="true" outlineLevel="0" collapsed="false">
      <c r="B5" s="42"/>
    </row>
    <row r="6" customFormat="false" ht="12.75" hidden="false" customHeight="false" outlineLevel="0" collapsed="false">
      <c r="A6" s="43"/>
      <c r="B6" s="43" t="s">
        <v>55</v>
      </c>
      <c r="C6" s="43" t="s">
        <v>56</v>
      </c>
      <c r="D6" s="43" t="s">
        <v>57</v>
      </c>
    </row>
    <row r="7" customFormat="false" ht="13.5" hidden="false" customHeight="false" outlineLevel="0" collapsed="false">
      <c r="A7" s="44" t="s">
        <v>58</v>
      </c>
      <c r="B7" s="44" t="s">
        <v>59</v>
      </c>
      <c r="C7" s="44" t="s">
        <v>60</v>
      </c>
      <c r="D7" s="44" t="s">
        <v>61</v>
      </c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45" t="s">
        <v>62</v>
      </c>
      <c r="B9" s="46" t="n">
        <v>6788405</v>
      </c>
      <c r="C9" s="12" t="n">
        <f aca="false">+B9/$B$25</f>
        <v>0.0479483650367566</v>
      </c>
      <c r="D9" s="47" t="n">
        <v>0.050867</v>
      </c>
    </row>
    <row r="10" customFormat="false" ht="12.75" hidden="false" customHeight="false" outlineLevel="0" collapsed="false">
      <c r="A10" s="48" t="s">
        <v>63</v>
      </c>
      <c r="B10" s="49" t="n">
        <v>7981873</v>
      </c>
      <c r="C10" s="16" t="n">
        <f aca="false">+B10/$B$25</f>
        <v>0.0563781566186802</v>
      </c>
      <c r="D10" s="50" t="n">
        <v>0.058984</v>
      </c>
    </row>
    <row r="11" customFormat="false" ht="12.75" hidden="false" customHeight="false" outlineLevel="0" collapsed="false">
      <c r="A11" s="45" t="s">
        <v>64</v>
      </c>
      <c r="B11" s="46" t="n">
        <v>7452448</v>
      </c>
      <c r="C11" s="12" t="n">
        <f aca="false">+B11/$B$25</f>
        <v>0.05263868274233</v>
      </c>
      <c r="D11" s="47" t="n">
        <v>0.03991</v>
      </c>
    </row>
    <row r="12" customFormat="false" ht="12.75" hidden="false" customHeight="false" outlineLevel="0" collapsed="false">
      <c r="A12" s="48" t="s">
        <v>65</v>
      </c>
      <c r="B12" s="49" t="n">
        <v>3638156</v>
      </c>
      <c r="C12" s="16" t="n">
        <f aca="false">+B12/$B$25</f>
        <v>0.0256972929500621</v>
      </c>
      <c r="D12" s="50" t="n">
        <v>0.02096</v>
      </c>
    </row>
    <row r="13" customFormat="false" ht="12.75" hidden="false" customHeight="false" outlineLevel="0" collapsed="false">
      <c r="A13" s="45" t="s">
        <v>66</v>
      </c>
      <c r="B13" s="46" t="n">
        <v>7598634</v>
      </c>
      <c r="C13" s="12" t="n">
        <f aca="false">+B13/$B$25</f>
        <v>0.0536712345260352</v>
      </c>
      <c r="D13" s="47" t="n">
        <v>0.042478</v>
      </c>
    </row>
    <row r="14" customFormat="false" ht="12.75" hidden="false" customHeight="false" outlineLevel="0" collapsed="false">
      <c r="A14" s="48" t="s">
        <v>67</v>
      </c>
      <c r="B14" s="49" t="n">
        <v>7059555</v>
      </c>
      <c r="C14" s="16" t="n">
        <f aca="false">+B14/$B$25</f>
        <v>0.0498635718017797</v>
      </c>
      <c r="D14" s="50" t="n">
        <v>0.039781</v>
      </c>
    </row>
    <row r="15" customFormat="false" ht="12.75" hidden="false" customHeight="false" outlineLevel="0" collapsed="false">
      <c r="A15" s="45" t="s">
        <v>68</v>
      </c>
      <c r="B15" s="46" t="n">
        <v>10138631</v>
      </c>
      <c r="C15" s="12" t="n">
        <f aca="false">+B15/$B$25</f>
        <v>0.0716119294828427</v>
      </c>
      <c r="D15" s="47" t="n">
        <v>0.070713</v>
      </c>
    </row>
    <row r="16" customFormat="false" ht="12.75" hidden="false" customHeight="false" outlineLevel="0" collapsed="false">
      <c r="A16" s="48" t="s">
        <v>69</v>
      </c>
      <c r="B16" s="49" t="n">
        <v>12444971</v>
      </c>
      <c r="C16" s="16" t="n">
        <f aca="false">+B16/$B$25</f>
        <v>0.0879022410094639</v>
      </c>
      <c r="D16" s="50" t="n">
        <v>0.090076</v>
      </c>
    </row>
    <row r="17" customFormat="false" ht="12.75" hidden="false" customHeight="false" outlineLevel="0" collapsed="false">
      <c r="A17" s="45" t="s">
        <v>70</v>
      </c>
      <c r="B17" s="46" t="n">
        <v>19480613</v>
      </c>
      <c r="C17" s="12" t="n">
        <f aca="false">+B17/$B$25</f>
        <v>0.137596908738325</v>
      </c>
      <c r="D17" s="47" t="n">
        <v>0.168792</v>
      </c>
    </row>
    <row r="18" customFormat="false" ht="12.75" hidden="false" customHeight="false" outlineLevel="0" collapsed="false">
      <c r="A18" s="48" t="s">
        <v>71</v>
      </c>
      <c r="B18" s="49" t="n">
        <v>20720212</v>
      </c>
      <c r="C18" s="16" t="n">
        <f aca="false">+B18/$B$25</f>
        <v>0.146352536216532</v>
      </c>
      <c r="D18" s="50" t="n">
        <v>0.161399</v>
      </c>
    </row>
    <row r="19" customFormat="false" ht="12.75" hidden="false" customHeight="false" outlineLevel="0" collapsed="false">
      <c r="A19" s="45" t="s">
        <v>72</v>
      </c>
      <c r="B19" s="46" t="n">
        <v>8173625</v>
      </c>
      <c r="C19" s="12" t="n">
        <f aca="false">+B19/$B$25</f>
        <v>0.0577325535488174</v>
      </c>
      <c r="D19" s="47" t="n">
        <v>0.055894</v>
      </c>
    </row>
    <row r="20" customFormat="false" ht="12.75" hidden="false" customHeight="false" outlineLevel="0" collapsed="false">
      <c r="A20" s="48" t="s">
        <v>73</v>
      </c>
      <c r="B20" s="49" t="n">
        <v>8395697</v>
      </c>
      <c r="C20" s="16" t="n">
        <f aca="false">+B20/$B$25</f>
        <v>0.0593011089488624</v>
      </c>
      <c r="D20" s="50" t="n">
        <v>0.063801</v>
      </c>
    </row>
    <row r="21" customFormat="false" ht="12.75" hidden="false" customHeight="false" outlineLevel="0" collapsed="false">
      <c r="A21" s="45" t="s">
        <v>74</v>
      </c>
      <c r="B21" s="46" t="n">
        <f aca="false">3684419+1</f>
        <v>3684420</v>
      </c>
      <c r="C21" s="12" t="n">
        <f aca="false">+B21/$B$25</f>
        <v>0.0260240682617974</v>
      </c>
      <c r="D21" s="47" t="n">
        <v>0.020209</v>
      </c>
    </row>
    <row r="22" customFormat="false" ht="12.75" hidden="false" customHeight="false" outlineLevel="0" collapsed="false">
      <c r="A22" s="48" t="s">
        <v>75</v>
      </c>
      <c r="B22" s="49" t="n">
        <v>11561901</v>
      </c>
      <c r="C22" s="16" t="n">
        <f aca="false">+B22/$B$25</f>
        <v>0.0816648755733992</v>
      </c>
      <c r="D22" s="50" t="n">
        <v>0.077036</v>
      </c>
    </row>
    <row r="23" customFormat="false" ht="12.75" hidden="false" customHeight="false" outlineLevel="0" collapsed="false">
      <c r="A23" s="45" t="s">
        <v>76</v>
      </c>
      <c r="B23" s="51" t="n">
        <v>6458262</v>
      </c>
      <c r="C23" s="18" t="n">
        <f aca="false">+B23/$B$25</f>
        <v>0.0456164745443169</v>
      </c>
      <c r="D23" s="52" t="n">
        <v>0.0391</v>
      </c>
    </row>
    <row r="24" customFormat="false" ht="7.5" hidden="false" customHeight="true" outlineLevel="0" collapsed="false">
      <c r="A24" s="11"/>
      <c r="B24" s="25"/>
      <c r="C24" s="12"/>
      <c r="D24" s="47"/>
    </row>
    <row r="25" s="24" customFormat="true" ht="13.5" hidden="false" customHeight="false" outlineLevel="0" collapsed="false">
      <c r="A25" s="20" t="s">
        <v>77</v>
      </c>
      <c r="B25" s="53" t="n">
        <f aca="false">SUM(B9:B23)</f>
        <v>141577403</v>
      </c>
      <c r="C25" s="21" t="n">
        <f aca="false">SUM(C9:C23)</f>
        <v>1</v>
      </c>
      <c r="D25" s="54" t="n">
        <f aca="false">SUM(D9:D23)</f>
        <v>1</v>
      </c>
    </row>
    <row r="26" customFormat="false" ht="7.5" hidden="false" customHeight="true" outlineLevel="0" collapsed="false">
      <c r="B26" s="46"/>
      <c r="C26" s="55"/>
      <c r="D26" s="56"/>
    </row>
    <row r="27" s="57" customFormat="true" ht="11.25" hidden="false" customHeight="false" outlineLevel="0" collapsed="false">
      <c r="A27" s="27" t="s">
        <v>78</v>
      </c>
      <c r="B27" s="27"/>
      <c r="C27" s="27"/>
      <c r="D27" s="27"/>
    </row>
    <row r="28" customFormat="false" ht="12.75" hidden="false" customHeight="false" outlineLevel="0" collapsed="false">
      <c r="A28" s="27" t="s">
        <v>79</v>
      </c>
      <c r="B28" s="27"/>
      <c r="C28" s="27"/>
      <c r="D28" s="27"/>
    </row>
    <row r="29" s="38" customFormat="true" ht="7.5" hidden="false" customHeight="true" outlineLevel="0" collapsed="false">
      <c r="A29" s="29"/>
      <c r="B29" s="29"/>
      <c r="C29" s="29"/>
      <c r="D29" s="29"/>
    </row>
    <row r="30" customFormat="false" ht="12.75" hidden="false" customHeight="false" outlineLevel="0" collapsed="false">
      <c r="A30" s="30" t="s">
        <v>80</v>
      </c>
      <c r="B30" s="30"/>
      <c r="C30" s="30"/>
      <c r="D30" s="30"/>
    </row>
    <row r="31" customFormat="false" ht="13.5" hidden="false" customHeight="false" outlineLevel="0" collapsed="false">
      <c r="A31" s="31" t="s">
        <v>81</v>
      </c>
      <c r="B31" s="31"/>
      <c r="C31" s="31"/>
      <c r="D31" s="31"/>
    </row>
    <row r="32" customFormat="false" ht="12.75" hidden="false" customHeight="true" outlineLevel="0" collapsed="false"/>
    <row r="34" customFormat="false" ht="13.5" hidden="false" customHeight="false" outlineLevel="0" collapsed="false">
      <c r="A34" s="32" t="s">
        <v>82</v>
      </c>
    </row>
    <row r="35" customFormat="false" ht="12.75" hidden="false" customHeight="false" outlineLevel="0" collapsed="false">
      <c r="A35" s="3" t="s">
        <v>1</v>
      </c>
      <c r="B35" s="3"/>
      <c r="C35" s="3"/>
      <c r="D35" s="3"/>
    </row>
    <row r="36" customFormat="false" ht="12.75" hidden="false" customHeight="false" outlineLevel="0" collapsed="false">
      <c r="A36" s="4" t="s">
        <v>54</v>
      </c>
      <c r="B36" s="4"/>
      <c r="C36" s="4"/>
      <c r="D36" s="4"/>
    </row>
    <row r="37" customFormat="false" ht="12.75" hidden="false" customHeight="false" outlineLevel="0" collapsed="false">
      <c r="A37" s="5" t="s">
        <v>3</v>
      </c>
      <c r="B37" s="5"/>
      <c r="C37" s="5"/>
      <c r="D37" s="5"/>
    </row>
    <row r="38" customFormat="false" ht="8.25" hidden="false" customHeight="true" outlineLevel="0" collapsed="false"/>
    <row r="59" customFormat="false" ht="8.25" hidden="false" customHeight="true" outlineLevel="0" collapsed="false"/>
    <row r="60" customFormat="false" ht="12.75" hidden="false" customHeight="false" outlineLevel="0" collapsed="false">
      <c r="A60" s="30" t="s">
        <v>80</v>
      </c>
      <c r="B60" s="30"/>
      <c r="C60" s="30"/>
      <c r="D60" s="30"/>
    </row>
    <row r="61" customFormat="false" ht="13.5" hidden="false" customHeight="false" outlineLevel="0" collapsed="false">
      <c r="A61" s="31" t="s">
        <v>81</v>
      </c>
      <c r="B61" s="31"/>
      <c r="C61" s="31"/>
      <c r="D61" s="31"/>
    </row>
  </sheetData>
  <mergeCells count="12">
    <mergeCell ref="A2:D2"/>
    <mergeCell ref="A3:D3"/>
    <mergeCell ref="A4:D4"/>
    <mergeCell ref="A27:D27"/>
    <mergeCell ref="A28:D28"/>
    <mergeCell ref="A30:D30"/>
    <mergeCell ref="A31:D31"/>
    <mergeCell ref="A35:D35"/>
    <mergeCell ref="A36:D36"/>
    <mergeCell ref="A37:D37"/>
    <mergeCell ref="A60:D60"/>
    <mergeCell ref="A61:D61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4"/>
    <col collapsed="false" customWidth="true" hidden="false" outlineLevel="0" max="3" min="2" style="0" width="10.27"/>
    <col collapsed="false" customWidth="true" hidden="false" outlineLevel="0" max="4" min="4" style="0" width="12.27"/>
    <col collapsed="false" customWidth="true" hidden="false" outlineLevel="0" max="5" min="5" style="0" width="11.27"/>
    <col collapsed="false" customWidth="true" hidden="false" outlineLevel="0" max="6" min="6" style="0" width="11.12"/>
    <col collapsed="false" customWidth="true" hidden="false" outlineLevel="0" max="7" min="7" style="0" width="12.27"/>
    <col collapsed="false" customWidth="true" hidden="false" outlineLevel="0" max="8" min="8" style="0" width="10.98"/>
    <col collapsed="false" customWidth="true" hidden="false" outlineLevel="0" max="9" min="9" style="0" width="10.4"/>
    <col collapsed="false" customWidth="true" hidden="false" outlineLevel="0" max="10" min="10" style="0" width="3.7"/>
  </cols>
  <sheetData>
    <row r="1" customFormat="false" ht="12.75" hidden="false" customHeight="true" outlineLevel="0" collapsed="false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.75" hidden="false" customHeight="false" outlineLevel="0" collapsed="false">
      <c r="A2" s="3" t="s">
        <v>84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2.75" hidden="false" customHeight="false" outlineLevel="0" collapsed="false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7.5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</row>
    <row r="6" customFormat="false" ht="12.75" hidden="false" customHeight="false" outlineLevel="0" collapsed="false">
      <c r="A6" s="59"/>
      <c r="B6" s="59"/>
      <c r="C6" s="59"/>
      <c r="D6" s="59"/>
      <c r="E6" s="43" t="s">
        <v>77</v>
      </c>
      <c r="F6" s="43"/>
      <c r="G6" s="43"/>
      <c r="H6" s="60" t="s">
        <v>86</v>
      </c>
      <c r="I6" s="43" t="s">
        <v>87</v>
      </c>
      <c r="J6" s="43"/>
      <c r="K6" s="24"/>
    </row>
    <row r="7" customFormat="false" ht="12.75" hidden="false" customHeight="false" outlineLevel="0" collapsed="false">
      <c r="A7" s="61"/>
      <c r="B7" s="61" t="s">
        <v>77</v>
      </c>
      <c r="C7" s="61"/>
      <c r="D7" s="61" t="s">
        <v>88</v>
      </c>
      <c r="E7" s="61" t="s">
        <v>89</v>
      </c>
      <c r="F7" s="61"/>
      <c r="G7" s="61" t="s">
        <v>89</v>
      </c>
      <c r="H7" s="62" t="s">
        <v>90</v>
      </c>
      <c r="I7" s="61" t="s">
        <v>90</v>
      </c>
      <c r="J7" s="61"/>
      <c r="K7" s="24"/>
    </row>
    <row r="8" customFormat="false" ht="12.75" hidden="false" customHeight="false" outlineLevel="0" collapsed="false">
      <c r="A8" s="61"/>
      <c r="B8" s="61" t="s">
        <v>88</v>
      </c>
      <c r="C8" s="61" t="s">
        <v>88</v>
      </c>
      <c r="D8" s="61" t="s">
        <v>91</v>
      </c>
      <c r="E8" s="61" t="s">
        <v>92</v>
      </c>
      <c r="F8" s="61" t="s">
        <v>93</v>
      </c>
      <c r="G8" s="61" t="s">
        <v>91</v>
      </c>
      <c r="H8" s="62" t="s">
        <v>94</v>
      </c>
      <c r="I8" s="61" t="s">
        <v>94</v>
      </c>
      <c r="J8" s="61"/>
      <c r="K8" s="24"/>
    </row>
    <row r="9" customFormat="false" ht="13.5" hidden="false" customHeight="false" outlineLevel="0" collapsed="false">
      <c r="A9" s="61" t="s">
        <v>58</v>
      </c>
      <c r="B9" s="61" t="s">
        <v>95</v>
      </c>
      <c r="C9" s="61" t="s">
        <v>90</v>
      </c>
      <c r="D9" s="61" t="s">
        <v>96</v>
      </c>
      <c r="E9" s="61" t="s">
        <v>95</v>
      </c>
      <c r="F9" s="61" t="s">
        <v>90</v>
      </c>
      <c r="G9" s="61" t="s">
        <v>96</v>
      </c>
      <c r="H9" s="62" t="s">
        <v>97</v>
      </c>
      <c r="I9" s="44" t="s">
        <v>97</v>
      </c>
      <c r="J9" s="44"/>
      <c r="K9" s="24"/>
    </row>
    <row r="10" customFormat="false" ht="7.5" hidden="false" customHeight="true" outlineLevel="0" collapsed="false">
      <c r="A10" s="63"/>
      <c r="B10" s="64"/>
      <c r="C10" s="64"/>
      <c r="D10" s="64"/>
      <c r="E10" s="64"/>
      <c r="F10" s="64"/>
      <c r="G10" s="64"/>
      <c r="H10" s="64"/>
      <c r="I10" s="65"/>
      <c r="J10" s="66"/>
      <c r="K10" s="24"/>
    </row>
    <row r="11" customFormat="false" ht="12.75" hidden="false" customHeight="false" outlineLevel="0" collapsed="false">
      <c r="A11" s="45" t="s">
        <v>62</v>
      </c>
      <c r="B11" s="67" t="n">
        <v>71137.5</v>
      </c>
      <c r="C11" s="68" t="n">
        <f aca="false">+B11/24</f>
        <v>2964.0625</v>
      </c>
      <c r="D11" s="12" t="n">
        <f aca="false">+C11/H11</f>
        <v>0.770986270673162</v>
      </c>
      <c r="E11" s="67" t="n">
        <v>528267</v>
      </c>
      <c r="F11" s="68" t="n">
        <f aca="false">+E11/600</f>
        <v>880.445</v>
      </c>
      <c r="G11" s="12" t="n">
        <f aca="false">+F11/H11</f>
        <v>0.229013729326838</v>
      </c>
      <c r="H11" s="69" t="n">
        <f aca="false">+C11+F11</f>
        <v>3844.5075</v>
      </c>
      <c r="I11" s="47" t="n">
        <f aca="false">+H11/$H$27</f>
        <v>0.051280239459377</v>
      </c>
      <c r="J11" s="47"/>
    </row>
    <row r="12" customFormat="false" ht="12.75" hidden="false" customHeight="false" outlineLevel="0" collapsed="false">
      <c r="A12" s="48" t="s">
        <v>63</v>
      </c>
      <c r="B12" s="70" t="n">
        <v>66794.5</v>
      </c>
      <c r="C12" s="71" t="n">
        <f aca="false">+B12/24</f>
        <v>2783.10416666667</v>
      </c>
      <c r="D12" s="16" t="n">
        <f aca="false">+C12/H12</f>
        <v>0.62429772406049</v>
      </c>
      <c r="E12" s="70" t="n">
        <v>1004923</v>
      </c>
      <c r="F12" s="71" t="n">
        <f aca="false">+E12/600</f>
        <v>1674.87166666667</v>
      </c>
      <c r="G12" s="16" t="n">
        <f aca="false">+F12/H12</f>
        <v>0.37570227593951</v>
      </c>
      <c r="H12" s="72" t="n">
        <f aca="false">+C12+F12</f>
        <v>4457.97583333333</v>
      </c>
      <c r="I12" s="50" t="n">
        <f aca="false">+H12/$H$27</f>
        <v>0.0594630308921101</v>
      </c>
      <c r="J12" s="50"/>
    </row>
    <row r="13" customFormat="false" ht="12.75" hidden="false" customHeight="false" outlineLevel="0" collapsed="false">
      <c r="A13" s="45" t="s">
        <v>64</v>
      </c>
      <c r="B13" s="67" t="n">
        <v>61937</v>
      </c>
      <c r="C13" s="68" t="n">
        <f aca="false">+B13/24</f>
        <v>2580.70833333333</v>
      </c>
      <c r="D13" s="12" t="n">
        <f aca="false">+C13/H13</f>
        <v>0.855569927788279</v>
      </c>
      <c r="E13" s="67" t="n">
        <v>261392</v>
      </c>
      <c r="F13" s="68" t="n">
        <f aca="false">+E13/600</f>
        <v>435.653333333333</v>
      </c>
      <c r="G13" s="12" t="n">
        <f aca="false">+F13/H13</f>
        <v>0.144430072211721</v>
      </c>
      <c r="H13" s="69" t="n">
        <f aca="false">+C13+F13</f>
        <v>3016.36166666667</v>
      </c>
      <c r="I13" s="47" t="n">
        <f aca="false">+H13/$H$27</f>
        <v>0.0402339567715116</v>
      </c>
      <c r="J13" s="47"/>
    </row>
    <row r="14" customFormat="false" ht="12.75" hidden="false" customHeight="false" outlineLevel="0" collapsed="false">
      <c r="A14" s="48" t="s">
        <v>65</v>
      </c>
      <c r="B14" s="70" t="n">
        <v>23373</v>
      </c>
      <c r="C14" s="71" t="n">
        <f aca="false">+B14/24</f>
        <v>973.875</v>
      </c>
      <c r="D14" s="16" t="n">
        <f aca="false">+C14/H14</f>
        <v>0.9985832789317</v>
      </c>
      <c r="E14" s="70" t="n">
        <v>366167</v>
      </c>
      <c r="F14" s="71" t="n">
        <f aca="false">829/600</f>
        <v>1.38166666666667</v>
      </c>
      <c r="G14" s="16" t="n">
        <f aca="false">+F14/H14</f>
        <v>0.00141672106829997</v>
      </c>
      <c r="H14" s="72" t="n">
        <f aca="false">+C14+F14</f>
        <v>975.256666666667</v>
      </c>
      <c r="I14" s="50" t="n">
        <f aca="false">+H14/$H$27</f>
        <v>0.0130085311060053</v>
      </c>
      <c r="J14" s="50"/>
    </row>
    <row r="15" customFormat="false" ht="12.75" hidden="false" customHeight="false" outlineLevel="0" collapsed="false">
      <c r="A15" s="45" t="s">
        <v>66</v>
      </c>
      <c r="B15" s="67" t="n">
        <v>64670.95</v>
      </c>
      <c r="C15" s="68" t="n">
        <f aca="false">+B15/24</f>
        <v>2694.62291666667</v>
      </c>
      <c r="D15" s="12" t="n">
        <f aca="false">+C15/H15</f>
        <v>0.839324480257865</v>
      </c>
      <c r="E15" s="67" t="n">
        <v>309506</v>
      </c>
      <c r="F15" s="68" t="n">
        <f aca="false">+E15/600</f>
        <v>515.843333333333</v>
      </c>
      <c r="G15" s="12" t="n">
        <f aca="false">+F15/H15</f>
        <v>0.160675519742135</v>
      </c>
      <c r="H15" s="69" t="n">
        <f aca="false">+C15+F15</f>
        <v>3210.46625</v>
      </c>
      <c r="I15" s="47" t="n">
        <f aca="false">+H15/$H$27</f>
        <v>0.0428230346998278</v>
      </c>
      <c r="J15" s="47"/>
    </row>
    <row r="16" customFormat="false" ht="12.75" hidden="false" customHeight="false" outlineLevel="0" collapsed="false">
      <c r="A16" s="48" t="s">
        <v>67</v>
      </c>
      <c r="B16" s="70" t="n">
        <v>50326.75</v>
      </c>
      <c r="C16" s="71" t="n">
        <f aca="false">+B16/24</f>
        <v>2096.94791666667</v>
      </c>
      <c r="D16" s="16" t="n">
        <f aca="false">+C16/H16</f>
        <v>0.697434817922835</v>
      </c>
      <c r="E16" s="70" t="n">
        <v>545826</v>
      </c>
      <c r="F16" s="71" t="n">
        <f aca="false">+E16/600</f>
        <v>909.71</v>
      </c>
      <c r="G16" s="16" t="n">
        <f aca="false">+F16/H16</f>
        <v>0.302565182077165</v>
      </c>
      <c r="H16" s="72" t="n">
        <f aca="false">+C16+F16</f>
        <v>3006.65791666667</v>
      </c>
      <c r="I16" s="50" t="n">
        <f aca="false">+H16/$H$27</f>
        <v>0.0401045226050667</v>
      </c>
      <c r="J16" s="50"/>
    </row>
    <row r="17" customFormat="false" ht="12.75" hidden="false" customHeight="false" outlineLevel="0" collapsed="false">
      <c r="A17" s="45" t="s">
        <v>68</v>
      </c>
      <c r="B17" s="67" t="n">
        <v>97748</v>
      </c>
      <c r="C17" s="68" t="n">
        <f aca="false">+B17/24</f>
        <v>4072.83333333333</v>
      </c>
      <c r="D17" s="12" t="n">
        <f aca="false">+C17/H17</f>
        <v>0.762066388995957</v>
      </c>
      <c r="E17" s="67" t="n">
        <v>762976</v>
      </c>
      <c r="F17" s="68" t="n">
        <f aca="false">+E17/600</f>
        <v>1271.62666666667</v>
      </c>
      <c r="G17" s="12" t="n">
        <f aca="false">+F17/H17</f>
        <v>0.237933611004043</v>
      </c>
      <c r="H17" s="69" t="n">
        <f aca="false">+C17+F17</f>
        <v>5344.46</v>
      </c>
      <c r="I17" s="47" t="n">
        <f aca="false">+H17/$H$27</f>
        <v>0.0712874636298829</v>
      </c>
      <c r="J17" s="47"/>
    </row>
    <row r="18" customFormat="false" ht="12.75" hidden="false" customHeight="false" outlineLevel="0" collapsed="false">
      <c r="A18" s="48" t="s">
        <v>69</v>
      </c>
      <c r="B18" s="70" t="n">
        <v>126738.75</v>
      </c>
      <c r="C18" s="71" t="n">
        <f aca="false">+B18/24</f>
        <v>5280.78125</v>
      </c>
      <c r="D18" s="16" t="n">
        <f aca="false">+C18/H18</f>
        <v>0.77568740113698</v>
      </c>
      <c r="E18" s="70" t="n">
        <v>916255</v>
      </c>
      <c r="F18" s="71" t="n">
        <f aca="false">+E18/600</f>
        <v>1527.09166666667</v>
      </c>
      <c r="G18" s="16" t="n">
        <f aca="false">+F18/H18</f>
        <v>0.22431259886302</v>
      </c>
      <c r="H18" s="72" t="n">
        <f aca="false">+C18+F18</f>
        <v>6807.87291666667</v>
      </c>
      <c r="I18" s="50" t="n">
        <f aca="false">+H18/$H$27</f>
        <v>0.0908073019432721</v>
      </c>
      <c r="J18" s="50"/>
    </row>
    <row r="19" customFormat="false" ht="12.75" hidden="false" customHeight="false" outlineLevel="0" collapsed="false">
      <c r="A19" s="45" t="s">
        <v>70</v>
      </c>
      <c r="B19" s="67" t="n">
        <v>244420.25</v>
      </c>
      <c r="C19" s="68" t="n">
        <f aca="false">+B19/24</f>
        <v>10184.1770833333</v>
      </c>
      <c r="D19" s="12" t="n">
        <f aca="false">+C19/H19</f>
        <v>0.798306274222987</v>
      </c>
      <c r="E19" s="67" t="n">
        <v>1543832</v>
      </c>
      <c r="F19" s="68" t="n">
        <f aca="false">+E19/600</f>
        <v>2573.05333333333</v>
      </c>
      <c r="G19" s="12" t="n">
        <f aca="false">+F19/H19</f>
        <v>0.201693725777013</v>
      </c>
      <c r="H19" s="69" t="n">
        <f aca="false">+C19+F19</f>
        <v>12757.2304166667</v>
      </c>
      <c r="I19" s="47" t="n">
        <f aca="false">+H19/$H$27</f>
        <v>0.170163234329785</v>
      </c>
      <c r="J19" s="47"/>
    </row>
    <row r="20" customFormat="false" ht="12.75" hidden="false" customHeight="false" outlineLevel="0" collapsed="false">
      <c r="A20" s="48" t="s">
        <v>71</v>
      </c>
      <c r="B20" s="70" t="n">
        <v>223244</v>
      </c>
      <c r="C20" s="71" t="n">
        <f aca="false">+B20/24</f>
        <v>9301.83333333333</v>
      </c>
      <c r="D20" s="16" t="n">
        <f aca="false">+C20/H20</f>
        <v>0.762543694159465</v>
      </c>
      <c r="E20" s="70" t="n">
        <v>1737956</v>
      </c>
      <c r="F20" s="71" t="n">
        <f aca="false">+E20/600</f>
        <v>2896.59333333333</v>
      </c>
      <c r="G20" s="16" t="n">
        <f aca="false">+F20/H20</f>
        <v>0.237456305840535</v>
      </c>
      <c r="H20" s="72" t="n">
        <f aca="false">+C20+F20</f>
        <v>12198.4266666667</v>
      </c>
      <c r="I20" s="50" t="n">
        <f aca="false">+H20/$H$27</f>
        <v>0.16270959036868</v>
      </c>
      <c r="J20" s="50"/>
    </row>
    <row r="21" customFormat="false" ht="12.75" hidden="false" customHeight="false" outlineLevel="0" collapsed="false">
      <c r="A21" s="45" t="s">
        <v>72</v>
      </c>
      <c r="B21" s="67" t="n">
        <v>73486</v>
      </c>
      <c r="C21" s="68" t="n">
        <f aca="false">+B21/24</f>
        <v>3061.91666666667</v>
      </c>
      <c r="D21" s="12" t="n">
        <f aca="false">+C21/H21</f>
        <v>0.724808643653274</v>
      </c>
      <c r="E21" s="67" t="n">
        <v>697519</v>
      </c>
      <c r="F21" s="68" t="n">
        <f aca="false">+E21/600</f>
        <v>1162.53166666667</v>
      </c>
      <c r="G21" s="12" t="n">
        <f aca="false">+F21/H21</f>
        <v>0.275191356346726</v>
      </c>
      <c r="H21" s="69" t="n">
        <f aca="false">+C21+F21</f>
        <v>4224.44833333333</v>
      </c>
      <c r="I21" s="47" t="n">
        <f aca="false">+H21/$H$27</f>
        <v>0.056348107557886</v>
      </c>
      <c r="J21" s="47"/>
    </row>
    <row r="22" customFormat="false" ht="12.75" hidden="false" customHeight="false" outlineLevel="0" collapsed="false">
      <c r="A22" s="48" t="s">
        <v>73</v>
      </c>
      <c r="B22" s="70" t="n">
        <v>81783</v>
      </c>
      <c r="C22" s="71" t="n">
        <f aca="false">+B22/24</f>
        <v>3407.625</v>
      </c>
      <c r="D22" s="16" t="n">
        <f aca="false">+C22/H22</f>
        <v>0.706673141529911</v>
      </c>
      <c r="E22" s="70" t="n">
        <v>848665</v>
      </c>
      <c r="F22" s="71" t="n">
        <f aca="false">+E22/600</f>
        <v>1414.44166666667</v>
      </c>
      <c r="G22" s="16" t="n">
        <f aca="false">+F22/H22</f>
        <v>0.293326858470089</v>
      </c>
      <c r="H22" s="72" t="n">
        <f aca="false">+C22+F22</f>
        <v>4822.06666666667</v>
      </c>
      <c r="I22" s="50" t="n">
        <f aca="false">+H22/$H$27</f>
        <v>0.0643194826270326</v>
      </c>
      <c r="J22" s="50"/>
    </row>
    <row r="23" customFormat="false" ht="12.75" hidden="false" customHeight="false" outlineLevel="0" collapsed="false">
      <c r="A23" s="45" t="s">
        <v>74</v>
      </c>
      <c r="B23" s="67" t="n">
        <v>27699</v>
      </c>
      <c r="C23" s="68" t="n">
        <f aca="false">+B23/24</f>
        <v>1154.125</v>
      </c>
      <c r="D23" s="12" t="n">
        <f aca="false">+C23/H23</f>
        <v>0.755636377921308</v>
      </c>
      <c r="E23" s="67" t="n">
        <v>223938</v>
      </c>
      <c r="F23" s="68" t="n">
        <f aca="false">+E23/600</f>
        <v>373.23</v>
      </c>
      <c r="G23" s="12" t="n">
        <f aca="false">+F23/H23</f>
        <v>0.244363622078692</v>
      </c>
      <c r="H23" s="69" t="n">
        <f aca="false">+C23+F23</f>
        <v>1527.355</v>
      </c>
      <c r="I23" s="47" t="n">
        <f aca="false">+H23/$H$27</f>
        <v>0.0203727343852176</v>
      </c>
      <c r="J23" s="47"/>
    </row>
    <row r="24" customFormat="false" ht="12.75" hidden="false" customHeight="false" outlineLevel="0" collapsed="false">
      <c r="A24" s="48" t="s">
        <v>75</v>
      </c>
      <c r="B24" s="70" t="n">
        <v>95015</v>
      </c>
      <c r="C24" s="71" t="n">
        <f aca="false">+B24/24</f>
        <v>3958.95833333333</v>
      </c>
      <c r="D24" s="16" t="n">
        <f aca="false">+C24/H24</f>
        <v>0.679961951042453</v>
      </c>
      <c r="E24" s="70" t="n">
        <v>1118019</v>
      </c>
      <c r="F24" s="71" t="n">
        <f aca="false">+E24/600</f>
        <v>1863.365</v>
      </c>
      <c r="G24" s="16" t="n">
        <f aca="false">+F24/H24</f>
        <v>0.320038048957547</v>
      </c>
      <c r="H24" s="72" t="n">
        <f aca="false">+C24+F24</f>
        <v>5822.32333333333</v>
      </c>
      <c r="I24" s="50" t="n">
        <f aca="false">+H24/$H$27</f>
        <v>0.0776614780289157</v>
      </c>
      <c r="J24" s="50"/>
    </row>
    <row r="25" customFormat="false" ht="12.75" hidden="false" customHeight="false" outlineLevel="0" collapsed="false">
      <c r="A25" s="45" t="s">
        <v>76</v>
      </c>
      <c r="B25" s="73" t="n">
        <v>60066.7</v>
      </c>
      <c r="C25" s="74" t="n">
        <f aca="false">+B25/24</f>
        <v>2502.77916666667</v>
      </c>
      <c r="D25" s="18" t="n">
        <f aca="false">+C25/H25</f>
        <v>0.846925254140884</v>
      </c>
      <c r="E25" s="73" t="n">
        <v>271414</v>
      </c>
      <c r="F25" s="74" t="n">
        <f aca="false">+E25/600</f>
        <v>452.356666666667</v>
      </c>
      <c r="G25" s="18" t="n">
        <f aca="false">+F25/H25</f>
        <v>0.153074745859116</v>
      </c>
      <c r="H25" s="75" t="n">
        <f aca="false">+C25+F25</f>
        <v>2955.13583333333</v>
      </c>
      <c r="I25" s="52" t="n">
        <f aca="false">+H25/$H$27</f>
        <v>0.0394172915954304</v>
      </c>
      <c r="J25" s="52"/>
    </row>
    <row r="26" customFormat="false" ht="7.5" hidden="false" customHeight="true" outlineLevel="0" collapsed="false">
      <c r="A26" s="11"/>
      <c r="B26" s="76"/>
      <c r="C26" s="26"/>
      <c r="D26" s="12"/>
      <c r="E26" s="67"/>
      <c r="F26" s="26"/>
      <c r="G26" s="12"/>
      <c r="H26" s="26"/>
      <c r="I26" s="12"/>
      <c r="J26" s="77"/>
    </row>
    <row r="27" s="24" customFormat="true" ht="13.5" hidden="false" customHeight="false" outlineLevel="0" collapsed="false">
      <c r="A27" s="20" t="s">
        <v>77</v>
      </c>
      <c r="B27" s="78" t="n">
        <f aca="false">SUM(B11:B26)</f>
        <v>1368440.4</v>
      </c>
      <c r="C27" s="79" t="n">
        <f aca="false">SUM(C11:C26)</f>
        <v>57018.35</v>
      </c>
      <c r="D27" s="21" t="n">
        <f aca="false">+C27/H27</f>
        <v>0.760543357394561</v>
      </c>
      <c r="E27" s="80" t="n">
        <f aca="false">SUM(E11:E26)+1</f>
        <v>11136656</v>
      </c>
      <c r="F27" s="79" t="n">
        <f aca="false">SUM(F11:F26)</f>
        <v>17952.195</v>
      </c>
      <c r="G27" s="21" t="n">
        <f aca="false">+F27/H27</f>
        <v>0.239456642605439</v>
      </c>
      <c r="H27" s="79" t="n">
        <f aca="false">SUM(H11:H26)</f>
        <v>74970.545</v>
      </c>
      <c r="I27" s="81" t="n">
        <f aca="false">SUM(I11:I26)</f>
        <v>1</v>
      </c>
      <c r="J27" s="82" t="s">
        <v>16</v>
      </c>
    </row>
    <row r="28" customFormat="false" ht="7.5" hidden="false" customHeight="true" outlineLevel="0" collapsed="false">
      <c r="B28" s="83"/>
      <c r="C28" s="84"/>
      <c r="D28" s="55"/>
      <c r="E28" s="85"/>
      <c r="F28" s="84"/>
      <c r="G28" s="55"/>
      <c r="H28" s="84"/>
      <c r="I28" s="56"/>
      <c r="J28" s="86"/>
    </row>
    <row r="29" customFormat="false" ht="12.75" hidden="false" customHeight="false" outlineLevel="0" collapsed="false">
      <c r="A29" s="27" t="s">
        <v>98</v>
      </c>
      <c r="B29" s="27"/>
      <c r="C29" s="27"/>
      <c r="D29" s="27"/>
      <c r="E29" s="27"/>
      <c r="F29" s="27"/>
      <c r="G29" s="27"/>
      <c r="H29" s="27"/>
      <c r="I29" s="27"/>
      <c r="J29" s="27"/>
    </row>
    <row r="30" s="57" customFormat="true" ht="11.25" hidden="false" customHeight="false" outlineLevel="0" collapsed="false">
      <c r="A30" s="27" t="s">
        <v>99</v>
      </c>
      <c r="B30" s="27"/>
      <c r="C30" s="27"/>
      <c r="D30" s="27"/>
      <c r="E30" s="27"/>
      <c r="F30" s="27"/>
      <c r="G30" s="27"/>
      <c r="H30" s="27"/>
      <c r="I30" s="27"/>
      <c r="J30" s="27"/>
    </row>
    <row r="31" customFormat="false" ht="7.5" hidden="false" customHeight="true" outlineLevel="0" collapsed="false">
      <c r="A31" s="29"/>
      <c r="B31" s="29"/>
      <c r="C31" s="29"/>
      <c r="D31" s="29"/>
      <c r="E31" s="29"/>
      <c r="F31" s="29"/>
      <c r="G31" s="87"/>
      <c r="H31" s="29"/>
      <c r="I31" s="29"/>
      <c r="J31" s="29"/>
    </row>
    <row r="32" s="57" customFormat="true" ht="11.25" hidden="false" customHeight="false" outlineLevel="0" collapsed="false">
      <c r="A32" s="30" t="s">
        <v>100</v>
      </c>
      <c r="B32" s="30"/>
      <c r="C32" s="30"/>
      <c r="D32" s="30"/>
      <c r="E32" s="30"/>
      <c r="F32" s="30"/>
      <c r="G32" s="30"/>
      <c r="H32" s="30"/>
      <c r="I32" s="30"/>
      <c r="J32" s="30"/>
    </row>
    <row r="33" s="57" customFormat="true" ht="12" hidden="false" customHeight="false" outlineLevel="0" collapsed="false">
      <c r="A33" s="31" t="s">
        <v>101</v>
      </c>
      <c r="B33" s="31"/>
      <c r="C33" s="31"/>
      <c r="D33" s="31"/>
      <c r="E33" s="31"/>
      <c r="F33" s="31"/>
      <c r="G33" s="31"/>
      <c r="H33" s="31"/>
      <c r="I33" s="31"/>
      <c r="J33" s="31"/>
    </row>
  </sheetData>
  <mergeCells count="26">
    <mergeCell ref="A2:J2"/>
    <mergeCell ref="A3:J3"/>
    <mergeCell ref="A4:J4"/>
    <mergeCell ref="I6:J6"/>
    <mergeCell ref="I7:J7"/>
    <mergeCell ref="I8:J8"/>
    <mergeCell ref="I9:J9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A29:J29"/>
    <mergeCell ref="A30:J30"/>
    <mergeCell ref="A32:J32"/>
    <mergeCell ref="A33:J33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>
    <row r="1" customFormat="false" ht="13.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75" hidden="false" customHeight="false" outlineLevel="0" collapsed="false">
      <c r="A2" s="88" t="s">
        <v>84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customFormat="false" ht="12.75" hidden="false" customHeight="false" outlineLevel="0" collapsed="false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8.25" hidden="false" customHeight="true" outlineLevel="0" collapsed="false"/>
    <row r="27" customFormat="false" ht="6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="57" customFormat="true" ht="11.25" hidden="false" customHeight="false" outlineLevel="0" collapsed="false">
      <c r="A28" s="27" t="s">
        <v>100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="57" customFormat="true" ht="12" hidden="false" customHeight="false" outlineLevel="0" collapsed="false">
      <c r="A29" s="31" t="s">
        <v>101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</sheetData>
  <mergeCells count="5">
    <mergeCell ref="A2:K2"/>
    <mergeCell ref="A3:K3"/>
    <mergeCell ref="A4:K4"/>
    <mergeCell ref="A28:K28"/>
    <mergeCell ref="A29:K2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2001-07-18T14:59:10Z</dcterms:created>
  <dc:creator>NewUser</dc:creator>
  <dc:description/>
  <dc:language>en-US</dc:language>
  <cp:lastModifiedBy>NewUser</cp:lastModifiedBy>
  <cp:lastPrinted>2001-07-25T22:27:09Z</cp:lastPrinted>
  <cp:revision>0</cp:revision>
  <dc:subject/>
  <dc:title/>
</cp:coreProperties>
</file>