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mework4 Estimating Reliabili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<sst xmlns="http://schemas.openxmlformats.org/spreadsheetml/2006/main" count="147" uniqueCount="100">
  <si>
    <t xml:space="preserve">Problem 1</t>
  </si>
  <si>
    <t xml:space="preserve">mn = mean </t>
  </si>
  <si>
    <t xml:space="preserve">X= mean for each subject averaged across items</t>
  </si>
  <si>
    <t xml:space="preserve">time 1</t>
  </si>
  <si>
    <t xml:space="preserve">X1</t>
  </si>
  <si>
    <t xml:space="preserve">X2</t>
  </si>
  <si>
    <t xml:space="preserve">x1-mn1</t>
  </si>
  <si>
    <t xml:space="preserve">(x1-mn1)sqr</t>
  </si>
  <si>
    <t xml:space="preserve">x2-m2</t>
  </si>
  <si>
    <t xml:space="preserve">(x2-mn2)sqr</t>
  </si>
  <si>
    <t xml:space="preserve">(x1-mn1)(x2-mn2)</t>
  </si>
  <si>
    <t xml:space="preserve">subject 1</t>
  </si>
  <si>
    <t xml:space="preserve">subject 2</t>
  </si>
  <si>
    <t xml:space="preserve">subject 3</t>
  </si>
  <si>
    <t xml:space="preserve">sum</t>
  </si>
  <si>
    <t xml:space="preserve">mean</t>
  </si>
  <si>
    <t xml:space="preserve">rxx' =</t>
  </si>
  <si>
    <t xml:space="preserve">Problem 2</t>
  </si>
  <si>
    <t xml:space="preserve">You first need to calculate the means for each subject for the odd and even items separately</t>
  </si>
  <si>
    <t xml:space="preserve">When you apply the Prophesy formula ignore the fact that you have an unequal number of odd and even items.</t>
  </si>
  <si>
    <t xml:space="preserve">time 1 split half</t>
  </si>
  <si>
    <t xml:space="preserve">time 2 Split Half</t>
  </si>
  <si>
    <t xml:space="preserve">xo = the mean of the odd items for each subject</t>
  </si>
  <si>
    <t xml:space="preserve">xe = the mean of the even items for each subject</t>
  </si>
  <si>
    <t xml:space="preserve">xo  </t>
  </si>
  <si>
    <t xml:space="preserve">xe </t>
  </si>
  <si>
    <t xml:space="preserve">xo-mno</t>
  </si>
  <si>
    <t xml:space="preserve">(xo-mno)sqrd</t>
  </si>
  <si>
    <t xml:space="preserve">xe-mne</t>
  </si>
  <si>
    <t xml:space="preserve">(x3-mne)sqrd</t>
  </si>
  <si>
    <t xml:space="preserve">(xo-mno)*(xe-mne)</t>
  </si>
  <si>
    <t xml:space="preserve">subject 11</t>
  </si>
  <si>
    <t xml:space="preserve">subject 12</t>
  </si>
  <si>
    <t xml:space="preserve">subject 21</t>
  </si>
  <si>
    <t xml:space="preserve">subject 22</t>
  </si>
  <si>
    <t xml:space="preserve">subject 31</t>
  </si>
  <si>
    <t xml:space="preserve">subject 32</t>
  </si>
  <si>
    <t xml:space="preserve">sum </t>
  </si>
  <si>
    <t xml:space="preserve">mean </t>
  </si>
  <si>
    <t xml:space="preserve">Prophesy</t>
  </si>
  <si>
    <t xml:space="preserve">Problem 4</t>
  </si>
  <si>
    <t xml:space="preserve">Time 1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</si>
  <si>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</si>
  <si>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</si>
  <si>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</si>
  <si>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</si>
  <si>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</si>
  <si>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Question 1</t>
  </si>
  <si>
    <t xml:space="preserve">Question 2</t>
  </si>
  <si>
    <t xml:space="preserve">Question 3</t>
  </si>
  <si>
    <t xml:space="preserve">Question 4</t>
  </si>
  <si>
    <t xml:space="preserve">Question 5</t>
  </si>
  <si>
    <t xml:space="preserve">Intercorrelation Average</t>
  </si>
  <si>
    <t xml:space="preserve">mean rij (theoretical alpha) </t>
  </si>
  <si>
    <t xml:space="preserve">mean rij if revers q5</t>
  </si>
  <si>
    <t xml:space="preserve">Alpha (Adjusted Alpha)</t>
  </si>
  <si>
    <t xml:space="preserve">mean rij if item deleted</t>
  </si>
  <si>
    <t xml:space="preserve">Adjusted Alpha if item deleted</t>
  </si>
  <si>
    <t xml:space="preserve">Time 2</t>
  </si>
  <si>
    <t xml:space="preserve">Problem 5</t>
  </si>
  <si>
    <t xml:space="preserve">Kappa</t>
  </si>
  <si>
    <t xml:space="preserve">Row total = Ri</t>
  </si>
  <si>
    <t xml:space="preserve">Column Total = Cj</t>
  </si>
  <si>
    <t xml:space="preserve">total N = 51</t>
  </si>
  <si>
    <t xml:space="preserve">E</t>
  </si>
  <si>
    <t xml:space="preserve">O</t>
  </si>
  <si>
    <t xml:space="preserve">Cell 11</t>
  </si>
  <si>
    <t xml:space="preserve">Cell 22</t>
  </si>
  <si>
    <t xml:space="preserve">Cell 33</t>
  </si>
  <si>
    <t xml:space="preserve">Cell 44 </t>
  </si>
  <si>
    <t xml:space="preserve">Kappa =</t>
  </si>
  <si>
    <t xml:space="preserve">Problem 6</t>
  </si>
  <si>
    <t xml:space="preserve">Kuder-Richardson 21</t>
  </si>
  <si>
    <t xml:space="preserve">Questions</t>
  </si>
  <si>
    <t xml:space="preserve">Stan</t>
  </si>
  <si>
    <t xml:space="preserve">Kyle </t>
  </si>
  <si>
    <t xml:space="preserve">Kenny</t>
  </si>
  <si>
    <t xml:space="preserve">Cartman</t>
  </si>
  <si>
    <t xml:space="preserve">Butters (aka: Not Kenny)</t>
  </si>
  <si>
    <t xml:space="preserve">Who shot Mr. Burns</t>
  </si>
  <si>
    <t xml:space="preserve">Who invented Cheezy Poofs</t>
  </si>
  <si>
    <t xml:space="preserve">What is Chef's real name</t>
  </si>
  <si>
    <t xml:space="preserve">Why shouldn't you do drugs</t>
  </si>
  <si>
    <t xml:space="preserve">Will Pig and Elephant DNA splice?</t>
  </si>
  <si>
    <t xml:space="preserve">Average student Score</t>
  </si>
  <si>
    <t xml:space="preserve">Student Score (X)</t>
  </si>
  <si>
    <t xml:space="preserve">X</t>
  </si>
  <si>
    <r>
      <rPr>
        <sz val="10"/>
        <rFont val="Arial"/>
        <family val="0"/>
      </rPr>
      <t xml:space="preserve">X</t>
    </r>
    <r>
      <rPr>
        <vertAlign val="superscript"/>
        <sz val="10"/>
        <rFont val="Arial"/>
        <family val="2"/>
      </rPr>
      <t xml:space="preserve">2</t>
    </r>
  </si>
  <si>
    <t xml:space="preserve">Squared Sum of X</t>
  </si>
  <si>
    <t xml:space="preserve">Averag Student Score</t>
  </si>
  <si>
    <t xml:space="preserve">Sample Variance </t>
  </si>
  <si>
    <t xml:space="preserve">k = 5 KR21</t>
  </si>
  <si>
    <t xml:space="preserve">KR21 with Correction</t>
  </si>
  <si>
    <t xml:space="preserve">Kuder-Richardson 20</t>
  </si>
  <si>
    <t xml:space="preserve">p = % correct</t>
  </si>
  <si>
    <t xml:space="preserve">q=% incorrect</t>
  </si>
  <si>
    <t xml:space="preserve">p*q</t>
  </si>
  <si>
    <t xml:space="preserve">sum p*q</t>
  </si>
  <si>
    <t xml:space="preserve">Population Variance </t>
  </si>
  <si>
    <t xml:space="preserve">KR20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</si>
</sst>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_);_(* \(#,##0\);_(* \-_);_(@_)"/>
    <numFmt numFmtId="166" formatCode="_(\$* #,##0_);_(\$* \(#,##0\);_(\$* \-_);_(@_)"/>
    <numFmt numFmtId="167" formatCode="General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b val="true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33CCCC"/>
        <bgColor rgb="FF00CCFF"/>
      </patternFill>
    </fill>
    <fill>
      <patternFill patternType="solid">
        <fgColor rgb="FF3366FF"/>
        <bgColor rgb="FF0066CC"/>
      </patternFill>
    </fill>
    <fill>
      <patternFill patternType="solid">
        <fgColor rgb="FFFFCC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C0C0C0"/>
        <bgColor rgb="FFCCCCFF"/>
      </patternFill>
    </fill>
    <fill>
      <patternFill patternType="solid">
        <fgColor rgb="FF339966"/>
        <bgColor rgb="FF008080"/>
      </patternFill>
    </fill>
    <fill>
      <patternFill patternType="solid">
        <fgColor rgb="FF00CCFF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[0]" xfId="20"/>
    <cellStyle name="Currency [0]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25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H60" activeCellId="0" sqref="H60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5.67"/>
    <col collapsed="false" customWidth="true" hidden="false" outlineLevel="0" max="2" min="2" style="0" width="13.12"/>
    <col collapsed="false" customWidth="true" hidden="false" outlineLevel="0" max="3" min="3" style="0" width="12.4"/>
    <col collapsed="false" customWidth="true" hidden="false" outlineLevel="0" max="4" min="4" style="0" width="10.98"/>
    <col collapsed="false" customWidth="true" hidden="false" outlineLevel="0" max="5" min="5" style="0" width="13.4"/>
    <col collapsed="false" customWidth="true" hidden="false" outlineLevel="0" max="6" min="6" style="0" width="10.98"/>
    <col collapsed="false" customWidth="true" hidden="false" outlineLevel="0" max="7" min="7" style="0" width="16.4"/>
    <col collapsed="false" customWidth="true" hidden="false" outlineLevel="0" max="8" min="8" style="0" width="16.68"/>
    <col collapsed="false" customWidth="true" hidden="false" outlineLevel="0" max="9" min="9" style="0" width="12.4"/>
    <col collapsed="false" customWidth="true" hidden="false" outlineLevel="0" max="10" min="10" style="0" width="16.26"/>
    <col collapsed="false" customWidth="true" hidden="false" outlineLevel="0" max="14" min="14" style="0" width="12.55"/>
    <col collapsed="false" customWidth="true" hidden="false" outlineLevel="0" max="16" min="16" style="0" width="11.84"/>
    <col collapsed="false" customWidth="true" hidden="false" outlineLevel="0" max="17" min="17" style="0" width="18.54"/>
  </cols>
  <sheetData>
    <row r="1" customFormat="false" ht="12.75" hidden="false" customHeight="false" outlineLevel="0" collapsed="false">
      <c r="A1" s="0" t="s">
        <v>0</v>
      </c>
      <c r="C1" s="0" t="s">
        <v>1</v>
      </c>
    </row>
    <row r="2" customFormat="false" ht="12.75" hidden="false" customHeight="false" outlineLevel="0" collapsed="false">
      <c r="C2" s="0" t="s">
        <v>2</v>
      </c>
    </row>
    <row r="3" customFormat="false" ht="12.75" hidden="false" customHeight="false" outlineLevel="0" collapsed="false">
      <c r="B3" s="0" t="s">
        <v>3</v>
      </c>
    </row>
    <row r="4" customFormat="false" ht="12.75" hidden="false" customHeight="false" outlineLevel="0" collapsed="false"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customFormat="false" ht="12.75" hidden="false" customHeight="false" outlineLevel="0" collapsed="false">
      <c r="A5" s="0" t="s">
        <v>11</v>
      </c>
      <c r="B5" s="0" t="n">
        <v>1.8</v>
      </c>
      <c r="C5" s="0" t="n">
        <v>1.4</v>
      </c>
      <c r="D5" s="0" t="n">
        <f aca="false">B5-2.93333</f>
        <v>-1.13333</v>
      </c>
      <c r="E5" s="0" t="n">
        <f aca="false">D5^2</f>
        <v>1.2844368889</v>
      </c>
      <c r="F5" s="0" t="n">
        <f aca="false">C5-2</f>
        <v>-0.6</v>
      </c>
      <c r="G5" s="0" t="n">
        <f aca="false">F5^2</f>
        <v>0.36</v>
      </c>
      <c r="H5" s="0" t="n">
        <f aca="false">D5/F5</f>
        <v>1.88888333333333</v>
      </c>
    </row>
    <row r="6" customFormat="false" ht="12.75" hidden="false" customHeight="false" outlineLevel="0" collapsed="false">
      <c r="A6" s="0" t="s">
        <v>12</v>
      </c>
      <c r="B6" s="0" t="n">
        <v>3.6</v>
      </c>
      <c r="C6" s="0" t="n">
        <v>1.2</v>
      </c>
      <c r="D6" s="0" t="n">
        <f aca="false">B6-2.93333</f>
        <v>0.66667</v>
      </c>
      <c r="E6" s="0" t="n">
        <f aca="false">D6^2</f>
        <v>0.4444488889</v>
      </c>
      <c r="F6" s="0" t="n">
        <f aca="false">C6-2</f>
        <v>-0.8</v>
      </c>
      <c r="G6" s="0" t="n">
        <f aca="false">F6^2</f>
        <v>0.64</v>
      </c>
      <c r="H6" s="0" t="n">
        <f aca="false">D6*F6</f>
        <v>-0.533336</v>
      </c>
    </row>
    <row r="7" customFormat="false" ht="12.75" hidden="false" customHeight="false" outlineLevel="0" collapsed="false">
      <c r="A7" s="0" t="s">
        <v>13</v>
      </c>
      <c r="B7" s="0" t="n">
        <v>3.4</v>
      </c>
      <c r="C7" s="0" t="n">
        <v>3.4</v>
      </c>
      <c r="D7" s="0" t="n">
        <f aca="false">B7-2.93333</f>
        <v>0.46667</v>
      </c>
      <c r="E7" s="0" t="n">
        <f aca="false">D7^2</f>
        <v>0.2177808889</v>
      </c>
      <c r="F7" s="0" t="n">
        <f aca="false">C7-2</f>
        <v>1.4</v>
      </c>
      <c r="G7" s="0" t="n">
        <f aca="false">F7^2</f>
        <v>1.96</v>
      </c>
      <c r="H7" s="0" t="n">
        <f aca="false">D7*F7</f>
        <v>0.653338</v>
      </c>
    </row>
    <row r="8" customFormat="false" ht="12.75" hidden="false" customHeight="false" outlineLevel="0" collapsed="false">
      <c r="A8" s="0" t="s">
        <v>14</v>
      </c>
      <c r="B8" s="0" t="n">
        <f aca="false">SUM(B5:B7)</f>
        <v>8.8</v>
      </c>
      <c r="C8" s="0" t="n">
        <f aca="false">SUM(C5:C7)</f>
        <v>6</v>
      </c>
      <c r="E8" s="0" t="n">
        <f aca="false">SUM(E5:E7)</f>
        <v>1.9466666667</v>
      </c>
      <c r="G8" s="0" t="n">
        <f aca="false">SUM(G5:G7)</f>
        <v>2.96</v>
      </c>
      <c r="H8" s="0" t="n">
        <f aca="false">SUM(H5:H7)</f>
        <v>2.00888533333333</v>
      </c>
    </row>
    <row r="9" customFormat="false" ht="12.75" hidden="false" customHeight="false" outlineLevel="0" collapsed="false">
      <c r="A9" s="0" t="s">
        <v>15</v>
      </c>
      <c r="B9" s="0" t="n">
        <f aca="false">8.8/3</f>
        <v>2.93333333333333</v>
      </c>
      <c r="C9" s="0" t="n">
        <f aca="false">6/3</f>
        <v>2</v>
      </c>
    </row>
    <row r="11" customFormat="false" ht="12.75" hidden="false" customHeight="false" outlineLevel="0" collapsed="false">
      <c r="A11" s="0" t="s">
        <v>16</v>
      </c>
      <c r="B11" s="0" t="n">
        <f aca="false">H8/((SQRT(E8))*(SQRT(G8)))</f>
        <v>0.836880592008128</v>
      </c>
    </row>
    <row r="15" customFormat="false" ht="12.75" hidden="false" customHeight="false" outlineLevel="0" collapsed="false">
      <c r="A15" s="0" t="s">
        <v>17</v>
      </c>
    </row>
    <row r="16" customFormat="false" ht="12.75" hidden="false" customHeight="false" outlineLevel="0" collapsed="false">
      <c r="A16" s="0" t="s">
        <v>18</v>
      </c>
    </row>
    <row r="17" customFormat="false" ht="12.75" hidden="false" customHeight="false" outlineLevel="0" collapsed="false">
      <c r="A17" s="0" t="s">
        <v>19</v>
      </c>
    </row>
    <row r="19" customFormat="false" ht="12.75" hidden="false" customHeight="false" outlineLevel="0" collapsed="false">
      <c r="A19" s="0" t="s">
        <v>20</v>
      </c>
      <c r="J19" s="0" t="s">
        <v>21</v>
      </c>
    </row>
    <row r="20" customFormat="false" ht="12.75" hidden="false" customHeight="false" outlineLevel="0" collapsed="false">
      <c r="B20" s="0" t="s">
        <v>22</v>
      </c>
    </row>
    <row r="21" customFormat="false" ht="12.75" hidden="false" customHeight="false" outlineLevel="0" collapsed="false">
      <c r="B21" s="0" t="s">
        <v>23</v>
      </c>
    </row>
    <row r="22" customFormat="false" ht="12.75" hidden="false" customHeight="false" outlineLevel="0" collapsed="false">
      <c r="B22" s="0" t="s">
        <v>24</v>
      </c>
      <c r="C22" s="0" t="s">
        <v>25</v>
      </c>
      <c r="D22" s="0" t="s">
        <v>26</v>
      </c>
      <c r="E22" s="0" t="s">
        <v>27</v>
      </c>
      <c r="F22" s="0" t="s">
        <v>28</v>
      </c>
      <c r="G22" s="0" t="s">
        <v>29</v>
      </c>
      <c r="H22" s="0" t="s">
        <v>30</v>
      </c>
      <c r="K22" s="0" t="s">
        <v>24</v>
      </c>
      <c r="L22" s="0" t="s">
        <v>25</v>
      </c>
      <c r="M22" s="0" t="s">
        <v>26</v>
      </c>
      <c r="N22" s="0" t="s">
        <v>27</v>
      </c>
      <c r="O22" s="0" t="s">
        <v>28</v>
      </c>
      <c r="P22" s="0" t="s">
        <v>29</v>
      </c>
      <c r="Q22" s="0" t="s">
        <v>30</v>
      </c>
    </row>
    <row r="23" customFormat="false" ht="12.75" hidden="false" customHeight="false" outlineLevel="0" collapsed="false">
      <c r="A23" s="0" t="s">
        <v>31</v>
      </c>
      <c r="B23" s="0" t="n">
        <v>2</v>
      </c>
      <c r="C23" s="0" t="n">
        <v>1.5</v>
      </c>
      <c r="D23" s="0" t="n">
        <f aca="false">B23-2.777767</f>
        <v>-0.777767</v>
      </c>
      <c r="E23" s="0" t="n">
        <f aca="false">D23^2</f>
        <v>0.604921506289</v>
      </c>
      <c r="F23" s="0" t="n">
        <f aca="false">C23-3.166667</f>
        <v>-1.666667</v>
      </c>
      <c r="G23" s="0" t="n">
        <f aca="false">F23^2</f>
        <v>2.777778888889</v>
      </c>
      <c r="H23" s="0" t="n">
        <f aca="false">D23*F23</f>
        <v>1.296278592589</v>
      </c>
      <c r="J23" s="0" t="s">
        <v>32</v>
      </c>
      <c r="K23" s="0" t="n">
        <v>1.3333</v>
      </c>
      <c r="L23" s="0" t="n">
        <v>1.5</v>
      </c>
      <c r="M23" s="0" t="n">
        <f aca="false">K23-1.777667</f>
        <v>-0.444367</v>
      </c>
      <c r="N23" s="0" t="n">
        <f aca="false">M23^2</f>
        <v>0.197462030689</v>
      </c>
      <c r="O23" s="0" t="n">
        <f aca="false">L23-2.333333</f>
        <v>-0.833333</v>
      </c>
      <c r="P23" s="0" t="n">
        <f aca="false">O23^2</f>
        <v>0.694443888889</v>
      </c>
      <c r="Q23" s="0" t="n">
        <f aca="false">M23*O23</f>
        <v>0.370305685211</v>
      </c>
    </row>
    <row r="24" customFormat="false" ht="12.75" hidden="false" customHeight="false" outlineLevel="0" collapsed="false">
      <c r="A24" s="0" t="s">
        <v>33</v>
      </c>
      <c r="B24" s="0" t="n">
        <v>3.3333</v>
      </c>
      <c r="C24" s="0" t="n">
        <v>4</v>
      </c>
      <c r="D24" s="0" t="n">
        <f aca="false">B24-2.777767</f>
        <v>0.555533</v>
      </c>
      <c r="E24" s="0" t="n">
        <f aca="false">D24^2</f>
        <v>0.308616914089</v>
      </c>
      <c r="F24" s="0" t="n">
        <f aca="false">C24-3.166667</f>
        <v>0.833333</v>
      </c>
      <c r="G24" s="0" t="n">
        <f aca="false">F24^2</f>
        <v>0.694443888889</v>
      </c>
      <c r="H24" s="0" t="n">
        <f aca="false">D24*F24</f>
        <v>0.462943981489</v>
      </c>
      <c r="J24" s="0" t="s">
        <v>34</v>
      </c>
      <c r="K24" s="0" t="n">
        <v>1.333</v>
      </c>
      <c r="L24" s="0" t="n">
        <v>1</v>
      </c>
      <c r="M24" s="0" t="n">
        <f aca="false">K24-1.777667</f>
        <v>-0.444667</v>
      </c>
      <c r="N24" s="0" t="n">
        <f aca="false">M24^2</f>
        <v>0.197728740889</v>
      </c>
      <c r="O24" s="0" t="n">
        <f aca="false">L24-2.333333</f>
        <v>-1.333333</v>
      </c>
      <c r="P24" s="0" t="n">
        <f aca="false">O24^2</f>
        <v>1.777776888889</v>
      </c>
      <c r="Q24" s="0" t="n">
        <f aca="false">M24*O24</f>
        <v>0.592889185111</v>
      </c>
    </row>
    <row r="25" customFormat="false" ht="12.75" hidden="false" customHeight="false" outlineLevel="0" collapsed="false">
      <c r="A25" s="0" t="s">
        <v>35</v>
      </c>
      <c r="B25" s="0" t="n">
        <v>3</v>
      </c>
      <c r="C25" s="0" t="n">
        <v>4</v>
      </c>
      <c r="D25" s="0" t="n">
        <f aca="false">B25-2.777767</f>
        <v>0.222233</v>
      </c>
      <c r="E25" s="0" t="n">
        <f aca="false">D25^2</f>
        <v>0.0493875062890001</v>
      </c>
      <c r="F25" s="0" t="n">
        <f aca="false">C25-3.166667</f>
        <v>0.833333</v>
      </c>
      <c r="G25" s="0" t="n">
        <f aca="false">F25^2</f>
        <v>0.694443888889</v>
      </c>
      <c r="H25" s="0" t="n">
        <f aca="false">D25*F25</f>
        <v>0.185194092589</v>
      </c>
      <c r="J25" s="0" t="s">
        <v>36</v>
      </c>
      <c r="K25" s="0" t="n">
        <v>2.6667</v>
      </c>
      <c r="L25" s="0" t="n">
        <v>4.5</v>
      </c>
      <c r="M25" s="0" t="n">
        <f aca="false">K25-1.777667</f>
        <v>0.889033</v>
      </c>
      <c r="N25" s="0" t="n">
        <f aca="false">M25^2</f>
        <v>0.790379675089</v>
      </c>
      <c r="O25" s="0" t="n">
        <f aca="false">L25-2.333333</f>
        <v>2.166667</v>
      </c>
      <c r="P25" s="0" t="n">
        <f aca="false">O25^2</f>
        <v>4.694445888889</v>
      </c>
      <c r="Q25" s="0" t="n">
        <f aca="false">M25*O25</f>
        <v>1.926238463011</v>
      </c>
    </row>
    <row r="26" customFormat="false" ht="12.75" hidden="false" customHeight="false" outlineLevel="0" collapsed="false">
      <c r="A26" s="0" t="s">
        <v>37</v>
      </c>
      <c r="B26" s="0" t="n">
        <f aca="false">SUM(B23:B25)</f>
        <v>8.3333</v>
      </c>
      <c r="C26" s="0" t="n">
        <f aca="false">SUM(C23:C25)</f>
        <v>9.5</v>
      </c>
      <c r="E26" s="0" t="n">
        <f aca="false">SUM(E23:E25)</f>
        <v>0.962925926667</v>
      </c>
      <c r="G26" s="0" t="n">
        <f aca="false">SUM(G23:G25)</f>
        <v>4.166666666667</v>
      </c>
      <c r="H26" s="0" t="n">
        <f aca="false">SUM(H23:H25)</f>
        <v>1.944416666667</v>
      </c>
      <c r="J26" s="0" t="s">
        <v>37</v>
      </c>
      <c r="K26" s="0" t="n">
        <f aca="false">SUM(K23:K25)</f>
        <v>5.333</v>
      </c>
      <c r="L26" s="0" t="n">
        <f aca="false">SUM(L23:L25)</f>
        <v>7</v>
      </c>
      <c r="N26" s="0" t="n">
        <f aca="false">SUM(N23:N25)</f>
        <v>1.185570446667</v>
      </c>
      <c r="P26" s="0" t="n">
        <f aca="false">SUM(P23:P25)</f>
        <v>7.166666666667</v>
      </c>
      <c r="Q26" s="0" t="n">
        <f aca="false">SUM(Q23:Q25)</f>
        <v>2.889433333333</v>
      </c>
    </row>
    <row r="27" customFormat="false" ht="12.75" hidden="false" customHeight="false" outlineLevel="0" collapsed="false">
      <c r="A27" s="0" t="s">
        <v>38</v>
      </c>
      <c r="B27" s="0" t="n">
        <f aca="false">B26/3</f>
        <v>2.77776666666667</v>
      </c>
      <c r="C27" s="0" t="n">
        <f aca="false">C26/3</f>
        <v>3.16666666666667</v>
      </c>
      <c r="J27" s="0" t="s">
        <v>38</v>
      </c>
      <c r="K27" s="0" t="n">
        <f aca="false">K26/3</f>
        <v>1.77766666666667</v>
      </c>
      <c r="L27" s="0" t="n">
        <f aca="false">L26/3</f>
        <v>2.33333333333333</v>
      </c>
      <c r="N27" s="0" t="n">
        <f aca="false">SQRT(N26)</f>
        <v>1.08883903616053</v>
      </c>
      <c r="P27" s="0" t="n">
        <f aca="false">SQRT(P26)</f>
        <v>2.67706306736823</v>
      </c>
    </row>
    <row r="29" customFormat="false" ht="12.75" hidden="false" customHeight="false" outlineLevel="0" collapsed="false">
      <c r="A29" s="0" t="s">
        <v>16</v>
      </c>
      <c r="B29" s="0" t="n">
        <f aca="false">(H26)/((SQRT(E26))*(SQRT(G26)))</f>
        <v>0.970730143582719</v>
      </c>
      <c r="J29" s="0" t="s">
        <v>16</v>
      </c>
      <c r="K29" s="0" t="n">
        <f aca="false">Q26/((SQRT(N26))*(SQRT(P26)))</f>
        <v>0.991266418301821</v>
      </c>
    </row>
    <row r="30" customFormat="false" ht="12.75" hidden="false" customHeight="false" outlineLevel="0" collapsed="false">
      <c r="A30" s="0" t="s">
        <v>39</v>
      </c>
      <c r="B30" s="0" t="n">
        <f aca="false">(2*(B29))/(1+B29)</f>
        <v>0.985147709587438</v>
      </c>
      <c r="J30" s="0" t="s">
        <v>39</v>
      </c>
      <c r="K30" s="0" t="n">
        <f aca="false">(2*(K29))/(1+K29)</f>
        <v>0.995614056653641</v>
      </c>
    </row>
    <row r="34" customFormat="false" ht="12.75" hidden="false" customHeight="false" outlineLevel="0" collapsed="false">
      <c r="A34" s="0" t="s">
        <v>40</v>
      </c>
    </row>
    <row r="36" customFormat="false" ht="12.75" hidden="false" customHeight="false" outlineLevel="0" collapsed="false">
      <c r="A36" s="0" t="s">
        <v>41</v>
      </c>
      <c r="B36" s="1" t="s">
        <v>42</v>
      </c>
      <c r="C36" s="2" t="s">
        <v>43</v>
      </c>
      <c r="D36" s="3" t="s">
        <v>44</v>
      </c>
      <c r="E36" s="4" t="s">
        <v>45</v>
      </c>
      <c r="F36" s="5" t="s">
        <v>46</v>
      </c>
    </row>
    <row r="37" customFormat="false" ht="12.75" hidden="false" customHeight="false" outlineLevel="0" collapsed="false">
      <c r="A37" s="1" t="s">
        <v>47</v>
      </c>
      <c r="C37" s="0" t="n">
        <v>0.577</v>
      </c>
      <c r="D37" s="0" t="n">
        <v>0.277</v>
      </c>
      <c r="E37" s="0" t="n">
        <v>0.961</v>
      </c>
      <c r="F37" s="0" t="n">
        <v>-0.721</v>
      </c>
    </row>
    <row r="38" customFormat="false" ht="12.75" hidden="false" customHeight="false" outlineLevel="0" collapsed="false">
      <c r="A38" s="2" t="s">
        <v>48</v>
      </c>
      <c r="B38" s="6" t="n">
        <v>0.577</v>
      </c>
      <c r="D38" s="0" t="n">
        <v>0.945</v>
      </c>
      <c r="E38" s="0" t="n">
        <v>0.327</v>
      </c>
      <c r="F38" s="0" t="n">
        <v>-0.982</v>
      </c>
    </row>
    <row r="39" customFormat="false" ht="12.75" hidden="false" customHeight="false" outlineLevel="0" collapsed="false">
      <c r="A39" s="3" t="s">
        <v>49</v>
      </c>
      <c r="B39" s="6" t="n">
        <v>0.277</v>
      </c>
      <c r="C39" s="6" t="n">
        <v>0.945</v>
      </c>
      <c r="E39" s="0" t="n">
        <v>0</v>
      </c>
      <c r="F39" s="0" t="n">
        <v>-0.866</v>
      </c>
    </row>
    <row r="40" customFormat="false" ht="12.75" hidden="false" customHeight="false" outlineLevel="0" collapsed="false">
      <c r="A40" s="4" t="s">
        <v>50</v>
      </c>
      <c r="B40" s="6" t="n">
        <v>0.961</v>
      </c>
      <c r="C40" s="6" t="n">
        <v>0.327</v>
      </c>
      <c r="D40" s="6" t="n">
        <v>0</v>
      </c>
      <c r="F40" s="7" t="n">
        <v>-0.5</v>
      </c>
    </row>
    <row r="41" customFormat="false" ht="12.75" hidden="false" customHeight="false" outlineLevel="0" collapsed="false">
      <c r="A41" s="5" t="s">
        <v>51</v>
      </c>
      <c r="B41" s="6" t="n">
        <v>-0.721</v>
      </c>
      <c r="C41" s="6" t="n">
        <v>-0.982</v>
      </c>
      <c r="D41" s="6" t="n">
        <v>-0.866</v>
      </c>
      <c r="E41" s="6" t="n">
        <v>-0.5</v>
      </c>
    </row>
    <row r="43" customFormat="false" ht="12.75" hidden="false" customHeight="false" outlineLevel="0" collapsed="false">
      <c r="A43" s="0" t="s">
        <v>52</v>
      </c>
      <c r="B43" s="1" t="n">
        <f aca="false">SUM(B38:B41)/4</f>
        <v>0.2735</v>
      </c>
      <c r="C43" s="2" t="n">
        <f aca="false">(C37+C39+C40+C41)/4</f>
        <v>0.21675</v>
      </c>
      <c r="D43" s="3" t="n">
        <f aca="false">(D37+D38+D40+D41)/4</f>
        <v>0.089</v>
      </c>
      <c r="E43" s="4" t="n">
        <f aca="false">(E37+E38+E39+E41)/4</f>
        <v>0.197</v>
      </c>
      <c r="F43" s="5" t="n">
        <f aca="false">SUM(F37:F40)/4</f>
        <v>-0.76725</v>
      </c>
    </row>
    <row r="44" customFormat="false" ht="12.75" hidden="false" customHeight="false" outlineLevel="0" collapsed="false">
      <c r="A44" s="0" t="s">
        <v>53</v>
      </c>
      <c r="B44" s="0" t="n">
        <f aca="false">(B38+B39+B40+B41+C39+C40+C41+D40+D41+E41)/10</f>
        <v>0.00179999999999997</v>
      </c>
      <c r="G44" s="0" t="s">
        <v>54</v>
      </c>
      <c r="H44" s="0" t="n">
        <f aca="false">(B38+B39+B40+(-1*B41)+C39+C40+D40+(-1*C41)+(-1*D41)+(-1*E41))/10</f>
        <v>0.6156</v>
      </c>
    </row>
    <row r="45" customFormat="false" ht="12.75" hidden="false" customHeight="false" outlineLevel="0" collapsed="false">
      <c r="A45" s="0" t="s">
        <v>55</v>
      </c>
      <c r="B45" s="0" t="n">
        <f aca="false">(5*B44)/(1+(4*B44))</f>
        <v>0.00893566322478142</v>
      </c>
      <c r="H45" s="0" t="n">
        <f aca="false">(5*H44)/(1+(4*H44))</f>
        <v>0.888978743068392</v>
      </c>
    </row>
    <row r="46" customFormat="false" ht="12.75" hidden="false" customHeight="false" outlineLevel="0" collapsed="false">
      <c r="A46" s="0" t="s">
        <v>56</v>
      </c>
      <c r="B46" s="1" t="n">
        <f aca="false">(C39+C40+C41+D40+D41+E41)/6</f>
        <v>-0.179333333333333</v>
      </c>
      <c r="C46" s="2" t="n">
        <f aca="false">(B39+B40+B41+D40+D41+E41)/6</f>
        <v>-0.1415</v>
      </c>
      <c r="D46" s="3" t="n">
        <f aca="false">(B38+B40+B41+C40+C41+E41)/6</f>
        <v>-0.0563333333333333</v>
      </c>
      <c r="E46" s="4" t="n">
        <f aca="false">(B38+B39+B41+C39+C41+D41)/6</f>
        <v>-0.128333333333333</v>
      </c>
      <c r="F46" s="5" t="n">
        <f aca="false">(B38+B39+B40+C39+C40+D40)/6</f>
        <v>0.5145</v>
      </c>
    </row>
    <row r="47" customFormat="false" ht="12.75" hidden="false" customHeight="false" outlineLevel="0" collapsed="false">
      <c r="A47" s="0" t="s">
        <v>57</v>
      </c>
      <c r="B47" s="1" t="n">
        <f aca="false">(4*B46)/(1+(3*B46))</f>
        <v>-1.55266955266955</v>
      </c>
      <c r="C47" s="2" t="n">
        <f aca="false">(4*C46)/(1+(3*C46))</f>
        <v>-0.983492615117289</v>
      </c>
      <c r="D47" s="3" t="n">
        <f aca="false">(4*D46)/(1+(3*D46))</f>
        <v>-0.271159245888488</v>
      </c>
      <c r="E47" s="4" t="n">
        <f aca="false">(4*E46)/(1+(3*E46))</f>
        <v>-0.834688346883469</v>
      </c>
      <c r="F47" s="5" t="n">
        <f aca="false">(4*F46)/(1+(3*F46))</f>
        <v>0.809121289561628</v>
      </c>
    </row>
    <row r="51" customFormat="false" ht="12.75" hidden="false" customHeight="false" outlineLevel="0" collapsed="false">
      <c r="A51" s="0" t="s">
        <v>58</v>
      </c>
      <c r="B51" s="1" t="s">
        <v>42</v>
      </c>
      <c r="C51" s="2" t="s">
        <v>43</v>
      </c>
      <c r="D51" s="3" t="s">
        <v>44</v>
      </c>
      <c r="E51" s="4" t="s">
        <v>45</v>
      </c>
      <c r="F51" s="5" t="s">
        <v>46</v>
      </c>
    </row>
    <row r="52" customFormat="false" ht="12.75" hidden="false" customHeight="false" outlineLevel="0" collapsed="false">
      <c r="A52" s="1" t="s">
        <v>47</v>
      </c>
      <c r="C52" s="0" t="n">
        <v>0.933</v>
      </c>
      <c r="D52" s="0" t="n">
        <v>0.866</v>
      </c>
      <c r="E52" s="0" t="n">
        <v>0.866</v>
      </c>
      <c r="F52" s="0" t="n">
        <v>-0.866</v>
      </c>
    </row>
    <row r="53" customFormat="false" ht="12.75" hidden="false" customHeight="false" outlineLevel="0" collapsed="false">
      <c r="A53" s="2" t="s">
        <v>48</v>
      </c>
      <c r="B53" s="6" t="n">
        <v>0.933</v>
      </c>
      <c r="D53" s="0" t="n">
        <v>0.988</v>
      </c>
      <c r="E53" s="0" t="n">
        <v>0.988</v>
      </c>
      <c r="F53" s="0" t="n">
        <v>-0.629</v>
      </c>
    </row>
    <row r="54" customFormat="false" ht="12.75" hidden="false" customHeight="false" outlineLevel="0" collapsed="false">
      <c r="A54" s="3" t="s">
        <v>49</v>
      </c>
      <c r="B54" s="6" t="n">
        <v>0.866</v>
      </c>
      <c r="C54" s="6" t="n">
        <v>0.988</v>
      </c>
      <c r="E54" s="0" t="n">
        <v>1</v>
      </c>
      <c r="F54" s="0" t="n">
        <v>-0.5</v>
      </c>
    </row>
    <row r="55" customFormat="false" ht="12.75" hidden="false" customHeight="false" outlineLevel="0" collapsed="false">
      <c r="A55" s="4" t="s">
        <v>50</v>
      </c>
      <c r="B55" s="6" t="n">
        <v>0.866</v>
      </c>
      <c r="C55" s="6" t="n">
        <v>0.988</v>
      </c>
      <c r="D55" s="6" t="n">
        <v>1</v>
      </c>
      <c r="F55" s="7" t="n">
        <v>-0.5</v>
      </c>
    </row>
    <row r="56" customFormat="false" ht="12.75" hidden="false" customHeight="false" outlineLevel="0" collapsed="false">
      <c r="A56" s="5" t="s">
        <v>51</v>
      </c>
      <c r="B56" s="6" t="n">
        <v>-0.866</v>
      </c>
      <c r="C56" s="6" t="n">
        <v>-0.629</v>
      </c>
      <c r="D56" s="6" t="n">
        <v>-0.5</v>
      </c>
      <c r="E56" s="6" t="n">
        <v>-0.5</v>
      </c>
    </row>
    <row r="58" customFormat="false" ht="12.75" hidden="false" customHeight="false" outlineLevel="0" collapsed="false">
      <c r="A58" s="0" t="s">
        <v>52</v>
      </c>
      <c r="B58" s="1" t="n">
        <f aca="false">SUM(B53:B56)/4</f>
        <v>0.44975</v>
      </c>
      <c r="C58" s="2" t="n">
        <f aca="false">(C52+C54+C55+C56)/4</f>
        <v>0.57</v>
      </c>
      <c r="D58" s="3" t="n">
        <f aca="false">(D52+D53+D55+D56)/4</f>
        <v>0.5885</v>
      </c>
      <c r="E58" s="4" t="n">
        <f aca="false">(E52+E53+E54+E56)/4</f>
        <v>0.5885</v>
      </c>
      <c r="F58" s="5" t="n">
        <f aca="false">SUM(F52:F55)/4</f>
        <v>-0.62375</v>
      </c>
    </row>
    <row r="59" customFormat="false" ht="12.75" hidden="false" customHeight="false" outlineLevel="0" collapsed="false">
      <c r="A59" s="0" t="s">
        <v>53</v>
      </c>
      <c r="B59" s="0" t="n">
        <f aca="false">(B53+B54+B55+B56+C54+C55+C56+D55+D56+E56)/10</f>
        <v>0.3146</v>
      </c>
      <c r="G59" s="0" t="s">
        <v>54</v>
      </c>
      <c r="H59" s="0" t="n">
        <f aca="false">(B53+B54+B55+(-1*B56)+C54+C55+D55+(-1*C56)+(-1*D56)+(-1*E56))/10</f>
        <v>0.8136</v>
      </c>
    </row>
    <row r="60" customFormat="false" ht="12.75" hidden="false" customHeight="false" outlineLevel="0" collapsed="false">
      <c r="A60" s="0" t="s">
        <v>55</v>
      </c>
      <c r="B60" s="0" t="n">
        <f aca="false">(5*B59)/(1+(4*B59))</f>
        <v>0.696510804109104</v>
      </c>
      <c r="H60" s="0" t="n">
        <f aca="false">(5*H59)/(1+(4*H59))</f>
        <v>0.956186536291839</v>
      </c>
    </row>
    <row r="61" customFormat="false" ht="12.75" hidden="false" customHeight="false" outlineLevel="0" collapsed="false">
      <c r="A61" s="0" t="s">
        <v>56</v>
      </c>
      <c r="B61" s="1" t="n">
        <f aca="false">(C54+C55+C56+D55+D56+E56)/6</f>
        <v>0.2245</v>
      </c>
      <c r="C61" s="2" t="n">
        <f aca="false">(B54+B55+B56+D55+D56+E56)/6</f>
        <v>0.144333333333333</v>
      </c>
      <c r="D61" s="3" t="n">
        <f aca="false">(B53+B55+B56+C55+C56+E56)/6</f>
        <v>0.132</v>
      </c>
      <c r="E61" s="4" t="n">
        <f aca="false">(B53+B54+B56+C54+C56+D56)/6</f>
        <v>0.132</v>
      </c>
      <c r="F61" s="5" t="n">
        <f aca="false">(B53+B54+B55+C54+C55+D55)/6</f>
        <v>0.940166666666667</v>
      </c>
    </row>
    <row r="62" customFormat="false" ht="12.75" hidden="false" customHeight="false" outlineLevel="0" collapsed="false">
      <c r="A62" s="0" t="s">
        <v>57</v>
      </c>
      <c r="B62" s="1" t="n">
        <f aca="false">(4*B61)/(1+(3*B61))</f>
        <v>0.536599940244996</v>
      </c>
      <c r="C62" s="2" t="n">
        <f aca="false">(4*C61)/(1+(3*C61))</f>
        <v>0.402884391719004</v>
      </c>
      <c r="D62" s="3" t="n">
        <f aca="false">(4*D61)/(1+(3*D61))</f>
        <v>0.378223495702006</v>
      </c>
      <c r="E62" s="4" t="n">
        <f aca="false">(4*E61)/(1+(3*E61))</f>
        <v>0.378223495702006</v>
      </c>
      <c r="F62" s="5" t="n">
        <f aca="false">(4*F61)/(1+(3*F61))</f>
        <v>0.984338873620381</v>
      </c>
    </row>
    <row r="65" customFormat="false" ht="12.75" hidden="false" customHeight="false" outlineLevel="0" collapsed="false">
      <c r="A65" s="0" t="s">
        <v>59</v>
      </c>
    </row>
    <row r="67" customFormat="false" ht="12.75" hidden="false" customHeight="false" outlineLevel="0" collapsed="false">
      <c r="A67" s="0" t="s">
        <v>60</v>
      </c>
    </row>
    <row r="68" customFormat="false" ht="12.75" hidden="false" customHeight="false" outlineLevel="0" collapsed="false">
      <c r="B68" s="0" t="n">
        <v>1</v>
      </c>
      <c r="C68" s="0" t="n">
        <v>2</v>
      </c>
      <c r="D68" s="0" t="n">
        <v>3</v>
      </c>
      <c r="E68" s="0" t="n">
        <v>4</v>
      </c>
    </row>
    <row r="69" customFormat="false" ht="12.75" hidden="false" customHeight="false" outlineLevel="0" collapsed="false">
      <c r="A69" s="0" t="s">
        <v>61</v>
      </c>
      <c r="B69" s="0" t="n">
        <v>13</v>
      </c>
      <c r="C69" s="0" t="n">
        <v>10</v>
      </c>
      <c r="D69" s="0" t="n">
        <v>15</v>
      </c>
      <c r="E69" s="0" t="n">
        <v>13</v>
      </c>
    </row>
    <row r="70" customFormat="false" ht="12.75" hidden="false" customHeight="false" outlineLevel="0" collapsed="false">
      <c r="A70" s="0" t="s">
        <v>62</v>
      </c>
      <c r="B70" s="0" t="n">
        <v>15</v>
      </c>
      <c r="C70" s="0" t="n">
        <v>10</v>
      </c>
      <c r="D70" s="0" t="n">
        <v>10</v>
      </c>
      <c r="E70" s="0" t="n">
        <v>16</v>
      </c>
    </row>
    <row r="71" customFormat="false" ht="12.75" hidden="false" customHeight="false" outlineLevel="0" collapsed="false">
      <c r="A71" s="0" t="s">
        <v>63</v>
      </c>
    </row>
    <row r="74" customFormat="false" ht="12.75" hidden="false" customHeight="false" outlineLevel="0" collapsed="false">
      <c r="B74" s="4" t="s">
        <v>64</v>
      </c>
      <c r="C74" s="8" t="s">
        <v>65</v>
      </c>
    </row>
    <row r="75" customFormat="false" ht="12.75" hidden="false" customHeight="false" outlineLevel="0" collapsed="false">
      <c r="A75" s="0" t="s">
        <v>66</v>
      </c>
      <c r="B75" s="0" t="n">
        <f aca="false">(B69*B70)/51</f>
        <v>3.82352941176471</v>
      </c>
      <c r="C75" s="0" t="n">
        <v>8</v>
      </c>
    </row>
    <row r="76" customFormat="false" ht="12.75" hidden="false" customHeight="false" outlineLevel="0" collapsed="false">
      <c r="A76" s="0" t="s">
        <v>67</v>
      </c>
      <c r="B76" s="0" t="n">
        <f aca="false">(C69*C70)/51</f>
        <v>1.96078431372549</v>
      </c>
      <c r="C76" s="0" t="n">
        <v>6</v>
      </c>
    </row>
    <row r="77" customFormat="false" ht="12.75" hidden="false" customHeight="false" outlineLevel="0" collapsed="false">
      <c r="A77" s="0" t="s">
        <v>68</v>
      </c>
      <c r="B77" s="0" t="n">
        <f aca="false">(D69*D70)/51</f>
        <v>2.94117647058824</v>
      </c>
      <c r="C77" s="0" t="n">
        <v>8</v>
      </c>
    </row>
    <row r="78" customFormat="false" ht="12.75" hidden="false" customHeight="false" outlineLevel="0" collapsed="false">
      <c r="A78" s="0" t="s">
        <v>69</v>
      </c>
      <c r="B78" s="0" t="n">
        <f aca="false">(E69*E70)/51</f>
        <v>4.07843137254902</v>
      </c>
      <c r="C78" s="0" t="n">
        <v>9</v>
      </c>
    </row>
    <row r="79" customFormat="false" ht="12.75" hidden="false" customHeight="false" outlineLevel="0" collapsed="false">
      <c r="A79" s="0" t="s">
        <v>14</v>
      </c>
      <c r="B79" s="4" t="n">
        <f aca="false">SUM(B75:B78)</f>
        <v>12.8039215686275</v>
      </c>
      <c r="C79" s="8" t="n">
        <f aca="false">SUM(C75:C78)</f>
        <v>31</v>
      </c>
    </row>
    <row r="81" customFormat="false" ht="12.75" hidden="false" customHeight="false" outlineLevel="0" collapsed="false">
      <c r="A81" s="0" t="s">
        <v>70</v>
      </c>
      <c r="B81" s="0" t="n">
        <f aca="false">(C79-B79)/(51-B79)</f>
        <v>0.476386036960986</v>
      </c>
    </row>
    <row r="84" customFormat="false" ht="12.75" hidden="false" customHeight="false" outlineLevel="0" collapsed="false">
      <c r="A84" s="0" t="s">
        <v>71</v>
      </c>
    </row>
    <row r="85" customFormat="false" ht="12.75" hidden="false" customHeight="false" outlineLevel="0" collapsed="false">
      <c r="A85" s="0" t="s">
        <v>72</v>
      </c>
    </row>
    <row r="86" customFormat="false" ht="12.75" hidden="false" customHeight="false" outlineLevel="0" collapsed="false">
      <c r="A86" s="6" t="s">
        <v>73</v>
      </c>
      <c r="B86" s="6" t="s">
        <v>74</v>
      </c>
      <c r="C86" s="6" t="s">
        <v>75</v>
      </c>
      <c r="D86" s="6" t="s">
        <v>76</v>
      </c>
      <c r="E86" s="6" t="s">
        <v>77</v>
      </c>
      <c r="F86" s="6" t="s">
        <v>78</v>
      </c>
      <c r="G86" s="6"/>
    </row>
    <row r="87" customFormat="false" ht="12.75" hidden="false" customHeight="false" outlineLevel="0" collapsed="false">
      <c r="A87" s="0" t="s">
        <v>79</v>
      </c>
      <c r="B87" s="0" t="n">
        <v>1</v>
      </c>
      <c r="C87" s="0" t="n">
        <v>0</v>
      </c>
      <c r="D87" s="0" t="n">
        <v>1</v>
      </c>
      <c r="E87" s="0" t="n">
        <v>0</v>
      </c>
      <c r="F87" s="0" t="n">
        <v>0</v>
      </c>
    </row>
    <row r="88" customFormat="false" ht="12.75" hidden="false" customHeight="false" outlineLevel="0" collapsed="false">
      <c r="A88" s="0" t="s">
        <v>80</v>
      </c>
      <c r="B88" s="0" t="n">
        <v>0</v>
      </c>
      <c r="C88" s="0" t="n">
        <v>1</v>
      </c>
      <c r="D88" s="0" t="n">
        <v>0</v>
      </c>
      <c r="E88" s="0" t="n">
        <v>1</v>
      </c>
      <c r="F88" s="0" t="n">
        <v>0</v>
      </c>
    </row>
    <row r="89" customFormat="false" ht="12.75" hidden="false" customHeight="false" outlineLevel="0" collapsed="false">
      <c r="A89" s="0" t="s">
        <v>81</v>
      </c>
      <c r="B89" s="0" t="n">
        <v>1</v>
      </c>
      <c r="C89" s="0" t="n">
        <v>1</v>
      </c>
      <c r="D89" s="0" t="n">
        <v>1</v>
      </c>
      <c r="E89" s="0" t="n">
        <v>0</v>
      </c>
      <c r="F89" s="0" t="n">
        <v>1</v>
      </c>
    </row>
    <row r="90" customFormat="false" ht="12.75" hidden="false" customHeight="false" outlineLevel="0" collapsed="false">
      <c r="A90" s="0" t="s">
        <v>82</v>
      </c>
      <c r="B90" s="0" t="n">
        <v>1</v>
      </c>
      <c r="C90" s="0" t="n">
        <v>0</v>
      </c>
      <c r="D90" s="0" t="n">
        <v>0</v>
      </c>
      <c r="E90" s="0" t="n">
        <v>1</v>
      </c>
      <c r="F90" s="0" t="n">
        <v>0</v>
      </c>
    </row>
    <row r="91" customFormat="false" ht="12.75" hidden="false" customHeight="false" outlineLevel="0" collapsed="false">
      <c r="A91" s="0" t="s">
        <v>83</v>
      </c>
      <c r="B91" s="0" t="n">
        <v>1</v>
      </c>
      <c r="C91" s="0" t="n">
        <v>1</v>
      </c>
      <c r="D91" s="0" t="n">
        <v>1</v>
      </c>
      <c r="E91" s="0" t="n">
        <v>0</v>
      </c>
      <c r="F91" s="0" t="n">
        <v>1</v>
      </c>
      <c r="H91" s="0" t="s">
        <v>84</v>
      </c>
    </row>
    <row r="92" customFormat="false" ht="12.75" hidden="false" customHeight="false" outlineLevel="0" collapsed="false">
      <c r="A92" s="9" t="s">
        <v>85</v>
      </c>
      <c r="B92" s="10" t="n">
        <f aca="false">SUM(B87:B91)</f>
        <v>4</v>
      </c>
      <c r="C92" s="10" t="n">
        <f aca="false">SUM(C87:C91)</f>
        <v>3</v>
      </c>
      <c r="D92" s="10" t="n">
        <f aca="false">SUM(D87:D91)</f>
        <v>3</v>
      </c>
      <c r="E92" s="10" t="n">
        <f aca="false">SUM(E87:E91)</f>
        <v>2</v>
      </c>
      <c r="F92" s="10" t="n">
        <f aca="false">SUM(F87:F91)</f>
        <v>2</v>
      </c>
      <c r="H92" s="10" t="n">
        <f aca="false">SUM(B92:F92)/5</f>
        <v>2.8</v>
      </c>
    </row>
    <row r="94" customFormat="false" ht="14.25" hidden="false" customHeight="false" outlineLevel="0" collapsed="false">
      <c r="B94" s="9" t="s">
        <v>86</v>
      </c>
      <c r="C94" s="0" t="s">
        <v>87</v>
      </c>
    </row>
    <row r="95" customFormat="false" ht="12.75" hidden="false" customHeight="false" outlineLevel="0" collapsed="false">
      <c r="B95" s="10" t="n">
        <f aca="false">B92</f>
        <v>4</v>
      </c>
      <c r="C95" s="0" t="n">
        <f aca="false">B95^2</f>
        <v>16</v>
      </c>
    </row>
    <row r="96" customFormat="false" ht="12.75" hidden="false" customHeight="false" outlineLevel="0" collapsed="false">
      <c r="B96" s="10" t="n">
        <f aca="false">C92</f>
        <v>3</v>
      </c>
      <c r="C96" s="0" t="n">
        <f aca="false">B96^2</f>
        <v>9</v>
      </c>
    </row>
    <row r="97" customFormat="false" ht="12.75" hidden="false" customHeight="false" outlineLevel="0" collapsed="false">
      <c r="B97" s="10" t="n">
        <f aca="false">D92</f>
        <v>3</v>
      </c>
      <c r="C97" s="0" t="n">
        <f aca="false">B97^2</f>
        <v>9</v>
      </c>
    </row>
    <row r="98" customFormat="false" ht="12.75" hidden="false" customHeight="false" outlineLevel="0" collapsed="false">
      <c r="B98" s="10" t="n">
        <f aca="false">E92</f>
        <v>2</v>
      </c>
      <c r="C98" s="0" t="n">
        <f aca="false">B98^2</f>
        <v>4</v>
      </c>
    </row>
    <row r="99" customFormat="false" ht="12.75" hidden="false" customHeight="false" outlineLevel="0" collapsed="false">
      <c r="B99" s="10" t="n">
        <f aca="false">F92</f>
        <v>2</v>
      </c>
      <c r="C99" s="0" t="n">
        <f aca="false">B99^2</f>
        <v>4</v>
      </c>
    </row>
    <row r="100" customFormat="false" ht="12.75" hidden="false" customHeight="false" outlineLevel="0" collapsed="false">
      <c r="A100" s="11" t="s">
        <v>14</v>
      </c>
      <c r="B100" s="12" t="n">
        <f aca="false">SUM(B95:B99)</f>
        <v>14</v>
      </c>
      <c r="C100" s="12" t="n">
        <f aca="false">SUM(C95:C99)</f>
        <v>42</v>
      </c>
    </row>
    <row r="101" customFormat="false" ht="12.75" hidden="false" customHeight="false" outlineLevel="0" collapsed="false">
      <c r="A101" s="11" t="s">
        <v>88</v>
      </c>
      <c r="B101" s="12" t="n">
        <f aca="false">B100^2</f>
        <v>196</v>
      </c>
    </row>
    <row r="102" customFormat="false" ht="12.75" hidden="false" customHeight="false" outlineLevel="0" collapsed="false">
      <c r="A102" s="11" t="s">
        <v>89</v>
      </c>
      <c r="B102" s="13" t="n">
        <f aca="false">B100/5</f>
        <v>2.8</v>
      </c>
    </row>
    <row r="103" customFormat="false" ht="12.75" hidden="false" customHeight="false" outlineLevel="0" collapsed="false">
      <c r="A103" s="11" t="s">
        <v>90</v>
      </c>
      <c r="B103" s="12" t="n">
        <f aca="false">(C100-(B101/5))/4</f>
        <v>0.699999999999999</v>
      </c>
    </row>
    <row r="104" customFormat="false" ht="12.75" hidden="false" customHeight="false" outlineLevel="0" collapsed="false">
      <c r="A104" s="11" t="s">
        <v>91</v>
      </c>
      <c r="B104" s="12" t="n">
        <f aca="false">1-((B102*(5-B102))/(5*B103))</f>
        <v>-0.760000000000002</v>
      </c>
      <c r="D104" s="12" t="s">
        <v>92</v>
      </c>
      <c r="E104" s="12"/>
      <c r="F104" s="12" t="n">
        <f aca="false">(5/(5-1))*(1-((B102*(5-B102))/(5*B103)))</f>
        <v>-0.950000000000002</v>
      </c>
    </row>
    <row r="106" customFormat="false" ht="12.75" hidden="false" customHeight="false" outlineLevel="0" collapsed="false">
      <c r="A106" s="0" t="s">
        <v>93</v>
      </c>
    </row>
    <row r="107" customFormat="false" ht="12.75" hidden="false" customHeight="false" outlineLevel="0" collapsed="false">
      <c r="A107" s="6" t="s">
        <v>73</v>
      </c>
      <c r="B107" s="6" t="s">
        <v>74</v>
      </c>
      <c r="C107" s="6" t="s">
        <v>75</v>
      </c>
      <c r="D107" s="6" t="s">
        <v>76</v>
      </c>
      <c r="E107" s="6" t="s">
        <v>77</v>
      </c>
      <c r="F107" s="6" t="s">
        <v>78</v>
      </c>
      <c r="G107" s="6"/>
      <c r="H107" s="6" t="s">
        <v>94</v>
      </c>
      <c r="I107" s="6" t="s">
        <v>95</v>
      </c>
      <c r="J107" s="14" t="s">
        <v>96</v>
      </c>
    </row>
    <row r="108" customFormat="false" ht="12.75" hidden="false" customHeight="false" outlineLevel="0" collapsed="false">
      <c r="A108" s="0" t="s">
        <v>79</v>
      </c>
      <c r="B108" s="0" t="n">
        <v>1</v>
      </c>
      <c r="C108" s="0" t="n">
        <v>0</v>
      </c>
      <c r="D108" s="0" t="n">
        <v>1</v>
      </c>
      <c r="E108" s="0" t="n">
        <v>0</v>
      </c>
      <c r="F108" s="0" t="n">
        <v>0</v>
      </c>
      <c r="H108" s="0" t="n">
        <f aca="false">(SUM(B108:F108))/5</f>
        <v>0.4</v>
      </c>
      <c r="I108" s="0" t="n">
        <f aca="false">1-H108</f>
        <v>0.6</v>
      </c>
      <c r="J108" s="0" t="n">
        <f aca="false">H108*I108</f>
        <v>0.24</v>
      </c>
    </row>
    <row r="109" customFormat="false" ht="12.75" hidden="false" customHeight="false" outlineLevel="0" collapsed="false">
      <c r="A109" s="0" t="s">
        <v>80</v>
      </c>
      <c r="B109" s="0" t="n">
        <v>0</v>
      </c>
      <c r="C109" s="0" t="n">
        <v>1</v>
      </c>
      <c r="D109" s="0" t="n">
        <v>0</v>
      </c>
      <c r="E109" s="0" t="n">
        <v>1</v>
      </c>
      <c r="F109" s="0" t="n">
        <v>0</v>
      </c>
      <c r="H109" s="0" t="n">
        <f aca="false">(SUM(B109:F109))/5</f>
        <v>0.4</v>
      </c>
      <c r="I109" s="0" t="n">
        <f aca="false">1-H109</f>
        <v>0.6</v>
      </c>
      <c r="J109" s="0" t="n">
        <f aca="false">H109*I109</f>
        <v>0.24</v>
      </c>
    </row>
    <row r="110" customFormat="false" ht="12.75" hidden="false" customHeight="false" outlineLevel="0" collapsed="false">
      <c r="A110" s="0" t="s">
        <v>81</v>
      </c>
      <c r="B110" s="0" t="n">
        <v>1</v>
      </c>
      <c r="C110" s="0" t="n">
        <v>1</v>
      </c>
      <c r="D110" s="0" t="n">
        <v>1</v>
      </c>
      <c r="E110" s="0" t="n">
        <v>0</v>
      </c>
      <c r="F110" s="0" t="n">
        <v>1</v>
      </c>
      <c r="H110" s="0" t="n">
        <f aca="false">(SUM(B110:F110))/5</f>
        <v>0.8</v>
      </c>
      <c r="I110" s="0" t="n">
        <f aca="false">1-H110</f>
        <v>0.2</v>
      </c>
      <c r="J110" s="0" t="n">
        <f aca="false">H110*I110</f>
        <v>0.16</v>
      </c>
    </row>
    <row r="111" customFormat="false" ht="12.75" hidden="false" customHeight="false" outlineLevel="0" collapsed="false">
      <c r="A111" s="0" t="s">
        <v>82</v>
      </c>
      <c r="B111" s="0" t="n">
        <v>1</v>
      </c>
      <c r="C111" s="0" t="n">
        <v>0</v>
      </c>
      <c r="D111" s="0" t="n">
        <v>0</v>
      </c>
      <c r="E111" s="0" t="n">
        <v>1</v>
      </c>
      <c r="F111" s="0" t="n">
        <v>0</v>
      </c>
      <c r="H111" s="0" t="n">
        <f aca="false">(SUM(B111:F111))/5</f>
        <v>0.4</v>
      </c>
      <c r="I111" s="0" t="n">
        <f aca="false">1-H111</f>
        <v>0.6</v>
      </c>
      <c r="J111" s="0" t="n">
        <f aca="false">H111*I111</f>
        <v>0.24</v>
      </c>
    </row>
    <row r="112" customFormat="false" ht="12.75" hidden="false" customHeight="false" outlineLevel="0" collapsed="false">
      <c r="A112" s="0" t="s">
        <v>83</v>
      </c>
      <c r="B112" s="0" t="n">
        <v>1</v>
      </c>
      <c r="C112" s="0" t="n">
        <v>1</v>
      </c>
      <c r="D112" s="0" t="n">
        <v>1</v>
      </c>
      <c r="E112" s="0" t="n">
        <v>0</v>
      </c>
      <c r="F112" s="0" t="n">
        <v>1</v>
      </c>
      <c r="H112" s="0" t="n">
        <f aca="false">(SUM(B112:F112))/5</f>
        <v>0.8</v>
      </c>
      <c r="I112" s="0" t="n">
        <f aca="false">1-H112</f>
        <v>0.2</v>
      </c>
      <c r="J112" s="0" t="n">
        <f aca="false">H112*I112</f>
        <v>0.16</v>
      </c>
    </row>
    <row r="113" customFormat="false" ht="12.75" hidden="false" customHeight="false" outlineLevel="0" collapsed="false">
      <c r="A113" s="9" t="s">
        <v>85</v>
      </c>
      <c r="B113" s="10" t="n">
        <f aca="false">SUM(B108:B112)</f>
        <v>4</v>
      </c>
      <c r="C113" s="10" t="n">
        <f aca="false">SUM(C108:C112)</f>
        <v>3</v>
      </c>
      <c r="D113" s="10" t="n">
        <f aca="false">SUM(D108:D112)</f>
        <v>3</v>
      </c>
      <c r="E113" s="10" t="n">
        <f aca="false">SUM(E108:E112)</f>
        <v>2</v>
      </c>
      <c r="F113" s="10" t="n">
        <f aca="false">SUM(F108:F112)</f>
        <v>2</v>
      </c>
      <c r="H113" s="7"/>
      <c r="J113" s="15" t="n">
        <f aca="false">SUM(J108:J112)</f>
        <v>1.04</v>
      </c>
      <c r="K113" s="15" t="s">
        <v>97</v>
      </c>
    </row>
    <row r="115" customFormat="false" ht="14.25" hidden="false" customHeight="false" outlineLevel="0" collapsed="false">
      <c r="B115" s="9" t="s">
        <v>86</v>
      </c>
      <c r="C115" s="0" t="s">
        <v>87</v>
      </c>
    </row>
    <row r="116" customFormat="false" ht="12.75" hidden="false" customHeight="false" outlineLevel="0" collapsed="false">
      <c r="B116" s="10" t="n">
        <f aca="false">B113</f>
        <v>4</v>
      </c>
      <c r="C116" s="0" t="n">
        <f aca="false">B116^2</f>
        <v>16</v>
      </c>
    </row>
    <row r="117" customFormat="false" ht="12.75" hidden="false" customHeight="false" outlineLevel="0" collapsed="false">
      <c r="B117" s="10" t="n">
        <f aca="false">C113</f>
        <v>3</v>
      </c>
      <c r="C117" s="0" t="n">
        <f aca="false">B117^2</f>
        <v>9</v>
      </c>
    </row>
    <row r="118" customFormat="false" ht="12.75" hidden="false" customHeight="false" outlineLevel="0" collapsed="false">
      <c r="B118" s="10" t="n">
        <f aca="false">D113</f>
        <v>3</v>
      </c>
      <c r="C118" s="0" t="n">
        <f aca="false">B118^2</f>
        <v>9</v>
      </c>
    </row>
    <row r="119" customFormat="false" ht="12.75" hidden="false" customHeight="false" outlineLevel="0" collapsed="false">
      <c r="B119" s="10" t="n">
        <f aca="false">E113</f>
        <v>2</v>
      </c>
      <c r="C119" s="0" t="n">
        <f aca="false">B119^2</f>
        <v>4</v>
      </c>
    </row>
    <row r="120" customFormat="false" ht="12.75" hidden="false" customHeight="false" outlineLevel="0" collapsed="false">
      <c r="B120" s="10" t="n">
        <f aca="false">F113</f>
        <v>2</v>
      </c>
      <c r="C120" s="0" t="n">
        <f aca="false">B120^2</f>
        <v>4</v>
      </c>
    </row>
    <row r="121" customFormat="false" ht="12.75" hidden="false" customHeight="false" outlineLevel="0" collapsed="false">
      <c r="A121" s="11" t="s">
        <v>14</v>
      </c>
      <c r="B121" s="12" t="n">
        <f aca="false">SUM(B116:B120)</f>
        <v>14</v>
      </c>
      <c r="C121" s="12" t="n">
        <f aca="false">SUM(C116:C120)</f>
        <v>42</v>
      </c>
    </row>
    <row r="122" customFormat="false" ht="12.75" hidden="false" customHeight="false" outlineLevel="0" collapsed="false">
      <c r="A122" s="11" t="s">
        <v>88</v>
      </c>
      <c r="B122" s="12" t="n">
        <f aca="false">B121^2</f>
        <v>196</v>
      </c>
    </row>
    <row r="123" customFormat="false" ht="12.75" hidden="false" customHeight="false" outlineLevel="0" collapsed="false">
      <c r="A123" s="11" t="s">
        <v>89</v>
      </c>
      <c r="B123" s="13" t="n">
        <f aca="false">B121/5</f>
        <v>2.8</v>
      </c>
    </row>
    <row r="124" customFormat="false" ht="12.75" hidden="false" customHeight="false" outlineLevel="0" collapsed="false">
      <c r="A124" s="11" t="s">
        <v>98</v>
      </c>
      <c r="B124" s="12" t="n">
        <f aca="false">(C121-(B122/5))/5</f>
        <v>0.559999999999999</v>
      </c>
    </row>
    <row r="125" customFormat="false" ht="12.75" hidden="false" customHeight="false" outlineLevel="0" collapsed="false">
      <c r="A125" s="11" t="s">
        <v>99</v>
      </c>
      <c r="B125" s="0" t="n">
        <f aca="false">(5/(5-1))*(1-((J113)/B124))</f>
        <v>-1.07142857142857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2002-03-21T21:41:50Z</dcterms:created>
  <dc:creator>jeff aspelmeier</dc:creator>
  <dc:description/>
  <dc:language>en-US</dc:language>
  <cp:lastModifiedBy>jeff aspelmeier</cp:lastModifiedBy>
  <cp:lastPrinted>2002-03-26T22:13:37Z</cp:lastPrinted>
  <dcterms:modified xsi:type="dcterms:W3CDTF">2002-03-26T22:28:24Z</dcterms:modified>
  <cp:revision>0</cp:revision>
  <dc:subject/>
  <dc:title/>
</cp:coreProperties>
</file>