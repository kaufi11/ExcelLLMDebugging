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DA513876-6029-4776-8209-A932C13E51DD}" xr6:coauthVersionLast="47" xr6:coauthVersionMax="47" xr10:uidLastSave="{00000000-0000-0000-0000-000000000000}"/>
  <bookViews>
    <workbookView xWindow="-120" yWindow="-120" windowWidth="29040" windowHeight="15720" activeTab="2" xr2:uid="{912CBAF5-7879-4FDE-941B-960CCB977431}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/>
  <c r="F35" i="4" s="1"/>
  <c r="F36" i="4" s="1"/>
  <c r="F38" i="4" s="1"/>
  <c r="F26" i="4"/>
  <c r="F25" i="4"/>
  <c r="F10" i="4"/>
  <c r="F12" i="4"/>
  <c r="F16" i="4"/>
  <c r="F17" i="4" s="1"/>
  <c r="F19" i="4" s="1"/>
  <c r="D26" i="4"/>
  <c r="D25" i="4"/>
  <c r="D27" i="4"/>
  <c r="D29" i="4" s="1"/>
  <c r="D31" i="4" s="1"/>
  <c r="D35" i="4" s="1"/>
  <c r="D36" i="4" s="1"/>
  <c r="D38" i="4" s="1"/>
  <c r="D10" i="4"/>
  <c r="D12" i="4" s="1"/>
  <c r="D16" i="4" s="1"/>
  <c r="D17" i="4" s="1"/>
  <c r="D19" i="4" s="1"/>
  <c r="B27" i="4"/>
  <c r="B29" i="4" s="1"/>
  <c r="B31" i="4" s="1"/>
  <c r="B35" i="4" s="1"/>
  <c r="B36" i="4" s="1"/>
  <c r="B38" i="4" s="1"/>
  <c r="B10" i="4"/>
  <c r="B12" i="4"/>
  <c r="B16" i="4" s="1"/>
  <c r="B17" i="4" s="1"/>
  <c r="B19" i="4" s="1"/>
  <c r="G45" i="2"/>
  <c r="G46" i="2"/>
  <c r="G47" i="2"/>
  <c r="G51" i="2"/>
  <c r="F45" i="2"/>
  <c r="F46" i="2"/>
  <c r="F47" i="2"/>
  <c r="F51" i="2"/>
  <c r="E45" i="2"/>
  <c r="E46" i="2"/>
  <c r="E47" i="2"/>
  <c r="E51" i="2" s="1"/>
  <c r="D45" i="2"/>
  <c r="D46" i="2"/>
  <c r="D47" i="2"/>
  <c r="D51" i="2" s="1"/>
  <c r="C45" i="2"/>
  <c r="C47" i="2" s="1"/>
  <c r="C51" i="2" s="1"/>
  <c r="C46" i="2"/>
  <c r="G22" i="2"/>
  <c r="G50" i="2"/>
  <c r="F22" i="2"/>
  <c r="F25" i="2" s="1"/>
  <c r="F34" i="2" s="1"/>
  <c r="F35" i="2" s="1"/>
  <c r="E22" i="2"/>
  <c r="E24" i="2" s="1"/>
  <c r="E50" i="2"/>
  <c r="D22" i="2"/>
  <c r="D24" i="2" s="1"/>
  <c r="D26" i="2" s="1"/>
  <c r="C22" i="2"/>
  <c r="C24" i="2" s="1"/>
  <c r="C26" i="2" s="1"/>
  <c r="C50" i="2"/>
  <c r="B45" i="2"/>
  <c r="B46" i="2"/>
  <c r="B47" i="2"/>
  <c r="B51" i="2" s="1"/>
  <c r="B22" i="2"/>
  <c r="B50" i="2" s="1"/>
  <c r="G25" i="2"/>
  <c r="G34" i="2" s="1"/>
  <c r="G32" i="2"/>
  <c r="F32" i="2"/>
  <c r="E32" i="2"/>
  <c r="D25" i="2"/>
  <c r="D34" i="2" s="1"/>
  <c r="D35" i="2" s="1"/>
  <c r="D32" i="2"/>
  <c r="C25" i="2"/>
  <c r="C34" i="2"/>
  <c r="C32" i="2"/>
  <c r="C35" i="2"/>
  <c r="B32" i="2"/>
  <c r="B25" i="2"/>
  <c r="B34" i="2"/>
  <c r="B35" i="2" s="1"/>
  <c r="G24" i="2"/>
  <c r="G26" i="2" s="1"/>
  <c r="F53" i="1"/>
  <c r="F54" i="1"/>
  <c r="F55" i="1"/>
  <c r="F56" i="1"/>
  <c r="F57" i="1"/>
  <c r="E57" i="1"/>
  <c r="C57" i="1"/>
  <c r="F37" i="1"/>
  <c r="F41" i="1" s="1"/>
  <c r="F38" i="1"/>
  <c r="F39" i="1"/>
  <c r="C45" i="1" s="1"/>
  <c r="F40" i="1"/>
  <c r="C46" i="1" s="1"/>
  <c r="E46" i="1" s="1"/>
  <c r="E41" i="1"/>
  <c r="C41" i="1"/>
  <c r="C100" i="1"/>
  <c r="D100" i="1"/>
  <c r="E100" i="1"/>
  <c r="C101" i="1"/>
  <c r="E101" i="1" s="1"/>
  <c r="D98" i="1"/>
  <c r="D101" i="1"/>
  <c r="C92" i="1"/>
  <c r="D92" i="1"/>
  <c r="E92" i="1"/>
  <c r="C93" i="1"/>
  <c r="D93" i="1"/>
  <c r="E93" i="1" s="1"/>
  <c r="E94" i="1" s="1"/>
  <c r="K99" i="1" s="1"/>
  <c r="C117" i="1"/>
  <c r="E117" i="1" s="1"/>
  <c r="K126" i="1" s="1"/>
  <c r="D117" i="1"/>
  <c r="C125" i="1"/>
  <c r="D123" i="1"/>
  <c r="D125" i="1"/>
  <c r="E125" i="1"/>
  <c r="C126" i="1"/>
  <c r="E126" i="1" s="1"/>
  <c r="E127" i="1" s="1"/>
  <c r="K127" i="1" s="1"/>
  <c r="D122" i="1"/>
  <c r="D126" i="1" s="1"/>
  <c r="F121" i="1"/>
  <c r="C130" i="1"/>
  <c r="C132" i="1" s="1"/>
  <c r="D130" i="1"/>
  <c r="E130" i="1"/>
  <c r="C131" i="1"/>
  <c r="D131" i="1"/>
  <c r="E131" i="1"/>
  <c r="E132" i="1"/>
  <c r="K123" i="1" s="1"/>
  <c r="J123" i="1" s="1"/>
  <c r="E8" i="1"/>
  <c r="E10" i="1" s="1"/>
  <c r="K8" i="1" s="1"/>
  <c r="E9" i="1"/>
  <c r="E12" i="1"/>
  <c r="E13" i="1"/>
  <c r="E14" i="1"/>
  <c r="K9" i="1" s="1"/>
  <c r="C10" i="1"/>
  <c r="I8" i="1"/>
  <c r="C71" i="1" s="1"/>
  <c r="C73" i="1" s="1"/>
  <c r="C75" i="1" s="1"/>
  <c r="C77" i="1" s="1"/>
  <c r="C79" i="1" s="1"/>
  <c r="I120" i="1"/>
  <c r="C14" i="1"/>
  <c r="I9" i="1"/>
  <c r="I74" i="1" s="1"/>
  <c r="I121" i="1"/>
  <c r="I122" i="1"/>
  <c r="I124" i="1" s="1"/>
  <c r="I10" i="1"/>
  <c r="I12" i="1" s="1"/>
  <c r="I11" i="1"/>
  <c r="I123" i="1" s="1"/>
  <c r="B131" i="1"/>
  <c r="B130" i="1"/>
  <c r="C123" i="1"/>
  <c r="F123" i="1"/>
  <c r="F115" i="1"/>
  <c r="C122" i="1" s="1"/>
  <c r="F122" i="1" s="1"/>
  <c r="B123" i="1"/>
  <c r="F114" i="1"/>
  <c r="C98" i="1"/>
  <c r="F98" i="1"/>
  <c r="C105" i="1"/>
  <c r="D105" i="1"/>
  <c r="E105" i="1"/>
  <c r="E107" i="1" s="1"/>
  <c r="K96" i="1" s="1"/>
  <c r="C106" i="1"/>
  <c r="D106" i="1"/>
  <c r="E106" i="1"/>
  <c r="C107" i="1"/>
  <c r="B106" i="1"/>
  <c r="B98" i="1"/>
  <c r="B105" i="1" s="1"/>
  <c r="F90" i="1"/>
  <c r="C97" i="1"/>
  <c r="F97" i="1" s="1"/>
  <c r="F89" i="1"/>
  <c r="C72" i="1"/>
  <c r="C74" i="1"/>
  <c r="D74" i="1"/>
  <c r="E74" i="1"/>
  <c r="C76" i="1"/>
  <c r="C78" i="1"/>
  <c r="E78" i="1" s="1"/>
  <c r="D78" i="1"/>
  <c r="D61" i="1"/>
  <c r="E61" i="1" s="1"/>
  <c r="E63" i="1" s="1"/>
  <c r="K57" i="1" s="1"/>
  <c r="D62" i="1"/>
  <c r="E62" i="1"/>
  <c r="I54" i="1"/>
  <c r="C63" i="1"/>
  <c r="D45" i="1"/>
  <c r="D46" i="1"/>
  <c r="I38" i="1"/>
  <c r="I39" i="1"/>
  <c r="I40" i="1"/>
  <c r="I26" i="1"/>
  <c r="I27" i="1"/>
  <c r="I28" i="1"/>
  <c r="B20" i="4" l="1"/>
  <c r="B21" i="4"/>
  <c r="K128" i="1"/>
  <c r="D39" i="4"/>
  <c r="D40" i="4"/>
  <c r="B39" i="4"/>
  <c r="B40" i="4" s="1"/>
  <c r="K73" i="1"/>
  <c r="J8" i="1"/>
  <c r="K38" i="1"/>
  <c r="K120" i="1"/>
  <c r="E71" i="1"/>
  <c r="K10" i="1"/>
  <c r="K93" i="1"/>
  <c r="K54" i="1"/>
  <c r="K26" i="1"/>
  <c r="E26" i="2"/>
  <c r="J96" i="1"/>
  <c r="F20" i="4"/>
  <c r="F21" i="4" s="1"/>
  <c r="D20" i="4"/>
  <c r="D21" i="4" s="1"/>
  <c r="F39" i="4"/>
  <c r="F40" i="4"/>
  <c r="K94" i="1"/>
  <c r="K55" i="1"/>
  <c r="J55" i="1" s="1"/>
  <c r="K74" i="1"/>
  <c r="J74" i="1" s="1"/>
  <c r="J9" i="1"/>
  <c r="K39" i="1"/>
  <c r="J39" i="1" s="1"/>
  <c r="K27" i="1"/>
  <c r="J27" i="1" s="1"/>
  <c r="K121" i="1"/>
  <c r="J121" i="1" s="1"/>
  <c r="J57" i="1"/>
  <c r="E102" i="1"/>
  <c r="K100" i="1" s="1"/>
  <c r="K101" i="1" s="1"/>
  <c r="E45" i="1"/>
  <c r="E47" i="1" s="1"/>
  <c r="K41" i="1" s="1"/>
  <c r="C47" i="1"/>
  <c r="G35" i="2"/>
  <c r="I41" i="1"/>
  <c r="I42" i="1" s="1"/>
  <c r="C27" i="1"/>
  <c r="I73" i="1"/>
  <c r="I75" i="1" s="1"/>
  <c r="I77" i="1" s="1"/>
  <c r="I94" i="1"/>
  <c r="D50" i="2"/>
  <c r="I76" i="1"/>
  <c r="I96" i="1"/>
  <c r="I93" i="1"/>
  <c r="B24" i="2"/>
  <c r="B26" i="2" s="1"/>
  <c r="I55" i="1"/>
  <c r="I56" i="1" s="1"/>
  <c r="F50" i="2"/>
  <c r="C29" i="1"/>
  <c r="E25" i="2"/>
  <c r="E34" i="2" s="1"/>
  <c r="E35" i="2" s="1"/>
  <c r="I29" i="1"/>
  <c r="I30" i="1" s="1"/>
  <c r="F24" i="2"/>
  <c r="F26" i="2" s="1"/>
  <c r="I57" i="1"/>
  <c r="J26" i="1" l="1"/>
  <c r="K28" i="1"/>
  <c r="J41" i="1"/>
  <c r="J120" i="1"/>
  <c r="K122" i="1"/>
  <c r="D71" i="1"/>
  <c r="D72" i="1" s="1"/>
  <c r="E72" i="1" s="1"/>
  <c r="F72" i="1" s="1"/>
  <c r="F79" i="1" s="1"/>
  <c r="K95" i="1"/>
  <c r="J93" i="1"/>
  <c r="J10" i="1"/>
  <c r="E27" i="1"/>
  <c r="D27" i="1" s="1"/>
  <c r="D29" i="1" s="1"/>
  <c r="J38" i="1"/>
  <c r="K40" i="1"/>
  <c r="J73" i="1"/>
  <c r="K75" i="1"/>
  <c r="E29" i="1"/>
  <c r="K29" i="1" s="1"/>
  <c r="J29" i="1" s="1"/>
  <c r="J94" i="1"/>
  <c r="J54" i="1"/>
  <c r="K56" i="1"/>
  <c r="I58" i="1"/>
  <c r="I95" i="1"/>
  <c r="I97" i="1" s="1"/>
  <c r="J56" i="1" l="1"/>
  <c r="K58" i="1"/>
  <c r="J58" i="1" s="1"/>
  <c r="J40" i="1"/>
  <c r="K42" i="1"/>
  <c r="J42" i="1" s="1"/>
  <c r="J95" i="1"/>
  <c r="K97" i="1"/>
  <c r="J97" i="1" s="1"/>
  <c r="J75" i="1"/>
  <c r="E73" i="1"/>
  <c r="J122" i="1"/>
  <c r="K124" i="1"/>
  <c r="J124" i="1" s="1"/>
  <c r="J28" i="1"/>
  <c r="K30" i="1"/>
  <c r="J30" i="1" s="1"/>
  <c r="D73" i="1" l="1"/>
  <c r="E75" i="1"/>
  <c r="E77" i="1" l="1"/>
  <c r="D75" i="1"/>
  <c r="D76" i="1" s="1"/>
  <c r="E76" i="1" s="1"/>
  <c r="F76" i="1" s="1"/>
  <c r="D77" i="1" l="1"/>
  <c r="E79" i="1"/>
  <c r="D79" i="1" l="1"/>
  <c r="K76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<sst xmlns="http://schemas.openxmlformats.org/spreadsheetml/2006/main" count="287" uniqueCount="113">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</sst>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F71A-CCDC-474F-8900-5D58FBF5F90C}">
  <dimension ref="A1:F42"/>
  <sheetViews>
    <sheetView workbookViewId="0">
      <selection activeCell="B25" sqref="B25"/>
    </sheetView>
  </sheetViews>
  <sheetFormatPr baseColWidth="10" defaultRowHeight="12.75" x14ac:dyDescent="0.2"/>
  <cols>
    <col min="1" max="1" width="26.7109375" customWidth="1"/>
    <col min="2" max="2" width="14.28515625" style="2" customWidth="1"/>
    <col min="3" max="3" width="8.140625" style="2" customWidth="1"/>
    <col min="4" max="4" width="13.85546875" customWidth="1"/>
    <col min="5" max="5" width="9.140625" customWidth="1"/>
    <col min="6" max="6" width="15.28515625" customWidth="1"/>
    <col min="7" max="256" width="9.140625" customWidth="1"/>
  </cols>
  <sheetData>
    <row r="1" spans="1:6" x14ac:dyDescent="0.2">
      <c r="A1" t="s">
        <v>94</v>
      </c>
      <c r="D1" s="75" t="s">
        <v>107</v>
      </c>
    </row>
    <row r="2" spans="1:6" x14ac:dyDescent="0.2">
      <c r="A2" t="s">
        <v>95</v>
      </c>
      <c r="D2" s="74" t="s">
        <v>108</v>
      </c>
    </row>
    <row r="3" spans="1:6" x14ac:dyDescent="0.2">
      <c r="A3" t="s">
        <v>106</v>
      </c>
    </row>
    <row r="5" spans="1:6" ht="13.5" thickBot="1" x14ac:dyDescent="0.25">
      <c r="A5" s="29" t="s">
        <v>112</v>
      </c>
    </row>
    <row r="6" spans="1:6" x14ac:dyDescent="0.2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.5" thickBot="1" x14ac:dyDescent="0.25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.5" thickBot="1" x14ac:dyDescent="0.25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.5" thickTop="1" x14ac:dyDescent="0.2">
      <c r="A13" s="13"/>
      <c r="B13" s="15"/>
      <c r="C13" s="15"/>
      <c r="D13" s="15"/>
      <c r="E13" s="14"/>
      <c r="F13" s="45"/>
    </row>
    <row r="14" spans="1:6" x14ac:dyDescent="0.2">
      <c r="A14" s="13"/>
      <c r="B14" s="15"/>
      <c r="C14" s="15"/>
      <c r="D14" s="15"/>
      <c r="E14" s="14"/>
      <c r="F14" s="45"/>
    </row>
    <row r="15" spans="1:6" x14ac:dyDescent="0.2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.5" thickBot="1" x14ac:dyDescent="0.25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4.25" thickTop="1" thickBot="1" x14ac:dyDescent="0.25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">
      <c r="D23" s="2"/>
      <c r="F23" s="2"/>
    </row>
    <row r="24" spans="1:6" ht="13.5" thickBot="1" x14ac:dyDescent="0.25">
      <c r="A24" s="29" t="s">
        <v>103</v>
      </c>
      <c r="D24" s="2"/>
      <c r="F24" s="2"/>
    </row>
    <row r="25" spans="1:6" x14ac:dyDescent="0.2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.5" thickBot="1" x14ac:dyDescent="0.25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.5" thickBot="1" x14ac:dyDescent="0.25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.5" thickTop="1" x14ac:dyDescent="0.2">
      <c r="A32" s="13"/>
      <c r="B32" s="15"/>
      <c r="C32" s="15"/>
      <c r="D32" s="15"/>
      <c r="E32" s="14"/>
      <c r="F32" s="45"/>
    </row>
    <row r="33" spans="1:6" x14ac:dyDescent="0.2">
      <c r="A33" s="13"/>
      <c r="B33" s="15"/>
      <c r="C33" s="15"/>
      <c r="D33" s="15"/>
      <c r="E33" s="14"/>
      <c r="F33" s="45"/>
    </row>
    <row r="34" spans="1:6" x14ac:dyDescent="0.2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.5" thickBot="1" x14ac:dyDescent="0.25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.5" thickTop="1" x14ac:dyDescent="0.2">
      <c r="A41" s="13"/>
      <c r="B41" s="15"/>
      <c r="C41" s="15"/>
      <c r="D41" s="14" t="s">
        <v>111</v>
      </c>
      <c r="E41" s="14"/>
      <c r="F41" s="81" t="s">
        <v>110</v>
      </c>
    </row>
    <row r="42" spans="1:6" ht="13.5" thickBot="1" x14ac:dyDescent="0.25">
      <c r="A42" s="23"/>
      <c r="B42" s="25"/>
      <c r="C42" s="25"/>
      <c r="D42" s="24"/>
      <c r="E42" s="24"/>
      <c r="F42" s="82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AFD5-1853-4E17-AAF6-6ED951E66F99}">
  <sheetPr>
    <pageSetUpPr fitToPage="1"/>
  </sheetPr>
  <dimension ref="A1:K133"/>
  <sheetViews>
    <sheetView zoomScaleNormal="100" workbookViewId="0">
      <selection activeCell="F22" sqref="F22"/>
    </sheetView>
  </sheetViews>
  <sheetFormatPr baseColWidth="10" defaultRowHeight="12.75" x14ac:dyDescent="0.2"/>
  <cols>
    <col min="1" max="1" width="11.28515625" customWidth="1"/>
    <col min="2" max="2" width="11.5703125" bestFit="1" customWidth="1"/>
    <col min="3" max="3" width="10.42578125" style="2" bestFit="1" customWidth="1"/>
    <col min="4" max="4" width="9.28515625" style="1" bestFit="1" customWidth="1"/>
    <col min="5" max="5" width="12.140625" style="1" customWidth="1"/>
    <col min="6" max="6" width="10.7109375" customWidth="1"/>
    <col min="7" max="7" width="9.28515625" customWidth="1"/>
    <col min="8" max="8" width="20.85546875" customWidth="1"/>
    <col min="9" max="9" width="11.28515625" style="2" bestFit="1" customWidth="1"/>
    <col min="10" max="10" width="10.28515625" style="1" customWidth="1"/>
    <col min="11" max="11" width="16.28515625" style="1" bestFit="1" customWidth="1"/>
    <col min="12" max="256" width="9.140625" customWidth="1"/>
  </cols>
  <sheetData>
    <row r="1" spans="1:11" x14ac:dyDescent="0.2">
      <c r="A1" t="s">
        <v>92</v>
      </c>
    </row>
    <row r="2" spans="1:11" x14ac:dyDescent="0.2">
      <c r="A2" t="s">
        <v>45</v>
      </c>
    </row>
    <row r="4" spans="1:11" ht="13.5" thickBot="1" x14ac:dyDescent="0.25"/>
    <row r="5" spans="1:11" x14ac:dyDescent="0.2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+C11</f>
        <v>0</v>
      </c>
      <c r="J8" s="16" t="e">
        <f>+K8/I8</f>
        <v>#DIV/0!</v>
      </c>
      <c r="K8" s="17">
        <f>+E10</f>
        <v>36500</v>
      </c>
    </row>
    <row r="9" spans="1:11" x14ac:dyDescent="0.2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+C14</f>
        <v>10000</v>
      </c>
      <c r="J9" s="4">
        <f>+K9/I9</f>
        <v>5.625</v>
      </c>
      <c r="K9" s="19">
        <f>+E14</f>
        <v>56250</v>
      </c>
    </row>
    <row r="10" spans="1:11" x14ac:dyDescent="0.2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SUM(I8:I9)</f>
        <v>10000</v>
      </c>
      <c r="J10" s="16">
        <f>+K10/I10</f>
        <v>9.2750000000000004</v>
      </c>
      <c r="K10" s="17">
        <f>SUM(K8:K9)</f>
        <v>92750</v>
      </c>
    </row>
    <row r="11" spans="1:11" x14ac:dyDescent="0.2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1000</v>
      </c>
      <c r="J11" s="16"/>
      <c r="K11" s="21" t="s">
        <v>14</v>
      </c>
    </row>
    <row r="12" spans="1:11" ht="13.5" thickBot="1" x14ac:dyDescent="0.25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.5" thickTop="1" x14ac:dyDescent="0.2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">
      <c r="A14" s="13"/>
      <c r="B14" s="14"/>
      <c r="C14" s="15">
        <f>SUM(C12:C13)</f>
        <v>10000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.5" thickBot="1" x14ac:dyDescent="0.25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x14ac:dyDescent="0.2">
      <c r="A22" s="29"/>
    </row>
    <row r="23" spans="1:11" ht="13.5" thickBot="1" x14ac:dyDescent="0.25"/>
    <row r="24" spans="1:11" x14ac:dyDescent="0.2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.5" thickBot="1" x14ac:dyDescent="0.25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0</v>
      </c>
      <c r="J26" s="16" t="e">
        <f>+K26/I26</f>
        <v>#DIV/0!</v>
      </c>
      <c r="K26" s="17">
        <f>+K$8</f>
        <v>36500</v>
      </c>
    </row>
    <row r="27" spans="1:11" ht="13.5" thickBot="1" x14ac:dyDescent="0.25">
      <c r="A27" s="13" t="s">
        <v>11</v>
      </c>
      <c r="B27" s="14"/>
      <c r="C27" s="15">
        <f>+I10</f>
        <v>10000</v>
      </c>
      <c r="D27" s="7">
        <f>+E27/C27</f>
        <v>9.2750000000000004</v>
      </c>
      <c r="E27" s="16">
        <f>+K10</f>
        <v>92750</v>
      </c>
      <c r="F27" s="14"/>
      <c r="G27" s="14"/>
      <c r="H27" s="18" t="s">
        <v>10</v>
      </c>
      <c r="I27" s="3">
        <f>+I$9</f>
        <v>10000</v>
      </c>
      <c r="J27" s="4">
        <f>+K27/I27</f>
        <v>5.625</v>
      </c>
      <c r="K27" s="19">
        <f>+K$9</f>
        <v>56250</v>
      </c>
    </row>
    <row r="28" spans="1:11" ht="13.5" thickBot="1" x14ac:dyDescent="0.25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10000</v>
      </c>
      <c r="J28" s="16">
        <f>+K28/I28</f>
        <v>9.2750000000000004</v>
      </c>
      <c r="K28" s="17">
        <f>SUM(K26:K27)</f>
        <v>92750</v>
      </c>
    </row>
    <row r="29" spans="1:11" ht="13.5" thickBot="1" x14ac:dyDescent="0.25">
      <c r="A29" s="13" t="s">
        <v>16</v>
      </c>
      <c r="B29" s="14"/>
      <c r="C29" s="32">
        <f>-I11</f>
        <v>-1000</v>
      </c>
      <c r="D29" s="33">
        <f>+D27</f>
        <v>9.2750000000000004</v>
      </c>
      <c r="E29" s="36">
        <f>+C29*D29</f>
        <v>-9275</v>
      </c>
      <c r="F29" s="14"/>
      <c r="G29" s="14"/>
      <c r="H29" s="18" t="s">
        <v>12</v>
      </c>
      <c r="I29" s="32">
        <f>+I$11</f>
        <v>1000</v>
      </c>
      <c r="J29" s="33">
        <f>+K29/I29</f>
        <v>9.2750000000000004</v>
      </c>
      <c r="K29" s="37">
        <f>-E29</f>
        <v>9275</v>
      </c>
    </row>
    <row r="30" spans="1:11" ht="13.5" thickBot="1" x14ac:dyDescent="0.25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11000</v>
      </c>
      <c r="J30" s="6">
        <f>+K30/I30</f>
        <v>9.2750000000000004</v>
      </c>
      <c r="K30" s="22">
        <f>SUM(K28:K29)</f>
        <v>102025</v>
      </c>
    </row>
    <row r="31" spans="1:11" ht="14.25" thickTop="1" thickBot="1" x14ac:dyDescent="0.25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.5" thickBot="1" x14ac:dyDescent="0.25"/>
    <row r="34" spans="1:11" x14ac:dyDescent="0.2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0</v>
      </c>
      <c r="J38" s="16" t="e">
        <f>+K38/I38</f>
        <v>#DIV/0!</v>
      </c>
      <c r="K38" s="17">
        <f>+K$8</f>
        <v>36500</v>
      </c>
    </row>
    <row r="39" spans="1:11" x14ac:dyDescent="0.2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10000</v>
      </c>
      <c r="J39" s="4">
        <f>+K39/I39</f>
        <v>5.625</v>
      </c>
      <c r="K39" s="19">
        <f>+K$9</f>
        <v>56250</v>
      </c>
    </row>
    <row r="40" spans="1:11" x14ac:dyDescent="0.2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10000</v>
      </c>
      <c r="J40" s="16">
        <f>+K40/I40</f>
        <v>9.2750000000000004</v>
      </c>
      <c r="K40" s="17">
        <f>SUM(K38:K39)</f>
        <v>92750</v>
      </c>
    </row>
    <row r="41" spans="1:11" ht="13.5" thickBot="1" x14ac:dyDescent="0.2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1000</v>
      </c>
      <c r="J41" s="33">
        <f>+K41/I41</f>
        <v>-34.25</v>
      </c>
      <c r="K41" s="37">
        <f>-E47</f>
        <v>-34250</v>
      </c>
    </row>
    <row r="42" spans="1:11" ht="14.25" thickTop="1" thickBot="1" x14ac:dyDescent="0.25">
      <c r="F42" s="14"/>
      <c r="G42" s="14"/>
      <c r="H42" s="14" t="s">
        <v>13</v>
      </c>
      <c r="I42" s="5">
        <f>SUM(I40:I41)</f>
        <v>11000</v>
      </c>
      <c r="J42" s="6">
        <f>+K42/I42</f>
        <v>5.3181818181818183</v>
      </c>
      <c r="K42" s="22">
        <f>SUM(K40:K41)</f>
        <v>58500</v>
      </c>
    </row>
    <row r="43" spans="1:11" ht="13.5" thickTop="1" x14ac:dyDescent="0.2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2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4.25" thickTop="1" thickBot="1" x14ac:dyDescent="0.25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.5" thickBot="1" x14ac:dyDescent="0.25"/>
    <row r="50" spans="1:11" x14ac:dyDescent="0.2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0</v>
      </c>
      <c r="J54" s="16" t="e">
        <f>+K54/I54</f>
        <v>#DIV/0!</v>
      </c>
      <c r="K54" s="17">
        <f>+K$8</f>
        <v>36500</v>
      </c>
    </row>
    <row r="55" spans="1:11" x14ac:dyDescent="0.2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10000</v>
      </c>
      <c r="J55" s="4">
        <f>+K55/I55</f>
        <v>5.625</v>
      </c>
      <c r="K55" s="19">
        <f>+K$9</f>
        <v>56250</v>
      </c>
    </row>
    <row r="56" spans="1:11" x14ac:dyDescent="0.2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10000</v>
      </c>
      <c r="J56" s="16">
        <f>+K56/I56</f>
        <v>9.2750000000000004</v>
      </c>
      <c r="K56" s="17">
        <f>SUM(K54:K55)</f>
        <v>92750</v>
      </c>
    </row>
    <row r="57" spans="1:11" ht="13.5" thickBot="1" x14ac:dyDescent="0.2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1000</v>
      </c>
      <c r="J57" s="33">
        <f>+K57/I57</f>
        <v>-31.25</v>
      </c>
      <c r="K57" s="37">
        <f>-E63</f>
        <v>-31250</v>
      </c>
    </row>
    <row r="58" spans="1:11" ht="14.25" thickTop="1" thickBot="1" x14ac:dyDescent="0.25">
      <c r="F58" s="14"/>
      <c r="G58" s="14"/>
      <c r="H58" s="14" t="s">
        <v>13</v>
      </c>
      <c r="I58" s="5">
        <f>SUM(I56:I57)</f>
        <v>11000</v>
      </c>
      <c r="J58" s="6">
        <f>+K58/I58</f>
        <v>5.5909090909090908</v>
      </c>
      <c r="K58" s="22">
        <f>SUM(K56:K57)</f>
        <v>61500</v>
      </c>
    </row>
    <row r="59" spans="1:11" ht="13.5" thickTop="1" x14ac:dyDescent="0.2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2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4.25" thickTop="1" thickBot="1" x14ac:dyDescent="0.25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.5" thickBot="1" x14ac:dyDescent="0.25"/>
    <row r="68" spans="1:11" x14ac:dyDescent="0.2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">
      <c r="A71" s="13" t="s">
        <v>27</v>
      </c>
      <c r="B71" s="14"/>
      <c r="C71" s="15">
        <f>+I8</f>
        <v>0</v>
      </c>
      <c r="D71" s="16" t="e">
        <f>+E71/C71</f>
        <v>#DIV/0!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">
      <c r="A72" s="13" t="s">
        <v>28</v>
      </c>
      <c r="B72" s="14"/>
      <c r="C72" s="3">
        <f>+C17</f>
        <v>-4000</v>
      </c>
      <c r="D72" s="4" t="e">
        <f>+D71</f>
        <v>#DIV/0!</v>
      </c>
      <c r="E72" s="4" t="e">
        <f>+C72*D72</f>
        <v>#DIV/0!</v>
      </c>
      <c r="F72" s="38" t="e">
        <f>-E72</f>
        <v>#DIV/0!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">
      <c r="A73" s="13" t="s">
        <v>21</v>
      </c>
      <c r="B73" s="14"/>
      <c r="C73" s="15">
        <f>SUM(C71:C72)</f>
        <v>-4000</v>
      </c>
      <c r="D73" s="16" t="e">
        <f>+E73/C73</f>
        <v>#DIV/0!</v>
      </c>
      <c r="E73" s="16" t="e">
        <f>SUM(E71:E72)</f>
        <v>#DIV/0!</v>
      </c>
      <c r="F73" s="14"/>
      <c r="G73" s="14"/>
      <c r="H73" s="14" t="s">
        <v>0</v>
      </c>
      <c r="I73" s="15">
        <f>+I$8</f>
        <v>0</v>
      </c>
      <c r="J73" s="16" t="e">
        <f>+K73/I73</f>
        <v>#DIV/0!</v>
      </c>
      <c r="K73" s="17">
        <f>+K$8</f>
        <v>36500</v>
      </c>
    </row>
    <row r="74" spans="1:11" x14ac:dyDescent="0.2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10000</v>
      </c>
      <c r="J74" s="4">
        <f>+K74/I74</f>
        <v>5.625</v>
      </c>
      <c r="K74" s="19">
        <f>+K$9</f>
        <v>56250</v>
      </c>
    </row>
    <row r="75" spans="1:11" x14ac:dyDescent="0.2">
      <c r="A75" s="13" t="s">
        <v>30</v>
      </c>
      <c r="B75" s="14"/>
      <c r="C75" s="15">
        <f>SUM(C73:C74)</f>
        <v>1000</v>
      </c>
      <c r="D75" s="16" t="e">
        <f>+E75/C75</f>
        <v>#DIV/0!</v>
      </c>
      <c r="E75" s="16" t="e">
        <f>SUM(E73:E74)</f>
        <v>#DIV/0!</v>
      </c>
      <c r="F75" s="14"/>
      <c r="G75" s="14"/>
      <c r="H75" s="14" t="s">
        <v>11</v>
      </c>
      <c r="I75" s="15">
        <f>SUM(I73:I74)</f>
        <v>10000</v>
      </c>
      <c r="J75" s="16">
        <f>+K75/I75</f>
        <v>9.2750000000000004</v>
      </c>
      <c r="K75" s="17">
        <f>SUM(K73:K74)</f>
        <v>92750</v>
      </c>
    </row>
    <row r="76" spans="1:11" x14ac:dyDescent="0.2">
      <c r="A76" s="13" t="s">
        <v>31</v>
      </c>
      <c r="B76" s="14"/>
      <c r="C76" s="3">
        <f>+C18</f>
        <v>-7000</v>
      </c>
      <c r="D76" s="4" t="e">
        <f>+D75</f>
        <v>#DIV/0!</v>
      </c>
      <c r="E76" s="4" t="e">
        <f>+C76*D76</f>
        <v>#DIV/0!</v>
      </c>
      <c r="F76" s="38" t="e">
        <f>-E76</f>
        <v>#DIV/0!</v>
      </c>
      <c r="G76" s="14"/>
      <c r="H76" s="18" t="s">
        <v>12</v>
      </c>
      <c r="I76" s="32">
        <f>+I$11</f>
        <v>1000</v>
      </c>
      <c r="J76" s="33" t="e">
        <f>+K76/I76</f>
        <v>#DIV/0!</v>
      </c>
      <c r="K76" s="37" t="e">
        <f>-E79</f>
        <v>#DIV/0!</v>
      </c>
    </row>
    <row r="77" spans="1:11" ht="13.5" thickBot="1" x14ac:dyDescent="0.25">
      <c r="A77" s="13" t="s">
        <v>21</v>
      </c>
      <c r="B77" s="14"/>
      <c r="C77" s="15">
        <f>SUM(C75:C76)</f>
        <v>-6000</v>
      </c>
      <c r="D77" s="16" t="e">
        <f>+E77/C77</f>
        <v>#DIV/0!</v>
      </c>
      <c r="E77" s="16" t="e">
        <f>SUM(E75:E76)</f>
        <v>#DIV/0!</v>
      </c>
      <c r="F77" s="14"/>
      <c r="G77" s="14"/>
      <c r="H77" s="14" t="s">
        <v>13</v>
      </c>
      <c r="I77" s="5">
        <f>SUM(I75:I76)</f>
        <v>11000</v>
      </c>
      <c r="J77" s="6" t="e">
        <f>+K77/I77</f>
        <v>#DIV/0!</v>
      </c>
      <c r="K77" s="22" t="e">
        <f>SUM(K75:K76)</f>
        <v>#DIV/0!</v>
      </c>
    </row>
    <row r="78" spans="1:11" ht="13.5" thickTop="1" x14ac:dyDescent="0.2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25">
      <c r="A79" s="13" t="s">
        <v>16</v>
      </c>
      <c r="B79" s="14"/>
      <c r="C79" s="30">
        <f>SUM(C77:C78)</f>
        <v>-1000</v>
      </c>
      <c r="D79" s="31" t="e">
        <f>+E79/C79</f>
        <v>#DIV/0!</v>
      </c>
      <c r="E79" s="31" t="e">
        <f>SUM(E77:E78)</f>
        <v>#DIV/0!</v>
      </c>
      <c r="F79" s="34" t="e">
        <f>SUM(F72:F76)</f>
        <v>#DIV/0!</v>
      </c>
      <c r="G79" s="14"/>
      <c r="H79" s="14"/>
      <c r="I79" s="15"/>
      <c r="J79" s="16"/>
      <c r="K79" s="17"/>
    </row>
    <row r="80" spans="1:11" ht="13.5" thickTop="1" x14ac:dyDescent="0.2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.5" thickBot="1" x14ac:dyDescent="0.25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.5" thickBot="1" x14ac:dyDescent="0.25"/>
    <row r="86" spans="1:11" x14ac:dyDescent="0.2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0</v>
      </c>
      <c r="J93" s="16" t="e">
        <f>+K93/I93</f>
        <v>#DIV/0!</v>
      </c>
      <c r="K93" s="17">
        <f>+K$8</f>
        <v>36500</v>
      </c>
    </row>
    <row r="94" spans="1:11" x14ac:dyDescent="0.2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10000</v>
      </c>
      <c r="J94" s="4">
        <f>+K94/I94</f>
        <v>5.625</v>
      </c>
      <c r="K94" s="19">
        <f>+K$9</f>
        <v>56250</v>
      </c>
    </row>
    <row r="95" spans="1:11" x14ac:dyDescent="0.2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10000</v>
      </c>
      <c r="J95" s="16">
        <f>+K95/I95</f>
        <v>9.2750000000000004</v>
      </c>
      <c r="K95" s="17">
        <f>SUM(K93:K94)</f>
        <v>92750</v>
      </c>
    </row>
    <row r="96" spans="1:11" x14ac:dyDescent="0.2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1000</v>
      </c>
      <c r="J96" s="33">
        <f>+K96/I96</f>
        <v>-34.25</v>
      </c>
      <c r="K96" s="37">
        <f>-E107</f>
        <v>-34250</v>
      </c>
    </row>
    <row r="97" spans="1:11" ht="13.5" thickBot="1" x14ac:dyDescent="0.25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11000</v>
      </c>
      <c r="J97" s="6">
        <f>+K97/I97</f>
        <v>5.3181818181818183</v>
      </c>
      <c r="K97" s="22">
        <f>SUM(K95:K96)</f>
        <v>58500</v>
      </c>
    </row>
    <row r="98" spans="1:11" ht="13.5" thickTop="1" x14ac:dyDescent="0.2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.5" thickBot="1" x14ac:dyDescent="0.25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.5" thickTop="1" x14ac:dyDescent="0.2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2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4.25" thickTop="1" thickBot="1" x14ac:dyDescent="0.25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.5" thickBot="1" x14ac:dyDescent="0.25"/>
    <row r="111" spans="1:11" x14ac:dyDescent="0.2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0</v>
      </c>
      <c r="J120" s="16" t="e">
        <f>+K120/I120</f>
        <v>#DIV/0!</v>
      </c>
      <c r="K120" s="17">
        <f>+K$8</f>
        <v>36500</v>
      </c>
    </row>
    <row r="121" spans="1:11" x14ac:dyDescent="0.2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10000</v>
      </c>
      <c r="J121" s="4">
        <f>+K121/I121</f>
        <v>5.625</v>
      </c>
      <c r="K121" s="19">
        <f>+K$9</f>
        <v>56250</v>
      </c>
    </row>
    <row r="122" spans="1:11" x14ac:dyDescent="0.2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10000</v>
      </c>
      <c r="J122" s="16">
        <f>+K122/I122</f>
        <v>9.2750000000000004</v>
      </c>
      <c r="K122" s="17">
        <f>SUM(K120:K121)</f>
        <v>92750</v>
      </c>
    </row>
    <row r="123" spans="1:11" x14ac:dyDescent="0.2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1000</v>
      </c>
      <c r="J123" s="33">
        <f>+K123/I123</f>
        <v>-33.75</v>
      </c>
      <c r="K123" s="37">
        <f>-E132</f>
        <v>-33750</v>
      </c>
    </row>
    <row r="124" spans="1:11" ht="13.5" thickBot="1" x14ac:dyDescent="0.25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11000</v>
      </c>
      <c r="J124" s="6">
        <f>+K124/I124</f>
        <v>5.3636363636363633</v>
      </c>
      <c r="K124" s="22">
        <f>SUM(K122:K123)</f>
        <v>59000</v>
      </c>
    </row>
    <row r="125" spans="1:11" ht="13.5" thickTop="1" x14ac:dyDescent="0.2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.5" thickBot="1" x14ac:dyDescent="0.25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.5" thickTop="1" x14ac:dyDescent="0.2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2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4.25" thickTop="1" thickBot="1" x14ac:dyDescent="0.25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8740157499999996" right="0.78740157499999996" top="0.984251969" bottom="0.984251969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3975-03D2-44D3-8F29-5667A494D60F}">
  <sheetPr>
    <pageSetUpPr fitToPage="1"/>
  </sheetPr>
  <dimension ref="A1:H56"/>
  <sheetViews>
    <sheetView tabSelected="1" workbookViewId="0">
      <selection activeCell="A49" sqref="A49"/>
    </sheetView>
  </sheetViews>
  <sheetFormatPr baseColWidth="10" defaultRowHeight="12.75" x14ac:dyDescent="0.2"/>
  <cols>
    <col min="1" max="1" width="21.140625" customWidth="1"/>
    <col min="2" max="8" width="11.7109375" style="2" customWidth="1"/>
    <col min="9" max="256" width="9.140625" customWidth="1"/>
  </cols>
  <sheetData>
    <row r="1" spans="1:1" x14ac:dyDescent="0.2">
      <c r="A1" t="s">
        <v>92</v>
      </c>
    </row>
    <row r="2" spans="1:1" x14ac:dyDescent="0.2">
      <c r="A2" t="s">
        <v>45</v>
      </c>
    </row>
    <row r="3" spans="1:1" x14ac:dyDescent="0.2">
      <c r="A3" t="s">
        <v>46</v>
      </c>
    </row>
    <row r="5" spans="1:1" x14ac:dyDescent="0.2">
      <c r="A5" t="s">
        <v>47</v>
      </c>
    </row>
    <row r="6" spans="1:1" x14ac:dyDescent="0.2">
      <c r="A6" t="s">
        <v>48</v>
      </c>
    </row>
    <row r="7" spans="1:1" x14ac:dyDescent="0.2">
      <c r="A7" t="s">
        <v>49</v>
      </c>
    </row>
    <row r="8" spans="1:1" x14ac:dyDescent="0.2">
      <c r="A8" t="s">
        <v>50</v>
      </c>
    </row>
    <row r="10" spans="1:1" x14ac:dyDescent="0.2">
      <c r="A10" t="s">
        <v>87</v>
      </c>
    </row>
    <row r="13" spans="1:1" x14ac:dyDescent="0.2">
      <c r="A13" t="s">
        <v>51</v>
      </c>
    </row>
    <row r="14" spans="1:1" x14ac:dyDescent="0.2">
      <c r="A14" t="s">
        <v>86</v>
      </c>
    </row>
    <row r="15" spans="1:1" x14ac:dyDescent="0.2">
      <c r="A15" t="s">
        <v>57</v>
      </c>
    </row>
    <row r="16" spans="1:1" ht="13.5" thickBot="1" x14ac:dyDescent="0.25"/>
    <row r="17" spans="1:8" ht="13.5" thickBot="1" x14ac:dyDescent="0.25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">
      <c r="B18" s="46" t="s">
        <v>58</v>
      </c>
      <c r="C18" s="47"/>
      <c r="D18" s="48"/>
      <c r="E18" s="49" t="s">
        <v>61</v>
      </c>
      <c r="F18" s="50"/>
      <c r="G18" s="51"/>
    </row>
    <row r="19" spans="1:8" ht="13.5" thickBot="1" x14ac:dyDescent="0.25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">
      <c r="B23" s="58"/>
      <c r="C23" s="15"/>
      <c r="D23" s="45"/>
      <c r="E23" s="58"/>
      <c r="F23" s="15"/>
      <c r="G23" s="45"/>
    </row>
    <row r="24" spans="1:8" x14ac:dyDescent="0.2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2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2">
      <c r="B27" s="58"/>
      <c r="C27" s="61" t="s">
        <v>68</v>
      </c>
      <c r="D27" s="45"/>
      <c r="E27" s="58"/>
      <c r="F27" s="61" t="s">
        <v>68</v>
      </c>
      <c r="G27" s="45"/>
    </row>
    <row r="28" spans="1:8" x14ac:dyDescent="0.2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">
      <c r="B29" s="58"/>
      <c r="C29" s="15"/>
      <c r="D29" s="45"/>
      <c r="E29" s="58"/>
      <c r="F29" s="15"/>
      <c r="G29" s="45"/>
    </row>
    <row r="30" spans="1:8" x14ac:dyDescent="0.2">
      <c r="B30" s="58"/>
      <c r="C30" s="15"/>
      <c r="D30" s="45"/>
      <c r="E30" s="58"/>
      <c r="F30" s="15"/>
      <c r="G30" s="45"/>
    </row>
    <row r="31" spans="1:8" x14ac:dyDescent="0.2">
      <c r="A31" s="29" t="s">
        <v>79</v>
      </c>
      <c r="B31" s="58"/>
      <c r="C31" s="15"/>
      <c r="D31" s="45"/>
      <c r="E31" s="58"/>
      <c r="F31" s="15"/>
      <c r="G31" s="45"/>
    </row>
    <row r="32" spans="1:8" x14ac:dyDescent="0.2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2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2">
      <c r="B36" s="58"/>
      <c r="C36" s="15"/>
      <c r="D36" s="63" t="s">
        <v>72</v>
      </c>
      <c r="E36" s="58"/>
      <c r="F36" s="15"/>
      <c r="G36" s="45"/>
    </row>
    <row r="37" spans="1:8" x14ac:dyDescent="0.2">
      <c r="B37" s="58"/>
      <c r="C37" s="15"/>
      <c r="D37" s="63" t="s">
        <v>73</v>
      </c>
      <c r="E37" s="58"/>
      <c r="F37" s="15"/>
      <c r="G37" s="45"/>
    </row>
    <row r="38" spans="1:8" ht="13.5" thickBot="1" x14ac:dyDescent="0.25">
      <c r="B38" s="64"/>
      <c r="C38" s="25"/>
      <c r="D38" s="65"/>
      <c r="E38" s="64"/>
      <c r="F38" s="25"/>
      <c r="G38" s="65"/>
    </row>
    <row r="41" spans="1:8" ht="13.5" thickBot="1" x14ac:dyDescent="0.25">
      <c r="A41" s="29" t="s">
        <v>81</v>
      </c>
    </row>
    <row r="42" spans="1:8" ht="13.5" thickBot="1" x14ac:dyDescent="0.2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x14ac:dyDescent="0.2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2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.5" thickBot="1" x14ac:dyDescent="0.25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.5" thickTop="1" x14ac:dyDescent="0.2">
      <c r="A48" t="s">
        <v>93</v>
      </c>
      <c r="B48" s="58"/>
      <c r="C48" s="15"/>
      <c r="D48" s="45"/>
      <c r="E48" s="15"/>
      <c r="F48" s="15"/>
      <c r="G48" s="45"/>
    </row>
    <row r="49" spans="1:7" x14ac:dyDescent="0.2">
      <c r="B49" s="58"/>
      <c r="C49" s="15"/>
      <c r="D49" s="45"/>
      <c r="E49" s="15"/>
      <c r="F49" s="15"/>
      <c r="G49" s="45"/>
    </row>
    <row r="50" spans="1:7" x14ac:dyDescent="0.2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.5" thickBot="1" x14ac:dyDescent="0.25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">
      <c r="B53" s="2" t="s">
        <v>88</v>
      </c>
    </row>
    <row r="54" spans="1:7" x14ac:dyDescent="0.2">
      <c r="B54" s="2" t="s">
        <v>89</v>
      </c>
    </row>
    <row r="55" spans="1:7" x14ac:dyDescent="0.2">
      <c r="B55" s="2" t="s">
        <v>90</v>
      </c>
    </row>
    <row r="56" spans="1:7" x14ac:dyDescent="0.2">
      <c r="B56" s="2" t="s">
        <v>91</v>
      </c>
    </row>
  </sheetData>
  <phoneticPr fontId="0" type="noConversion"/>
  <pageMargins left="0.78740157499999996" right="0.78740157499999996" top="0.984251969" bottom="0.984251969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E13-029F-42AD-9AF0-3B96ABEEEC1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Flow'!Druckbereich</vt:lpstr>
      <vt:lpstr>'Valuing Ending Inventory'!Druckbereich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Kaufmann Timon</cp:lastModifiedBy>
  <cp:lastPrinted>2004-03-02T21:13:23Z</cp:lastPrinted>
  <dcterms:created xsi:type="dcterms:W3CDTF">2002-09-06T15:43:30Z</dcterms:created>
  <dcterms:modified xsi:type="dcterms:W3CDTF">2026-02-03T12:50:31Z</dcterms:modified>
</cp:coreProperties>
</file>