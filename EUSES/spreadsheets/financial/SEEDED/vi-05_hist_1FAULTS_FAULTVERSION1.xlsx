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2003-04 per credit hour" sheetId="1" state="visible" r:id="rId2"/>
    <sheet name="Spring 2003 per credit hour" sheetId="2" state="visible" r:id="rId3"/>
    <sheet name="Fall 2002 per credit hour" sheetId="3" state="visible" r:id="rId4"/>
  </sheets>
  <definedNames>
    <definedName function="false" hidden="false" localSheetId="0" name="_xlnm.Print_Area" vbProcedure="false">'2003-04 per credit hour'!$A$1:$H$28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<sst xmlns="http://schemas.openxmlformats.org/spreadsheetml/2006/main" count="105" uniqueCount="35">
  <si>
    <t xml:space="preserve">TABLE VI-5</t>
  </si>
  <si>
    <t xml:space="preserve">University of Florida</t>
  </si>
  <si>
    <t xml:space="preserve">2003-2004 Student Tuition &amp; Fees</t>
  </si>
  <si>
    <t xml:space="preserve">Per Credit Hour</t>
  </si>
  <si>
    <t xml:space="preserve">Per Term*</t>
  </si>
  <si>
    <t xml:space="preserve">Undergraduate Courses</t>
  </si>
  <si>
    <t xml:space="preserve">Graduate Courses</t>
  </si>
  <si>
    <t xml:space="preserve">   Law   
 Courses</t>
  </si>
  <si>
    <t xml:space="preserve">Medical</t>
  </si>
  <si>
    <t xml:space="preserve">Dental</t>
  </si>
  <si>
    <t xml:space="preserve">Veterinary</t>
  </si>
  <si>
    <t xml:space="preserve">(0000-4999)</t>
  </si>
  <si>
    <t xml:space="preserve">(5000-9999)</t>
  </si>
  <si>
    <t xml:space="preserve">State Components:      </t>
  </si>
  <si>
    <t xml:space="preserve">     Matriculation </t>
  </si>
  <si>
    <t xml:space="preserve">     Building </t>
  </si>
  <si>
    <t xml:space="preserve">     Capital Improvement Trust Fund</t>
  </si>
  <si>
    <t xml:space="preserve">     Student Financial Aid </t>
  </si>
  <si>
    <t xml:space="preserve">Subtotal State Components </t>
  </si>
  <si>
    <t xml:space="preserve">Local Fees: </t>
  </si>
  <si>
    <t xml:space="preserve">     Activity and Service Fee </t>
  </si>
  <si>
    <t xml:space="preserve">     Athletic Fee </t>
  </si>
  <si>
    <t xml:space="preserve">     Health Fee </t>
  </si>
  <si>
    <t xml:space="preserve">     Transportation Access</t>
  </si>
  <si>
    <t xml:space="preserve">Subtotal Local Fees </t>
  </si>
  <si>
    <t xml:space="preserve"> </t>
  </si>
  <si>
    <t xml:space="preserve">Total Florida Resident Rate/Credit Hour </t>
  </si>
  <si>
    <t xml:space="preserve">Non-Resident:    </t>
  </si>
  <si>
    <t xml:space="preserve">     Non-Resident Student </t>
  </si>
  <si>
    <t xml:space="preserve">     Non-Resident Student Financial Aid </t>
  </si>
  <si>
    <t xml:space="preserve">Total Non-Resident Rate/Credit Hour</t>
  </si>
  <si>
    <t xml:space="preserve">*Medical, Dental, and Veterinary Medical students are assessed tuition and fees for the academic year which are payable in two</t>
  </si>
  <si>
    <t xml:space="preserve">installments, in the Fall and in the Spring.</t>
  </si>
  <si>
    <t xml:space="preserve">SPRING 2003 Student Tuition &amp; Fees</t>
  </si>
  <si>
    <t xml:space="preserve">FALL 2002 Student Tuition &amp; Fees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</si>
</sst>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\$* #,##0.00_);_(\$* \(#,##0.00\);_(\$* \-??_);_(@_)"/>
    <numFmt numFmtId="166" formatCode="[$-409]#,##0.00_);\(#,##0.00\)"/>
    <numFmt numFmtId="167" formatCode="#,##0.00"/>
    <numFmt numFmtId="168" formatCode="0.00"/>
    <numFmt numFmtId="169" formatCode="\$#,##0.00_);[RED]&quot;($&quot;#,##0.00\)"/>
  </numFmts>
  <fonts count="10">
    <font>
      <sz val="10"/>
      <name val="Palatino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Palatino"/>
      <family val="1"/>
    </font>
    <font>
      <b val="true"/>
      <sz val="10"/>
      <name val="Palatino"/>
      <family val="1"/>
    </font>
    <font>
      <b val="true"/>
      <sz val="9"/>
      <name val="Palatino"/>
      <family val="1"/>
    </font>
    <font>
      <b val="true"/>
      <u val="single"/>
      <sz val="10"/>
      <name val="Palatino"/>
      <family val="1"/>
    </font>
    <font>
      <u val="single"/>
      <sz val="10"/>
      <name val="Palatino"/>
      <family val="1"/>
    </font>
    <font>
      <sz val="10"/>
      <name val="Palatino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3366FF"/>
        <bgColor rgb="FF0066CC"/>
      </patternFill>
    </fill>
    <fill>
      <patternFill patternType="solid">
        <fgColor rgb="FFC0C0C0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2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2" borderId="3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9" activeCellId="0" sqref="A49"/>
    </sheetView>
  </sheetViews>
  <sheetFormatPr defaultColWidth="9.32421875" defaultRowHeight="12.75" zeroHeight="false" outlineLevelRow="0" outlineLevelCol="0"/>
  <cols>
    <col collapsed="false" customWidth="true" hidden="false" outlineLevel="0" max="1" min="1" style="1" width="37.4"/>
    <col collapsed="false" customWidth="true" hidden="false" outlineLevel="0" max="2" min="2" style="1" width="18.03"/>
    <col collapsed="false" customWidth="true" hidden="false" outlineLevel="0" max="4" min="3" style="1" width="15.02"/>
    <col collapsed="false" customWidth="true" hidden="false" outlineLevel="0" max="5" min="5" style="1" width="1.82"/>
    <col collapsed="false" customWidth="true" hidden="false" outlineLevel="0" max="6" min="6" style="1" width="12.85"/>
    <col collapsed="false" customWidth="true" hidden="false" outlineLevel="0" max="7" min="7" style="1" width="12.18"/>
    <col collapsed="false" customWidth="true" hidden="false" outlineLevel="0" max="8" min="8" style="1" width="12.68"/>
    <col collapsed="false" customWidth="false" hidden="false" outlineLevel="0" max="257" min="9" style="1" width="9.34"/>
  </cols>
  <sheetData>
    <row r="1" customFormat="false" ht="14.2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4.2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4.25" hidden="false" customHeight="false" outlineLevel="0" collapsed="false">
      <c r="A3" s="2" t="s">
        <v>2</v>
      </c>
      <c r="B3" s="2"/>
      <c r="C3" s="2"/>
      <c r="D3" s="2"/>
      <c r="E3" s="2"/>
      <c r="F3" s="2"/>
      <c r="G3" s="2"/>
      <c r="H3" s="2"/>
    </row>
    <row r="4" customFormat="false" ht="21" hidden="false" customHeight="true" outlineLevel="0" collapsed="false">
      <c r="A4" s="4"/>
      <c r="B4" s="4"/>
      <c r="C4" s="4"/>
      <c r="D4" s="4"/>
      <c r="E4" s="4"/>
      <c r="F4" s="4"/>
      <c r="G4" s="4"/>
      <c r="H4" s="4"/>
    </row>
    <row r="5" customFormat="false" ht="12.75" hidden="false" customHeight="false" outlineLevel="0" collapsed="false">
      <c r="B5" s="5" t="s">
        <v>3</v>
      </c>
      <c r="C5" s="5"/>
      <c r="D5" s="5"/>
      <c r="E5" s="5"/>
      <c r="F5" s="6" t="s">
        <v>4</v>
      </c>
      <c r="G5" s="6"/>
      <c r="H5" s="6"/>
    </row>
    <row r="6" customFormat="false" ht="25.5" hidden="false" customHeight="false" outlineLevel="0" collapsed="false">
      <c r="B6" s="7" t="s">
        <v>5</v>
      </c>
      <c r="C6" s="7" t="s">
        <v>6</v>
      </c>
      <c r="D6" s="7" t="s">
        <v>7</v>
      </c>
      <c r="E6" s="7"/>
      <c r="F6" s="8" t="s">
        <v>8</v>
      </c>
      <c r="G6" s="9" t="s">
        <v>9</v>
      </c>
      <c r="H6" s="9" t="s">
        <v>10</v>
      </c>
    </row>
    <row r="7" customFormat="false" ht="12.75" hidden="false" customHeight="false" outlineLevel="0" collapsed="false">
      <c r="B7" s="10" t="s">
        <v>11</v>
      </c>
      <c r="C7" s="10" t="s">
        <v>12</v>
      </c>
      <c r="F7" s="11"/>
      <c r="G7" s="10"/>
      <c r="H7" s="10"/>
    </row>
    <row r="8" customFormat="false" ht="3" hidden="false" customHeight="true" outlineLevel="0" collapsed="false">
      <c r="A8" s="12"/>
      <c r="B8" s="13"/>
      <c r="C8" s="13"/>
      <c r="D8" s="13"/>
      <c r="E8" s="13"/>
      <c r="F8" s="14"/>
      <c r="G8" s="13"/>
      <c r="H8" s="13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8" hidden="false" customHeight="true" outlineLevel="0" collapsed="false">
      <c r="A9" s="1" t="s">
        <v>13</v>
      </c>
      <c r="F9" s="15"/>
    </row>
    <row r="10" customFormat="false" ht="12.75" hidden="false" customHeight="false" outlineLevel="0" collapsed="false">
      <c r="A10" s="1" t="s">
        <v>14</v>
      </c>
      <c r="B10" s="16" t="n">
        <v>63.41</v>
      </c>
      <c r="C10" s="16" t="n">
        <v>170.63</v>
      </c>
      <c r="D10" s="16" t="n">
        <v>193.92</v>
      </c>
      <c r="F10" s="17" t="n">
        <v>6962.69</v>
      </c>
      <c r="G10" s="16" t="n">
        <v>6054.54</v>
      </c>
      <c r="H10" s="16" t="n">
        <v>5085.75</v>
      </c>
    </row>
    <row r="11" customFormat="false" ht="12.75" hidden="false" customHeight="false" outlineLevel="0" collapsed="false">
      <c r="A11" s="1" t="s">
        <v>15</v>
      </c>
      <c r="B11" s="16" t="n">
        <v>2.32</v>
      </c>
      <c r="C11" s="16" t="n">
        <v>2.32</v>
      </c>
      <c r="D11" s="16" t="n">
        <v>2.32</v>
      </c>
      <c r="F11" s="17" t="n">
        <v>46.4</v>
      </c>
      <c r="G11" s="16" t="n">
        <v>46.4</v>
      </c>
      <c r="H11" s="16" t="n">
        <v>46.4</v>
      </c>
    </row>
    <row r="12" customFormat="false" ht="12.75" hidden="false" customHeight="false" outlineLevel="0" collapsed="false">
      <c r="A12" s="1" t="s">
        <v>16</v>
      </c>
      <c r="B12" s="16" t="n">
        <v>2.44</v>
      </c>
      <c r="C12" s="16" t="n">
        <v>2.44</v>
      </c>
      <c r="D12" s="16" t="n">
        <v>2.44</v>
      </c>
      <c r="F12" s="17" t="n">
        <v>48.8</v>
      </c>
      <c r="G12" s="16" t="n">
        <v>48.8</v>
      </c>
      <c r="H12" s="16" t="n">
        <v>48.8</v>
      </c>
    </row>
    <row r="13" customFormat="false" ht="12.75" hidden="false" customHeight="false" outlineLevel="0" collapsed="false">
      <c r="A13" s="1" t="s">
        <v>17</v>
      </c>
      <c r="B13" s="18" t="n">
        <v>3.17</v>
      </c>
      <c r="C13" s="18" t="n">
        <v>8.53</v>
      </c>
      <c r="D13" s="18" t="n">
        <v>9.69</v>
      </c>
      <c r="F13" s="19" t="n">
        <v>348.13</v>
      </c>
      <c r="G13" s="18" t="n">
        <v>302.72</v>
      </c>
      <c r="H13" s="18" t="n">
        <v>254.28</v>
      </c>
    </row>
    <row r="14" customFormat="false" ht="12.75" hidden="false" customHeight="false" outlineLevel="0" collapsed="false">
      <c r="A14" s="20" t="s">
        <v>18</v>
      </c>
      <c r="B14" s="21" t="n">
        <f aca="false">SUM(B10:B13)</f>
        <v>71.34</v>
      </c>
      <c r="C14" s="21" t="n">
        <f aca="false">SUM(C10:C13)</f>
        <v>183.92</v>
      </c>
      <c r="D14" s="21" t="n">
        <f aca="false">SUM(D10:D13)</f>
        <v>208.37</v>
      </c>
      <c r="F14" s="22" t="n">
        <f aca="false">SUM(F10:F13)</f>
        <v>7406.02</v>
      </c>
      <c r="G14" s="23" t="n">
        <f aca="false">SUM(G10:G13)</f>
        <v>6452.46</v>
      </c>
      <c r="H14" s="23" t="n">
        <f aca="false">SUM(H10:H13)</f>
        <v>5435.23</v>
      </c>
    </row>
    <row r="15" customFormat="false" ht="12.75" hidden="false" customHeight="false" outlineLevel="0" collapsed="false">
      <c r="A15" s="1" t="s">
        <v>19</v>
      </c>
      <c r="F15" s="22"/>
      <c r="G15" s="23"/>
      <c r="H15" s="24"/>
    </row>
    <row r="16" customFormat="false" ht="12.75" hidden="false" customHeight="false" outlineLevel="0" collapsed="false">
      <c r="A16" s="1" t="s">
        <v>20</v>
      </c>
      <c r="B16" s="16" t="n">
        <v>8.16</v>
      </c>
      <c r="C16" s="16" t="n">
        <v>8.16</v>
      </c>
      <c r="D16" s="16" t="n">
        <v>8.16</v>
      </c>
      <c r="F16" s="17" t="n">
        <v>163.2</v>
      </c>
      <c r="G16" s="16" t="n">
        <v>163.2</v>
      </c>
      <c r="H16" s="16" t="n">
        <v>163.2</v>
      </c>
    </row>
    <row r="17" customFormat="false" ht="12.75" hidden="false" customHeight="false" outlineLevel="0" collapsed="false">
      <c r="A17" s="1" t="s">
        <v>21</v>
      </c>
      <c r="B17" s="16" t="n">
        <v>1.9</v>
      </c>
      <c r="C17" s="16" t="n">
        <v>1.9</v>
      </c>
      <c r="D17" s="16" t="n">
        <v>1.9</v>
      </c>
      <c r="E17" s="25"/>
      <c r="F17" s="17" t="n">
        <v>38</v>
      </c>
      <c r="G17" s="16" t="n">
        <v>38</v>
      </c>
      <c r="H17" s="16" t="n">
        <v>38</v>
      </c>
    </row>
    <row r="18" customFormat="false" ht="12.75" hidden="false" customHeight="false" outlineLevel="0" collapsed="false">
      <c r="A18" s="1" t="s">
        <v>22</v>
      </c>
      <c r="B18" s="26" t="n">
        <v>7.69</v>
      </c>
      <c r="C18" s="26" t="n">
        <v>7.69</v>
      </c>
      <c r="D18" s="26" t="n">
        <v>7.69</v>
      </c>
      <c r="F18" s="27" t="n">
        <v>153.8</v>
      </c>
      <c r="G18" s="26" t="n">
        <v>153.8</v>
      </c>
      <c r="H18" s="26" t="n">
        <v>153.8</v>
      </c>
    </row>
    <row r="19" customFormat="false" ht="12.75" hidden="false" customHeight="false" outlineLevel="0" collapsed="false">
      <c r="A19" s="1" t="s">
        <v>23</v>
      </c>
      <c r="B19" s="18" t="n">
        <v>3.59</v>
      </c>
      <c r="C19" s="18" t="n">
        <v>3.59</v>
      </c>
      <c r="D19" s="18" t="n">
        <v>3.59</v>
      </c>
      <c r="F19" s="19" t="n">
        <v>71.8</v>
      </c>
      <c r="G19" s="18" t="n">
        <v>71.8</v>
      </c>
      <c r="H19" s="18" t="n">
        <v>71.8</v>
      </c>
    </row>
    <row r="20" customFormat="false" ht="12.75" hidden="false" customHeight="false" outlineLevel="0" collapsed="false">
      <c r="A20" s="20" t="s">
        <v>24</v>
      </c>
      <c r="B20" s="25" t="n">
        <f aca="false">SUM(B16:B19)</f>
        <v>21.34</v>
      </c>
      <c r="C20" s="25" t="n">
        <f aca="false">SUM(C16:C19)</f>
        <v>21.34</v>
      </c>
      <c r="D20" s="25" t="n">
        <f aca="false">SUM(D16:D19)</f>
        <v>21.34</v>
      </c>
      <c r="E20" s="25" t="s">
        <v>25</v>
      </c>
      <c r="F20" s="28" t="n">
        <f aca="false">SUM(F16:F19)</f>
        <v>426.8</v>
      </c>
      <c r="G20" s="25" t="n">
        <f aca="false">SUM(G16:G19)</f>
        <v>426.8</v>
      </c>
      <c r="H20" s="25" t="n">
        <f aca="false">SUM(H16:H19)</f>
        <v>426.8</v>
      </c>
      <c r="K20" s="29"/>
      <c r="L20" s="29"/>
      <c r="M20" s="29"/>
      <c r="N20" s="29"/>
      <c r="O20" s="29"/>
      <c r="P20" s="29"/>
      <c r="Q20" s="29"/>
      <c r="R20" s="29"/>
      <c r="S20" s="29"/>
      <c r="T20" s="29"/>
    </row>
    <row r="21" customFormat="false" ht="12.75" hidden="false" customHeight="false" outlineLevel="0" collapsed="false">
      <c r="A21" s="30" t="s">
        <v>26</v>
      </c>
      <c r="B21" s="31" t="n">
        <f aca="false">SUM(B14,B20)</f>
        <v>92.68</v>
      </c>
      <c r="C21" s="31" t="n">
        <f aca="false">SUM(C14,C20)</f>
        <v>205.26</v>
      </c>
      <c r="D21" s="31" t="n">
        <f aca="false">SUM(D14,D20)</f>
        <v>229.71</v>
      </c>
      <c r="E21" s="31" t="s">
        <v>25</v>
      </c>
      <c r="F21" s="32" t="n">
        <f aca="false">SUM(F14,F20)</f>
        <v>7832.82</v>
      </c>
      <c r="G21" s="31" t="n">
        <f aca="false">SUM(G14,G20)</f>
        <v>6879.26</v>
      </c>
      <c r="H21" s="31" t="n">
        <f aca="false">SUM(H14,H20)</f>
        <v>5862.03</v>
      </c>
      <c r="I21" s="0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2.75" hidden="false" customHeight="false" outlineLevel="0" collapsed="false">
      <c r="A22" s="1" t="s">
        <v>27</v>
      </c>
      <c r="F22" s="15"/>
      <c r="K22" s="29"/>
      <c r="L22" s="29"/>
      <c r="M22" s="29"/>
      <c r="N22" s="29"/>
      <c r="O22" s="29"/>
      <c r="P22" s="29"/>
      <c r="Q22" s="29"/>
      <c r="R22" s="29"/>
      <c r="S22" s="29"/>
      <c r="T22" s="29"/>
    </row>
    <row r="23" customFormat="false" ht="12.75" hidden="false" customHeight="false" outlineLevel="0" collapsed="false">
      <c r="A23" s="1" t="s">
        <v>28</v>
      </c>
      <c r="B23" s="16" t="n">
        <v>350.1</v>
      </c>
      <c r="C23" s="16" t="n">
        <v>542.17</v>
      </c>
      <c r="D23" s="16" t="n">
        <v>564.73</v>
      </c>
      <c r="F23" s="17" t="n">
        <v>13078.34</v>
      </c>
      <c r="G23" s="16" t="n">
        <v>11372.44</v>
      </c>
      <c r="H23" s="16" t="n">
        <v>9552.86</v>
      </c>
      <c r="K23" s="29"/>
      <c r="L23" s="29"/>
      <c r="M23" s="29"/>
      <c r="N23" s="29"/>
      <c r="O23" s="29"/>
      <c r="P23" s="29"/>
      <c r="Q23" s="29"/>
      <c r="R23" s="29"/>
      <c r="S23" s="29"/>
      <c r="T23" s="29"/>
    </row>
    <row r="24" customFormat="false" ht="12.75" hidden="false" customHeight="false" outlineLevel="0" collapsed="false">
      <c r="A24" s="1" t="s">
        <v>29</v>
      </c>
      <c r="B24" s="18" t="n">
        <v>17.5</v>
      </c>
      <c r="C24" s="18" t="n">
        <v>27.1</v>
      </c>
      <c r="D24" s="18" t="n">
        <v>28.23</v>
      </c>
      <c r="F24" s="19" t="n">
        <v>653.91</v>
      </c>
      <c r="G24" s="18" t="n">
        <v>568.62</v>
      </c>
      <c r="H24" s="18" t="n">
        <v>477.64</v>
      </c>
      <c r="K24" s="29"/>
      <c r="L24" s="29"/>
      <c r="M24" s="29"/>
      <c r="N24" s="29"/>
      <c r="O24" s="29"/>
      <c r="P24" s="29"/>
      <c r="Q24" s="29"/>
      <c r="R24" s="29"/>
      <c r="S24" s="29"/>
      <c r="T24" s="29"/>
    </row>
    <row r="25" customFormat="false" ht="12.75" hidden="false" customHeight="false" outlineLevel="0" collapsed="false">
      <c r="A25" s="30" t="s">
        <v>30</v>
      </c>
      <c r="B25" s="31" t="n">
        <f aca="false">SUM(B21:B24)</f>
        <v>460.28</v>
      </c>
      <c r="C25" s="31" t="n">
        <f aca="false">SUM(C21:C24)</f>
        <v>774.53</v>
      </c>
      <c r="D25" s="31" t="n">
        <f aca="false">SUM(D21:D24)</f>
        <v>822.67</v>
      </c>
      <c r="E25" s="31" t="s">
        <v>25</v>
      </c>
      <c r="F25" s="32" t="n">
        <f aca="false">SUM(F21:F24)</f>
        <v>21565.07</v>
      </c>
      <c r="G25" s="31" t="n">
        <f aca="false">SUM(G21:G24)</f>
        <v>18820.32</v>
      </c>
      <c r="H25" s="31" t="n">
        <f aca="false">SUM(H21:H24)</f>
        <v>15892.53</v>
      </c>
      <c r="I25" s="0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7" customFormat="false" ht="12.75" hidden="false" customHeight="false" outlineLevel="0" collapsed="false">
      <c r="A27" s="1" t="s">
        <v>31</v>
      </c>
    </row>
    <row r="28" customFormat="false" ht="12.75" hidden="false" customHeight="false" outlineLevel="0" collapsed="false">
      <c r="A28" s="1" t="s">
        <v>32</v>
      </c>
    </row>
  </sheetData>
  <mergeCells count="5">
    <mergeCell ref="A1:H1"/>
    <mergeCell ref="A2:H2"/>
    <mergeCell ref="A3:H3"/>
    <mergeCell ref="B5:E5"/>
    <mergeCell ref="F5:H5"/>
  </mergeCells>
  <printOptions headings="false" gridLines="false" gridLinesSet="true" horizontalCentered="true" verticalCentered="false"/>
  <pageMargins left="0" right="0" top="0.5" bottom="0.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3" activeCellId="0" sqref="A33"/>
    </sheetView>
  </sheetViews>
  <sheetFormatPr defaultColWidth="9.32421875" defaultRowHeight="12.75" zeroHeight="false" outlineLevelRow="0" outlineLevelCol="0"/>
  <cols>
    <col collapsed="false" customWidth="true" hidden="false" outlineLevel="0" max="1" min="1" style="1" width="37.4"/>
    <col collapsed="false" customWidth="true" hidden="false" outlineLevel="0" max="2" min="2" style="1" width="18.03"/>
    <col collapsed="false" customWidth="true" hidden="false" outlineLevel="0" max="4" min="3" style="1" width="15.02"/>
    <col collapsed="false" customWidth="true" hidden="false" outlineLevel="0" max="5" min="5" style="1" width="1.82"/>
    <col collapsed="false" customWidth="true" hidden="false" outlineLevel="0" max="6" min="6" style="1" width="12.85"/>
    <col collapsed="false" customWidth="true" hidden="false" outlineLevel="0" max="7" min="7" style="1" width="12.18"/>
    <col collapsed="false" customWidth="true" hidden="false" outlineLevel="0" max="8" min="8" style="1" width="12.68"/>
    <col collapsed="false" customWidth="false" hidden="false" outlineLevel="0" max="257" min="9" style="1" width="9.34"/>
  </cols>
  <sheetData>
    <row r="1" customFormat="false" ht="14.2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4.2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4.25" hidden="false" customHeight="false" outlineLevel="0" collapsed="false">
      <c r="A3" s="2" t="s">
        <v>33</v>
      </c>
      <c r="B3" s="2"/>
      <c r="C3" s="2"/>
      <c r="D3" s="2"/>
      <c r="E3" s="2"/>
      <c r="F3" s="2"/>
      <c r="G3" s="2"/>
      <c r="H3" s="2"/>
    </row>
    <row r="4" customFormat="false" ht="21" hidden="false" customHeight="true" outlineLevel="0" collapsed="false">
      <c r="A4" s="4"/>
      <c r="B4" s="4"/>
      <c r="C4" s="4"/>
      <c r="D4" s="4"/>
      <c r="E4" s="4"/>
      <c r="F4" s="4"/>
      <c r="G4" s="4"/>
      <c r="H4" s="4"/>
    </row>
    <row r="5" customFormat="false" ht="12.75" hidden="false" customHeight="false" outlineLevel="0" collapsed="false">
      <c r="B5" s="5" t="s">
        <v>3</v>
      </c>
      <c r="C5" s="5"/>
      <c r="D5" s="5"/>
      <c r="E5" s="5"/>
      <c r="F5" s="6" t="s">
        <v>4</v>
      </c>
      <c r="G5" s="6"/>
      <c r="H5" s="6"/>
    </row>
    <row r="6" customFormat="false" ht="25.5" hidden="false" customHeight="false" outlineLevel="0" collapsed="false">
      <c r="B6" s="7" t="s">
        <v>5</v>
      </c>
      <c r="C6" s="7" t="s">
        <v>6</v>
      </c>
      <c r="D6" s="7" t="s">
        <v>7</v>
      </c>
      <c r="E6" s="7"/>
      <c r="F6" s="8" t="s">
        <v>8</v>
      </c>
      <c r="G6" s="9" t="s">
        <v>9</v>
      </c>
      <c r="H6" s="9" t="s">
        <v>10</v>
      </c>
    </row>
    <row r="7" customFormat="false" ht="12.75" hidden="false" customHeight="false" outlineLevel="0" collapsed="false">
      <c r="B7" s="10" t="s">
        <v>11</v>
      </c>
      <c r="C7" s="10" t="s">
        <v>12</v>
      </c>
      <c r="F7" s="11"/>
      <c r="G7" s="10"/>
      <c r="H7" s="10"/>
    </row>
    <row r="8" customFormat="false" ht="3" hidden="false" customHeight="true" outlineLevel="0" collapsed="false">
      <c r="A8" s="12"/>
      <c r="B8" s="13"/>
      <c r="C8" s="13"/>
      <c r="D8" s="13"/>
      <c r="E8" s="13"/>
      <c r="F8" s="14"/>
      <c r="G8" s="13"/>
      <c r="H8" s="13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8" hidden="false" customHeight="true" outlineLevel="0" collapsed="false">
      <c r="A9" s="1" t="s">
        <v>13</v>
      </c>
      <c r="F9" s="15"/>
    </row>
    <row r="10" customFormat="false" ht="12.75" hidden="false" customHeight="false" outlineLevel="0" collapsed="false">
      <c r="A10" s="1" t="s">
        <v>14</v>
      </c>
      <c r="B10" s="16" t="n">
        <v>58.45</v>
      </c>
      <c r="C10" s="16" t="n">
        <v>147.33</v>
      </c>
      <c r="D10" s="16" t="n">
        <v>167.45</v>
      </c>
      <c r="F10" s="17" t="n">
        <v>6011.9</v>
      </c>
      <c r="G10" s="16" t="n">
        <v>5227.76</v>
      </c>
      <c r="H10" s="16" t="n">
        <v>4391.26</v>
      </c>
    </row>
    <row r="11" customFormat="false" ht="12.75" hidden="false" customHeight="false" outlineLevel="0" collapsed="false">
      <c r="A11" s="1" t="s">
        <v>15</v>
      </c>
      <c r="B11" s="16" t="n">
        <v>2.32</v>
      </c>
      <c r="C11" s="16" t="n">
        <v>2.32</v>
      </c>
      <c r="D11" s="16" t="n">
        <v>2.32</v>
      </c>
      <c r="F11" s="17" t="n">
        <v>46.4</v>
      </c>
      <c r="G11" s="16" t="n">
        <v>46.4</v>
      </c>
      <c r="H11" s="16" t="n">
        <v>46.4</v>
      </c>
    </row>
    <row r="12" customFormat="false" ht="12.75" hidden="false" customHeight="false" outlineLevel="0" collapsed="false">
      <c r="A12" s="1" t="s">
        <v>16</v>
      </c>
      <c r="B12" s="16" t="n">
        <v>2.44</v>
      </c>
      <c r="C12" s="16" t="n">
        <v>2.44</v>
      </c>
      <c r="D12" s="16" t="n">
        <v>2.44</v>
      </c>
      <c r="F12" s="17" t="n">
        <v>48.8</v>
      </c>
      <c r="G12" s="16" t="n">
        <v>48.8</v>
      </c>
      <c r="H12" s="16" t="n">
        <v>48.8</v>
      </c>
    </row>
    <row r="13" customFormat="false" ht="12.75" hidden="false" customHeight="false" outlineLevel="0" collapsed="false">
      <c r="A13" s="1" t="s">
        <v>17</v>
      </c>
      <c r="B13" s="18" t="n">
        <v>2.92</v>
      </c>
      <c r="C13" s="18" t="n">
        <v>7.36</v>
      </c>
      <c r="D13" s="18" t="n">
        <v>8.37</v>
      </c>
      <c r="F13" s="19" t="n">
        <v>300.59</v>
      </c>
      <c r="G13" s="18" t="n">
        <v>261.39</v>
      </c>
      <c r="H13" s="18" t="n">
        <v>219.55</v>
      </c>
    </row>
    <row r="14" customFormat="false" ht="12.75" hidden="false" customHeight="false" outlineLevel="0" collapsed="false">
      <c r="A14" s="20" t="s">
        <v>18</v>
      </c>
      <c r="B14" s="21" t="n">
        <f aca="false">SUM(B10:B13)</f>
        <v>66.13</v>
      </c>
      <c r="C14" s="21" t="n">
        <f aca="false">SUM(C10:C13)</f>
        <v>159.45</v>
      </c>
      <c r="D14" s="21" t="n">
        <f aca="false">SUM(D10:D13)</f>
        <v>180.58</v>
      </c>
      <c r="F14" s="22" t="n">
        <f aca="false">SUM(F10:F13)</f>
        <v>6407.69</v>
      </c>
      <c r="G14" s="23" t="n">
        <f aca="false">SUM(G10:G13)</f>
        <v>5584.35</v>
      </c>
      <c r="H14" s="23" t="n">
        <f aca="false">SUM(H10:H12)</f>
        <v>4486.46</v>
      </c>
    </row>
    <row r="15" customFormat="false" ht="12.75" hidden="false" customHeight="false" outlineLevel="0" collapsed="false">
      <c r="A15" s="1" t="s">
        <v>19</v>
      </c>
      <c r="F15" s="22"/>
      <c r="G15" s="23"/>
      <c r="H15" s="24"/>
    </row>
    <row r="16" customFormat="false" ht="12.75" hidden="false" customHeight="false" outlineLevel="0" collapsed="false">
      <c r="A16" s="1" t="s">
        <v>20</v>
      </c>
      <c r="B16" s="16" t="n">
        <v>7.68</v>
      </c>
      <c r="C16" s="16" t="n">
        <v>7.68</v>
      </c>
      <c r="D16" s="16" t="n">
        <v>7.68</v>
      </c>
      <c r="F16" s="17" t="n">
        <v>153.6</v>
      </c>
      <c r="G16" s="16" t="n">
        <v>153.6</v>
      </c>
      <c r="H16" s="16" t="n">
        <v>153.6</v>
      </c>
    </row>
    <row r="17" customFormat="false" ht="12.75" hidden="false" customHeight="false" outlineLevel="0" collapsed="false">
      <c r="A17" s="1" t="s">
        <v>21</v>
      </c>
      <c r="B17" s="16" t="n">
        <v>1.9</v>
      </c>
      <c r="C17" s="16" t="n">
        <v>1.9</v>
      </c>
      <c r="D17" s="16" t="n">
        <v>1.9</v>
      </c>
      <c r="E17" s="25"/>
      <c r="F17" s="17" t="n">
        <v>38</v>
      </c>
      <c r="G17" s="16" t="n">
        <v>38</v>
      </c>
      <c r="H17" s="16" t="n">
        <v>38</v>
      </c>
    </row>
    <row r="18" customFormat="false" ht="12.75" hidden="false" customHeight="false" outlineLevel="0" collapsed="false">
      <c r="A18" s="1" t="s">
        <v>22</v>
      </c>
      <c r="B18" s="26" t="n">
        <v>7.32</v>
      </c>
      <c r="C18" s="26" t="n">
        <v>7.32</v>
      </c>
      <c r="D18" s="26" t="n">
        <v>7.32</v>
      </c>
      <c r="F18" s="27" t="n">
        <v>146.4</v>
      </c>
      <c r="G18" s="26" t="n">
        <v>146.4</v>
      </c>
      <c r="H18" s="26" t="n">
        <v>146.4</v>
      </c>
    </row>
    <row r="19" customFormat="false" ht="12.75" hidden="false" customHeight="false" outlineLevel="0" collapsed="false">
      <c r="A19" s="1" t="s">
        <v>23</v>
      </c>
      <c r="B19" s="18" t="n">
        <v>3</v>
      </c>
      <c r="C19" s="18" t="n">
        <v>3</v>
      </c>
      <c r="D19" s="18" t="n">
        <v>3</v>
      </c>
      <c r="F19" s="19" t="n">
        <v>60</v>
      </c>
      <c r="G19" s="18" t="n">
        <v>60</v>
      </c>
      <c r="H19" s="18" t="n">
        <v>60</v>
      </c>
    </row>
    <row r="20" customFormat="false" ht="12.75" hidden="false" customHeight="false" outlineLevel="0" collapsed="false">
      <c r="A20" s="20" t="s">
        <v>24</v>
      </c>
      <c r="B20" s="25" t="n">
        <f aca="false">SUM(B16:B19)</f>
        <v>19.9</v>
      </c>
      <c r="C20" s="25" t="n">
        <f aca="false">SUM(C16:C19)</f>
        <v>19.9</v>
      </c>
      <c r="D20" s="25" t="n">
        <f aca="false">SUM(D16:D19)</f>
        <v>19.9</v>
      </c>
      <c r="E20" s="25" t="s">
        <v>25</v>
      </c>
      <c r="F20" s="28" t="n">
        <f aca="false">SUM(F16:F19)</f>
        <v>398</v>
      </c>
      <c r="G20" s="25" t="n">
        <f aca="false">SUM(G16:G19)</f>
        <v>398</v>
      </c>
      <c r="H20" s="25" t="n">
        <f aca="false">SUM(H16:H19)</f>
        <v>398</v>
      </c>
    </row>
    <row r="21" customFormat="false" ht="12.75" hidden="false" customHeight="false" outlineLevel="0" collapsed="false">
      <c r="A21" s="30" t="s">
        <v>26</v>
      </c>
      <c r="B21" s="31" t="n">
        <f aca="false">SUM(B14,B20)</f>
        <v>86.03</v>
      </c>
      <c r="C21" s="31" t="n">
        <f aca="false">SUM(C14,C20)</f>
        <v>179.35</v>
      </c>
      <c r="D21" s="31" t="n">
        <f aca="false">SUM(D14,D20)</f>
        <v>200.48</v>
      </c>
      <c r="E21" s="31" t="s">
        <v>25</v>
      </c>
      <c r="F21" s="32" t="n">
        <f aca="false">SUM(F14,F20)</f>
        <v>6805.69</v>
      </c>
      <c r="G21" s="31" t="n">
        <f aca="false">SUM(G14,G20)</f>
        <v>5982.35</v>
      </c>
      <c r="H21" s="31" t="n">
        <f aca="false">SUM(H14,H20)</f>
        <v>4884.46</v>
      </c>
      <c r="I21" s="29"/>
      <c r="J21" s="29"/>
      <c r="K21" s="29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2.75" hidden="false" customHeight="false" outlineLevel="0" collapsed="false">
      <c r="A22" s="1" t="s">
        <v>27</v>
      </c>
      <c r="F22" s="15"/>
      <c r="I22" s="29"/>
      <c r="J22" s="29"/>
      <c r="K22" s="29"/>
    </row>
    <row r="23" customFormat="false" ht="12.75" hidden="false" customHeight="false" outlineLevel="0" collapsed="false">
      <c r="A23" s="1" t="s">
        <v>28</v>
      </c>
      <c r="B23" s="16" t="n">
        <v>300.49</v>
      </c>
      <c r="C23" s="16" t="n">
        <v>465.32</v>
      </c>
      <c r="D23" s="16" t="n">
        <v>484.69</v>
      </c>
      <c r="F23" s="17" t="n">
        <v>11456.06</v>
      </c>
      <c r="G23" s="16" t="n">
        <v>10394.88</v>
      </c>
      <c r="H23" s="16" t="n">
        <v>8367.89</v>
      </c>
      <c r="I23" s="29"/>
      <c r="J23" s="29"/>
      <c r="K23" s="29"/>
    </row>
    <row r="24" customFormat="false" ht="12.75" hidden="false" customHeight="false" outlineLevel="0" collapsed="false">
      <c r="A24" s="1" t="s">
        <v>29</v>
      </c>
      <c r="B24" s="18" t="n">
        <v>15.02</v>
      </c>
      <c r="C24" s="18" t="n">
        <v>23.25</v>
      </c>
      <c r="D24" s="18" t="n">
        <v>24.22</v>
      </c>
      <c r="F24" s="19" t="n">
        <v>572.795</v>
      </c>
      <c r="G24" s="18" t="n">
        <v>519.74</v>
      </c>
      <c r="H24" s="18" t="n">
        <v>418.39</v>
      </c>
      <c r="I24" s="29"/>
      <c r="J24" s="29"/>
      <c r="K24" s="29"/>
    </row>
    <row r="25" customFormat="false" ht="12.75" hidden="false" customHeight="false" outlineLevel="0" collapsed="false">
      <c r="A25" s="30" t="s">
        <v>30</v>
      </c>
      <c r="B25" s="31" t="n">
        <f aca="false">SUM(B21:B24)</f>
        <v>401.54</v>
      </c>
      <c r="C25" s="31" t="n">
        <f aca="false">SUM(C21:C24)</f>
        <v>667.92</v>
      </c>
      <c r="D25" s="31" t="n">
        <f aca="false">SUM(D21:D24)</f>
        <v>709.39</v>
      </c>
      <c r="E25" s="31" t="s">
        <v>25</v>
      </c>
      <c r="F25" s="32" t="n">
        <f aca="false">SUM(F21:F24)</f>
        <v>18834.545</v>
      </c>
      <c r="G25" s="31" t="n">
        <f aca="false">SUM(G21:G24)</f>
        <v>16896.97</v>
      </c>
      <c r="H25" s="31" t="n">
        <f aca="false">SUM(H21:H24)</f>
        <v>13670.74</v>
      </c>
      <c r="I25" s="29"/>
      <c r="J25" s="29"/>
      <c r="K25" s="29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7" customFormat="false" ht="12.75" hidden="false" customHeight="false" outlineLevel="0" collapsed="false">
      <c r="A27" s="1" t="s">
        <v>31</v>
      </c>
    </row>
    <row r="28" customFormat="false" ht="12.75" hidden="false" customHeight="false" outlineLevel="0" collapsed="false">
      <c r="A28" s="1" t="s">
        <v>32</v>
      </c>
    </row>
  </sheetData>
  <mergeCells count="5">
    <mergeCell ref="A1:H1"/>
    <mergeCell ref="A2:H2"/>
    <mergeCell ref="A3:H3"/>
    <mergeCell ref="B5:E5"/>
    <mergeCell ref="F5:H5"/>
  </mergeCells>
  <printOptions headings="false" gridLines="false" gridLinesSet="true" horizontalCentered="true" verticalCentered="false"/>
  <pageMargins left="0" right="0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4" activeCellId="0" sqref="A54"/>
    </sheetView>
  </sheetViews>
  <sheetFormatPr defaultColWidth="9.32421875" defaultRowHeight="12.75" zeroHeight="false" outlineLevelRow="0" outlineLevelCol="0"/>
  <cols>
    <col collapsed="false" customWidth="true" hidden="false" outlineLevel="0" max="1" min="1" style="1" width="37.4"/>
    <col collapsed="false" customWidth="true" hidden="false" outlineLevel="0" max="2" min="2" style="1" width="18.03"/>
    <col collapsed="false" customWidth="true" hidden="false" outlineLevel="0" max="4" min="3" style="1" width="15.02"/>
    <col collapsed="false" customWidth="true" hidden="false" outlineLevel="0" max="5" min="5" style="1" width="1.82"/>
    <col collapsed="false" customWidth="true" hidden="false" outlineLevel="0" max="6" min="6" style="1" width="12.85"/>
    <col collapsed="false" customWidth="true" hidden="false" outlineLevel="0" max="7" min="7" style="1" width="12.18"/>
    <col collapsed="false" customWidth="true" hidden="false" outlineLevel="0" max="8" min="8" style="1" width="12.68"/>
    <col collapsed="false" customWidth="false" hidden="false" outlineLevel="0" max="257" min="9" style="1" width="9.34"/>
  </cols>
  <sheetData>
    <row r="1" customFormat="false" ht="14.2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4.2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4.25" hidden="false" customHeight="false" outlineLevel="0" collapsed="false">
      <c r="A3" s="2" t="s">
        <v>34</v>
      </c>
      <c r="B3" s="2"/>
      <c r="C3" s="2"/>
      <c r="D3" s="2"/>
      <c r="E3" s="2"/>
      <c r="F3" s="2"/>
      <c r="G3" s="2"/>
      <c r="H3" s="2"/>
    </row>
    <row r="4" customFormat="false" ht="21" hidden="false" customHeight="true" outlineLevel="0" collapsed="false">
      <c r="A4" s="4"/>
      <c r="B4" s="4"/>
      <c r="C4" s="4"/>
      <c r="D4" s="4"/>
      <c r="E4" s="4"/>
      <c r="F4" s="4"/>
      <c r="G4" s="4"/>
      <c r="H4" s="4"/>
    </row>
    <row r="5" customFormat="false" ht="12.75" hidden="false" customHeight="false" outlineLevel="0" collapsed="false">
      <c r="B5" s="5" t="s">
        <v>3</v>
      </c>
      <c r="C5" s="5"/>
      <c r="D5" s="5"/>
      <c r="E5" s="5"/>
      <c r="F5" s="6" t="s">
        <v>4</v>
      </c>
      <c r="G5" s="6"/>
      <c r="H5" s="6"/>
    </row>
    <row r="6" customFormat="false" ht="25.5" hidden="false" customHeight="false" outlineLevel="0" collapsed="false">
      <c r="B6" s="7" t="s">
        <v>5</v>
      </c>
      <c r="C6" s="7" t="s">
        <v>6</v>
      </c>
      <c r="D6" s="7" t="s">
        <v>7</v>
      </c>
      <c r="E6" s="7"/>
      <c r="F6" s="8" t="s">
        <v>8</v>
      </c>
      <c r="G6" s="9" t="s">
        <v>9</v>
      </c>
      <c r="H6" s="9" t="s">
        <v>10</v>
      </c>
    </row>
    <row r="7" customFormat="false" ht="12.75" hidden="false" customHeight="false" outlineLevel="0" collapsed="false">
      <c r="B7" s="10" t="s">
        <v>11</v>
      </c>
      <c r="C7" s="10" t="s">
        <v>12</v>
      </c>
      <c r="F7" s="11"/>
      <c r="G7" s="10"/>
      <c r="H7" s="10"/>
    </row>
    <row r="8" customFormat="false" ht="3" hidden="false" customHeight="true" outlineLevel="0" collapsed="false">
      <c r="A8" s="12"/>
      <c r="B8" s="13"/>
      <c r="C8" s="13"/>
      <c r="D8" s="13"/>
      <c r="E8" s="13"/>
      <c r="F8" s="14"/>
      <c r="G8" s="13"/>
      <c r="H8" s="13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</row>
    <row r="9" customFormat="false" ht="18" hidden="false" customHeight="true" outlineLevel="0" collapsed="false">
      <c r="A9" s="1" t="s">
        <v>13</v>
      </c>
      <c r="F9" s="15"/>
    </row>
    <row r="10" customFormat="false" ht="12.75" hidden="false" customHeight="false" outlineLevel="0" collapsed="false">
      <c r="A10" s="1" t="s">
        <v>14</v>
      </c>
      <c r="B10" s="16" t="n">
        <v>58.45</v>
      </c>
      <c r="C10" s="16" t="n">
        <v>147.33</v>
      </c>
      <c r="D10" s="16" t="n">
        <v>167.45</v>
      </c>
      <c r="F10" s="17" t="n">
        <v>6011.9</v>
      </c>
      <c r="G10" s="16" t="n">
        <v>5227.77</v>
      </c>
      <c r="H10" s="16" t="n">
        <v>4391.26</v>
      </c>
    </row>
    <row r="11" customFormat="false" ht="12.75" hidden="false" customHeight="false" outlineLevel="0" collapsed="false">
      <c r="A11" s="1" t="s">
        <v>15</v>
      </c>
      <c r="B11" s="16" t="n">
        <v>2.32</v>
      </c>
      <c r="C11" s="16" t="n">
        <v>2.32</v>
      </c>
      <c r="D11" s="16" t="n">
        <v>2.32</v>
      </c>
      <c r="F11" s="17" t="n">
        <v>46.4</v>
      </c>
      <c r="G11" s="16" t="n">
        <v>46.4</v>
      </c>
      <c r="H11" s="16" t="n">
        <v>46.4</v>
      </c>
    </row>
    <row r="12" customFormat="false" ht="12.75" hidden="false" customHeight="false" outlineLevel="0" collapsed="false">
      <c r="A12" s="1" t="s">
        <v>16</v>
      </c>
      <c r="B12" s="16" t="n">
        <v>2.44</v>
      </c>
      <c r="C12" s="16" t="n">
        <v>2.44</v>
      </c>
      <c r="D12" s="16" t="n">
        <v>2.44</v>
      </c>
      <c r="F12" s="17" t="n">
        <v>48.8</v>
      </c>
      <c r="G12" s="16" t="n">
        <v>48.8</v>
      </c>
      <c r="H12" s="16" t="n">
        <v>48.8</v>
      </c>
    </row>
    <row r="13" customFormat="false" ht="12.75" hidden="false" customHeight="false" outlineLevel="0" collapsed="false">
      <c r="A13" s="1" t="s">
        <v>17</v>
      </c>
      <c r="B13" s="18" t="n">
        <v>2.92</v>
      </c>
      <c r="C13" s="18" t="n">
        <v>7.36</v>
      </c>
      <c r="D13" s="18" t="n">
        <v>8.37</v>
      </c>
      <c r="F13" s="19" t="n">
        <v>300.59</v>
      </c>
      <c r="G13" s="18" t="n">
        <v>261.38</v>
      </c>
      <c r="H13" s="18" t="n">
        <v>219.555</v>
      </c>
    </row>
    <row r="14" customFormat="false" ht="12.75" hidden="false" customHeight="false" outlineLevel="0" collapsed="false">
      <c r="A14" s="20" t="s">
        <v>18</v>
      </c>
      <c r="B14" s="21" t="n">
        <f aca="false">SUM(B10:B13)</f>
        <v>66.13</v>
      </c>
      <c r="C14" s="21" t="n">
        <f aca="false">SUM(C10:C13)</f>
        <v>159.45</v>
      </c>
      <c r="D14" s="21" t="n">
        <f aca="false">SUM(D10:D13)</f>
        <v>180.58</v>
      </c>
      <c r="F14" s="22" t="n">
        <f aca="false">SUM(F10:F13)</f>
        <v>6407.69</v>
      </c>
      <c r="G14" s="23" t="n">
        <f aca="false">SUM(G10:G13)</f>
        <v>5584.35</v>
      </c>
      <c r="H14" s="23" t="n">
        <f aca="false">SUM(H10:H13)</f>
        <v>4706.015</v>
      </c>
    </row>
    <row r="15" customFormat="false" ht="12.75" hidden="false" customHeight="false" outlineLevel="0" collapsed="false">
      <c r="A15" s="1" t="s">
        <v>19</v>
      </c>
      <c r="F15" s="22"/>
      <c r="G15" s="23"/>
      <c r="H15" s="24"/>
    </row>
    <row r="16" customFormat="false" ht="12.75" hidden="false" customHeight="false" outlineLevel="0" collapsed="false">
      <c r="A16" s="1" t="s">
        <v>20</v>
      </c>
      <c r="B16" s="16" t="n">
        <v>7.68</v>
      </c>
      <c r="C16" s="16" t="n">
        <v>7.68</v>
      </c>
      <c r="D16" s="16" t="n">
        <v>7.68</v>
      </c>
      <c r="F16" s="17" t="n">
        <v>153.6</v>
      </c>
      <c r="G16" s="16" t="n">
        <v>153.6</v>
      </c>
      <c r="H16" s="16" t="n">
        <v>153.6</v>
      </c>
    </row>
    <row r="17" customFormat="false" ht="12.75" hidden="false" customHeight="false" outlineLevel="0" collapsed="false">
      <c r="A17" s="1" t="s">
        <v>21</v>
      </c>
      <c r="B17" s="16" t="n">
        <v>1.9</v>
      </c>
      <c r="C17" s="16" t="n">
        <v>1.9</v>
      </c>
      <c r="D17" s="16" t="n">
        <v>1.9</v>
      </c>
      <c r="E17" s="25"/>
      <c r="F17" s="17" t="n">
        <v>38</v>
      </c>
      <c r="G17" s="16" t="n">
        <v>38</v>
      </c>
      <c r="H17" s="16" t="n">
        <v>38</v>
      </c>
    </row>
    <row r="18" customFormat="false" ht="12.75" hidden="false" customHeight="false" outlineLevel="0" collapsed="false">
      <c r="A18" s="1" t="s">
        <v>22</v>
      </c>
      <c r="B18" s="26" t="n">
        <v>7.32</v>
      </c>
      <c r="C18" s="26" t="n">
        <v>7.32</v>
      </c>
      <c r="D18" s="26" t="n">
        <v>7.32</v>
      </c>
      <c r="F18" s="27" t="n">
        <v>146.4</v>
      </c>
      <c r="G18" s="26" t="n">
        <v>146.4</v>
      </c>
      <c r="H18" s="26" t="n">
        <v>146.4</v>
      </c>
    </row>
    <row r="19" customFormat="false" ht="12.75" hidden="false" customHeight="false" outlineLevel="0" collapsed="false">
      <c r="A19" s="1" t="s">
        <v>23</v>
      </c>
      <c r="B19" s="18" t="n">
        <v>3</v>
      </c>
      <c r="C19" s="18" t="n">
        <v>3</v>
      </c>
      <c r="D19" s="18" t="n">
        <v>3</v>
      </c>
      <c r="F19" s="19" t="n">
        <v>60</v>
      </c>
      <c r="G19" s="18" t="n">
        <v>60</v>
      </c>
      <c r="H19" s="18" t="n">
        <v>60</v>
      </c>
    </row>
    <row r="20" customFormat="false" ht="12.75" hidden="false" customHeight="false" outlineLevel="0" collapsed="false">
      <c r="A20" s="20" t="s">
        <v>24</v>
      </c>
      <c r="B20" s="25" t="n">
        <f aca="false">SUM(B16:B19)</f>
        <v>19.9</v>
      </c>
      <c r="C20" s="25" t="n">
        <f aca="false">SUM(C16:C19)</f>
        <v>19.9</v>
      </c>
      <c r="D20" s="25" t="n">
        <f aca="false">SUM(D16:D19)</f>
        <v>19.9</v>
      </c>
      <c r="E20" s="25" t="s">
        <v>25</v>
      </c>
      <c r="F20" s="28" t="n">
        <f aca="false">SUM(F16:F19)</f>
        <v>398</v>
      </c>
      <c r="G20" s="25" t="n">
        <f aca="false">SUM(G16:G19)</f>
        <v>398</v>
      </c>
      <c r="H20" s="25" t="n">
        <f aca="false">SUM(H16:H19)</f>
        <v>398</v>
      </c>
    </row>
    <row r="21" customFormat="false" ht="12.75" hidden="false" customHeight="false" outlineLevel="0" collapsed="false">
      <c r="A21" s="30" t="s">
        <v>26</v>
      </c>
      <c r="B21" s="31" t="n">
        <f aca="false">SUM(B14,B20)</f>
        <v>86.03</v>
      </c>
      <c r="C21" s="31" t="n">
        <f aca="false">SUM(C14,C20)</f>
        <v>179.35</v>
      </c>
      <c r="D21" s="31" t="n">
        <f aca="false">SUM(D14,D20)</f>
        <v>200.48</v>
      </c>
      <c r="E21" s="31" t="s">
        <v>25</v>
      </c>
      <c r="F21" s="32" t="n">
        <f aca="false">SUM(F14,F20)</f>
        <v>6805.69</v>
      </c>
      <c r="G21" s="31" t="n">
        <f aca="false">SUM(G14,G20)</f>
        <v>5982.35</v>
      </c>
      <c r="H21" s="31" t="n">
        <f aca="false">SUM(H14,H20)</f>
        <v>5104.015</v>
      </c>
      <c r="I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2.75" hidden="false" customHeight="false" outlineLevel="0" collapsed="false">
      <c r="A22" s="1" t="s">
        <v>27</v>
      </c>
      <c r="F22" s="15"/>
    </row>
    <row r="23" customFormat="false" ht="12.75" hidden="false" customHeight="false" outlineLevel="0" collapsed="false">
      <c r="A23" s="1" t="s">
        <v>28</v>
      </c>
      <c r="B23" s="16" t="n">
        <v>300.49</v>
      </c>
      <c r="C23" s="16" t="n">
        <v>465.32</v>
      </c>
      <c r="D23" s="16" t="n">
        <v>484.69</v>
      </c>
      <c r="F23" s="17" t="n">
        <v>11456.07</v>
      </c>
      <c r="G23" s="16" t="n">
        <v>10394.885</v>
      </c>
      <c r="H23" s="16" t="n">
        <v>8367.89</v>
      </c>
    </row>
    <row r="24" customFormat="false" ht="12.75" hidden="false" customHeight="false" outlineLevel="0" collapsed="false">
      <c r="A24" s="1" t="s">
        <v>29</v>
      </c>
      <c r="B24" s="18" t="n">
        <v>15.02</v>
      </c>
      <c r="C24" s="18" t="n">
        <v>23.25</v>
      </c>
      <c r="D24" s="18" t="n">
        <v>24.22</v>
      </c>
      <c r="F24" s="19" t="n">
        <v>572.785</v>
      </c>
      <c r="G24" s="18" t="n">
        <v>519.74</v>
      </c>
      <c r="H24" s="18" t="n">
        <v>418.39</v>
      </c>
    </row>
    <row r="25" customFormat="false" ht="12.75" hidden="false" customHeight="false" outlineLevel="0" collapsed="false">
      <c r="A25" s="30" t="s">
        <v>30</v>
      </c>
      <c r="B25" s="31" t="n">
        <f aca="false">SUM(B21:B24)</f>
        <v>401.54</v>
      </c>
      <c r="C25" s="31" t="n">
        <f aca="false">SUM(C21:C24)</f>
        <v>667.92</v>
      </c>
      <c r="D25" s="31" t="n">
        <f aca="false">SUM(D21:D24)</f>
        <v>709.39</v>
      </c>
      <c r="E25" s="31" t="s">
        <v>25</v>
      </c>
      <c r="F25" s="32" t="n">
        <f aca="false">SUM(F21:F24)</f>
        <v>18834.545</v>
      </c>
      <c r="G25" s="31" t="n">
        <f aca="false">SUM(G21:G24)</f>
        <v>16896.975</v>
      </c>
      <c r="H25" s="31" t="n">
        <f aca="false">SUM(H21:H24)</f>
        <v>13890.295</v>
      </c>
      <c r="I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7" customFormat="false" ht="12.75" hidden="false" customHeight="false" outlineLevel="0" collapsed="false">
      <c r="A27" s="1" t="s">
        <v>31</v>
      </c>
    </row>
    <row r="28" customFormat="false" ht="12.75" hidden="false" customHeight="false" outlineLevel="0" collapsed="false">
      <c r="A28" s="1" t="s">
        <v>32</v>
      </c>
    </row>
  </sheetData>
  <mergeCells count="5">
    <mergeCell ref="A1:H1"/>
    <mergeCell ref="A2:H2"/>
    <mergeCell ref="A3:H3"/>
    <mergeCell ref="B5:E5"/>
    <mergeCell ref="F5:H5"/>
  </mergeCells>
  <printOptions headings="false" gridLines="false" gridLinesSet="true" horizontalCentered="true" verticalCentered="false"/>
  <pageMargins left="0" right="0" top="0.984027777777778" bottom="0.98402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2001-01-03T21:02:03Z</dcterms:created>
  <dc:creator>Cindy King</dc:creator>
  <dc:description/>
  <dc:language>en-US</dc:language>
  <cp:lastModifiedBy>Cindy V. King</cp:lastModifiedBy>
  <cp:lastPrinted>2003-06-26T20:46:41Z</cp:lastPrinted>
  <dcterms:modified xsi:type="dcterms:W3CDTF">2003-06-26T20:46:47Z</dcterms:modified>
  <cp:revision>0</cp:revision>
  <dc:subject/>
  <dc:title/>
</cp:coreProperties>
</file>