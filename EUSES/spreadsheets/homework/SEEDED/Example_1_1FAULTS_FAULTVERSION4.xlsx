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Chart of Quarter Grades" sheetId="4" state="visible" r:id="rId5"/>
  </sheets>
  <definedNames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<sst xmlns="http://schemas.openxmlformats.org/spreadsheetml/2006/main" count="64" uniqueCount="45">
  <si>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Assignment:</t>
  </si>
  <si>
    <t xml:space="preserve">Conservation Essay</t>
  </si>
  <si>
    <t xml:space="preserve">Ch. 8 Questions</t>
  </si>
  <si>
    <t xml:space="preserve">Ch. 9 Summary</t>
  </si>
  <si>
    <t xml:space="preserve">Problems # 2-20</t>
  </si>
  <si>
    <t xml:space="preserve">Collage</t>
  </si>
  <si>
    <t xml:space="preserve">Personal Shield</t>
  </si>
  <si>
    <t xml:space="preserve">Total</t>
  </si>
  <si>
    <t xml:space="preserve">Points Possible:</t>
  </si>
  <si>
    <t xml:space="preserve">Brantley</t>
  </si>
  <si>
    <t xml:space="preserve">Catalini 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</si>
  <si>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</si>
  <si>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</si>
  <si>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</si>
  <si>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</si>
  <si>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</si>
  <si>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</si>
  <si>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</si>
  <si>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Category: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</si>
  <si>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</si>
  <si>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</si>
  <si>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</si>
  <si>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</si>
  <si>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</si>
  <si>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Average</t>
  </si>
  <si>
    <t xml:space="preserve">Value: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</si>
  <si>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</si>
  <si>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</si>
  <si>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</si>
  <si>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</si>
  <si>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</si>
  <si>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</si>
  <si>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</si>
  <si>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</si>
  <si>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</si>
  <si>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 </t>
  </si>
  <si>
    <t xml:space="preserve">Daya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</si>
  <si>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</si>
  <si>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</si>
  <si>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</si>
  <si>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</si>
  <si>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</si>
  <si>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 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</si>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</sst>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"/>
    <numFmt numFmtId="168" formatCode="000\-00\-000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b val="true"/>
      <sz val="11.75"/>
      <color rgb="FF000000"/>
      <name val="Arial"/>
      <family val="2"/>
    </font>
    <font>
      <sz val="9.7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75" spc="-1" strike="noStrike">
                <a:solidFill>
                  <a:srgbClr val="000000"/>
                </a:solidFill>
                <a:latin typeface="Arial"/>
              </a:defRPr>
            </a:pPr>
            <a:r>
              <a:rPr b="1" sz="1175" spc="-1" strike="noStrike">
                <a:solidFill>
                  <a:srgbClr val="000000"/>
                </a:solidFill>
                <a:latin typeface="Arial"/>
              </a:rPr>
              <a:t>Quarter Grades 2001-2002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98.3666666666667</c:v>
                </c:pt>
                <c:pt idx="1">
                  <c:v>94.7666666666667</c:v>
                </c:pt>
                <c:pt idx="2">
                  <c:v>66.5333333333333</c:v>
                </c:pt>
                <c:pt idx="3">
                  <c:v>96.5666666666667</c:v>
                </c:pt>
                <c:pt idx="4">
                  <c:v>90.5333333333333</c:v>
                </c:pt>
                <c:pt idx="5">
                  <c:v>97.1333333333333</c:v>
                </c:pt>
                <c:pt idx="6">
                  <c:v>82.3333333333333</c:v>
                </c:pt>
                <c:pt idx="7">
                  <c:v>98.7333333333333</c:v>
                </c:pt>
                <c:pt idx="8">
                  <c:v>93.4333333333333</c:v>
                </c:pt>
              </c:numCache>
            </c:numRef>
          </c:val>
        </c:ser>
        <c:gapWidth val="150"/>
        <c:overlap val="0"/>
        <c:axId val="68372784"/>
        <c:axId val="62649932"/>
      </c:barChart>
      <c:catAx>
        <c:axId val="6837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7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2649932"/>
        <c:crossesAt val="0"/>
        <c:auto val="1"/>
        <c:lblAlgn val="ctr"/>
        <c:lblOffset val="100"/>
        <c:noMultiLvlLbl val="0"/>
      </c:catAx>
      <c:valAx>
        <c:axId val="6264993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7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8372784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t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975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1638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4"/>
    <col collapsed="false" customWidth="true" hidden="false" outlineLevel="0" max="2" min="2" style="2" width="18.68"/>
    <col collapsed="false" customWidth="true" hidden="false" outlineLevel="0" max="3" min="3" style="2" width="15.12"/>
    <col collapsed="false" customWidth="true" hidden="false" outlineLevel="0" max="4" min="4" style="2" width="14.97"/>
    <col collapsed="false" customWidth="true" hidden="false" outlineLevel="0" max="5" min="5" style="2" width="15.4"/>
    <col collapsed="false" customWidth="true" hidden="false" outlineLevel="0" max="6" min="6" style="2" width="7.98"/>
    <col collapsed="false" customWidth="true" hidden="false" outlineLevel="0" max="7" min="7" style="2" width="15.54"/>
    <col collapsed="false" customWidth="true" hidden="false" outlineLevel="0" max="8" min="8" style="2" width="5.55"/>
    <col collapsed="false" customWidth="false" hidden="false" outlineLevel="0" max="257" min="9" style="2" width="9.13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customFormat="false" ht="13.5" hidden="false" customHeight="false" outlineLevel="0" collapsed="false">
      <c r="A2" s="6" t="s">
        <v>8</v>
      </c>
      <c r="B2" s="7" t="n">
        <v>100</v>
      </c>
      <c r="C2" s="7" t="n">
        <v>25</v>
      </c>
      <c r="D2" s="7" t="n">
        <v>25</v>
      </c>
      <c r="E2" s="7" t="n">
        <v>25</v>
      </c>
      <c r="F2" s="7" t="n">
        <v>50</v>
      </c>
      <c r="G2" s="7" t="n">
        <v>75</v>
      </c>
      <c r="H2" s="8" t="n">
        <f aca="false">SUM(B2:G2)</f>
        <v>300</v>
      </c>
    </row>
    <row r="3" customFormat="false" ht="12.75" hidden="false" customHeight="false" outlineLevel="0" collapsed="false">
      <c r="A3" s="9" t="s">
        <v>9</v>
      </c>
      <c r="B3" s="10" t="n">
        <v>95</v>
      </c>
      <c r="C3" s="10" t="n">
        <v>23</v>
      </c>
      <c r="D3" s="10" t="n">
        <v>25</v>
      </c>
      <c r="E3" s="10" t="n">
        <v>20</v>
      </c>
      <c r="F3" s="10" t="n">
        <v>50</v>
      </c>
      <c r="G3" s="10" t="n">
        <v>75</v>
      </c>
      <c r="H3" s="10" t="n">
        <f aca="false">SUM(B3:G3)</f>
        <v>288</v>
      </c>
    </row>
    <row r="4" customFormat="false" ht="12.75" hidden="false" customHeight="false" outlineLevel="0" collapsed="false">
      <c r="A4" s="11" t="s">
        <v>10</v>
      </c>
      <c r="B4" s="12" t="n">
        <v>84</v>
      </c>
      <c r="C4" s="12" t="n">
        <v>23</v>
      </c>
      <c r="D4" s="12" t="n">
        <v>25</v>
      </c>
      <c r="E4" s="12" t="n">
        <v>23</v>
      </c>
      <c r="F4" s="12" t="n">
        <v>45</v>
      </c>
      <c r="G4" s="12" t="n">
        <v>69</v>
      </c>
      <c r="H4" s="12" t="n">
        <f aca="false">SUM(B4:G4)</f>
        <v>269</v>
      </c>
    </row>
    <row r="5" customFormat="false" ht="12.75" hidden="false" customHeight="false" outlineLevel="0" collapsed="false">
      <c r="A5" s="11" t="s">
        <v>11</v>
      </c>
      <c r="B5" s="12" t="n">
        <v>81</v>
      </c>
      <c r="C5" s="12" t="n">
        <v>21</v>
      </c>
      <c r="D5" s="12" t="n">
        <v>25</v>
      </c>
      <c r="E5" s="12" t="n">
        <v>25</v>
      </c>
      <c r="F5" s="12" t="n">
        <v>50</v>
      </c>
      <c r="G5" s="12" t="n">
        <v>71</v>
      </c>
      <c r="H5" s="12" t="n">
        <f aca="false">COUNT(B5:G5)</f>
        <v>6</v>
      </c>
    </row>
    <row r="6" customFormat="false" ht="12.75" hidden="false" customHeight="false" outlineLevel="0" collapsed="false">
      <c r="A6" s="11" t="s">
        <v>12</v>
      </c>
      <c r="B6" s="12" t="n">
        <v>89</v>
      </c>
      <c r="C6" s="12" t="n">
        <v>24</v>
      </c>
      <c r="D6" s="12" t="n">
        <v>25</v>
      </c>
      <c r="E6" s="12" t="n">
        <v>19</v>
      </c>
      <c r="F6" s="12" t="n">
        <v>49</v>
      </c>
      <c r="G6" s="12" t="n">
        <v>75</v>
      </c>
      <c r="H6" s="12" t="n">
        <f aca="false">SUM(B6:G6)</f>
        <v>281</v>
      </c>
    </row>
    <row r="7" customFormat="false" ht="12.75" hidden="false" customHeight="false" outlineLevel="0" collapsed="false">
      <c r="A7" s="11" t="s">
        <v>13</v>
      </c>
      <c r="B7" s="12" t="n">
        <v>78</v>
      </c>
      <c r="C7" s="12" t="n">
        <v>22</v>
      </c>
      <c r="D7" s="12" t="n">
        <v>21</v>
      </c>
      <c r="E7" s="12" t="n">
        <v>20</v>
      </c>
      <c r="F7" s="12" t="n">
        <v>40</v>
      </c>
      <c r="G7" s="12" t="n">
        <v>73</v>
      </c>
      <c r="H7" s="12" t="n">
        <f aca="false">SUM(B7:G7)</f>
        <v>254</v>
      </c>
    </row>
    <row r="8" customFormat="false" ht="12.75" hidden="false" customHeight="false" outlineLevel="0" collapsed="false">
      <c r="A8" s="11" t="s">
        <v>14</v>
      </c>
      <c r="B8" s="12" t="n">
        <v>87</v>
      </c>
      <c r="C8" s="12" t="n">
        <v>25</v>
      </c>
      <c r="D8" s="12" t="n">
        <v>25</v>
      </c>
      <c r="E8" s="12" t="n">
        <v>20</v>
      </c>
      <c r="F8" s="12" t="n">
        <v>50</v>
      </c>
      <c r="G8" s="12" t="n">
        <v>70</v>
      </c>
      <c r="H8" s="12" t="n">
        <f aca="false">SUM(B8:G8)</f>
        <v>277</v>
      </c>
    </row>
    <row r="9" customFormat="false" ht="12.75" hidden="false" customHeight="false" outlineLevel="0" collapsed="false">
      <c r="A9" s="11" t="s">
        <v>15</v>
      </c>
      <c r="B9" s="12" t="n">
        <v>80</v>
      </c>
      <c r="C9" s="12" t="n">
        <v>21</v>
      </c>
      <c r="D9" s="12" t="n">
        <v>23</v>
      </c>
      <c r="E9" s="12" t="n">
        <v>20</v>
      </c>
      <c r="F9" s="12" t="n">
        <v>42</v>
      </c>
      <c r="G9" s="12" t="n">
        <v>65</v>
      </c>
      <c r="H9" s="12" t="n">
        <f aca="false">SUM(B9:G9)</f>
        <v>251</v>
      </c>
    </row>
    <row r="10" customFormat="false" ht="12.75" hidden="false" customHeight="false" outlineLevel="0" collapsed="false">
      <c r="A10" s="11" t="s">
        <v>16</v>
      </c>
      <c r="B10" s="12" t="n">
        <v>94</v>
      </c>
      <c r="C10" s="12" t="n">
        <v>25</v>
      </c>
      <c r="D10" s="12" t="n">
        <v>25</v>
      </c>
      <c r="E10" s="12" t="n">
        <v>25</v>
      </c>
      <c r="F10" s="12" t="n">
        <v>50</v>
      </c>
      <c r="G10" s="12" t="n">
        <v>72</v>
      </c>
      <c r="H10" s="12" t="n">
        <f aca="false">SUM(B10:G10)</f>
        <v>291</v>
      </c>
    </row>
    <row r="11" customFormat="false" ht="12.75" hidden="false" customHeight="false" outlineLevel="0" collapsed="false">
      <c r="A11" s="11" t="s">
        <v>17</v>
      </c>
      <c r="B11" s="12" t="n">
        <v>80</v>
      </c>
      <c r="C11" s="12" t="n">
        <v>23</v>
      </c>
      <c r="D11" s="12" t="n">
        <v>20</v>
      </c>
      <c r="E11" s="12" t="n">
        <v>25</v>
      </c>
      <c r="F11" s="12" t="n">
        <v>48</v>
      </c>
      <c r="G11" s="12" t="n">
        <v>73</v>
      </c>
      <c r="H11" s="12" t="n">
        <f aca="false">SUM(B11:G11)</f>
        <v>269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4"/>
    <col collapsed="false" customWidth="true" hidden="false" outlineLevel="0" max="2" min="2" style="2" width="5.55"/>
    <col collapsed="false" customWidth="true" hidden="false" outlineLevel="0" max="3" min="3" style="2" width="8.13"/>
    <col collapsed="false" customWidth="true" hidden="false" outlineLevel="0" max="4" min="4" style="2" width="8.27"/>
    <col collapsed="false" customWidth="true" hidden="false" outlineLevel="0" max="5" min="5" style="2" width="10.69"/>
    <col collapsed="false" customWidth="true" hidden="false" outlineLevel="0" max="6" min="6" style="2" width="15.68"/>
    <col collapsed="false" customWidth="true" hidden="false" outlineLevel="0" max="7" min="7" style="2" width="18.12"/>
    <col collapsed="false" customWidth="false" hidden="false" outlineLevel="0" max="257" min="8" style="2" width="9.13"/>
  </cols>
  <sheetData>
    <row r="1" customFormat="false" ht="12.75" hidden="false" customHeight="false" outlineLevel="0" collapsed="false">
      <c r="A1" s="3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5" t="s">
        <v>24</v>
      </c>
    </row>
    <row r="2" customFormat="false" ht="12.75" hidden="false" customHeight="false" outlineLevel="0" collapsed="false">
      <c r="A2" s="13" t="s">
        <v>25</v>
      </c>
      <c r="B2" s="14" t="n">
        <v>0.3</v>
      </c>
      <c r="C2" s="14" t="n">
        <v>0.1</v>
      </c>
      <c r="D2" s="14" t="n">
        <v>0.4</v>
      </c>
      <c r="E2" s="14" t="n">
        <v>0.2</v>
      </c>
      <c r="F2" s="14" t="n">
        <f aca="false">SUM(B2:E2)</f>
        <v>1</v>
      </c>
      <c r="G2" s="15"/>
    </row>
    <row r="3" customFormat="false" ht="13.5" hidden="false" customHeight="false" outlineLevel="0" collapsed="false">
      <c r="A3" s="6" t="s">
        <v>8</v>
      </c>
      <c r="B3" s="7" t="n">
        <v>300</v>
      </c>
      <c r="C3" s="7" t="n">
        <v>300</v>
      </c>
      <c r="D3" s="7" t="n">
        <v>300</v>
      </c>
      <c r="E3" s="7" t="n">
        <f aca="false">'Q4 Homework'!H2</f>
        <v>300</v>
      </c>
      <c r="F3" s="7" t="n">
        <f aca="false">B3*0.3+C3*0+D3*0.4+E3*0.2</f>
        <v>270</v>
      </c>
      <c r="G3" s="16"/>
    </row>
    <row r="4" customFormat="false" ht="12.75" hidden="false" customHeight="false" outlineLevel="0" collapsed="false">
      <c r="A4" s="9" t="s">
        <v>9</v>
      </c>
      <c r="B4" s="10" t="n">
        <v>300</v>
      </c>
      <c r="C4" s="10" t="n">
        <v>275</v>
      </c>
      <c r="D4" s="10" t="n">
        <v>300</v>
      </c>
      <c r="E4" s="10" t="n">
        <f aca="false">'Q4 Homework'!H3</f>
        <v>288</v>
      </c>
      <c r="F4" s="17" t="n">
        <f aca="false">B4*0.3+C4*0.1+D4*0.4+E4*0.2</f>
        <v>295.1</v>
      </c>
      <c r="G4" s="18" t="n">
        <f aca="false">(F4/300)*100</f>
        <v>98.3666666666667</v>
      </c>
    </row>
    <row r="5" customFormat="false" ht="12.75" hidden="false" customHeight="false" outlineLevel="0" collapsed="false">
      <c r="A5" s="11" t="s">
        <v>10</v>
      </c>
      <c r="B5" s="12" t="n">
        <v>280</v>
      </c>
      <c r="C5" s="12" t="n">
        <v>285</v>
      </c>
      <c r="D5" s="12" t="n">
        <v>295</v>
      </c>
      <c r="E5" s="12" t="n">
        <f aca="false">'Q4 Homework'!H4</f>
        <v>269</v>
      </c>
      <c r="F5" s="19" t="n">
        <f aca="false">B5*0.3+C5*0.1+D5*0.4+E5*0.2</f>
        <v>284.3</v>
      </c>
      <c r="G5" s="20" t="n">
        <f aca="false">(F5/300)*100</f>
        <v>94.7666666666667</v>
      </c>
    </row>
    <row r="6" customFormat="false" ht="12.75" hidden="false" customHeight="false" outlineLevel="0" collapsed="false">
      <c r="A6" s="11" t="s">
        <v>11</v>
      </c>
      <c r="B6" s="12" t="n">
        <v>200</v>
      </c>
      <c r="C6" s="12" t="n">
        <v>268</v>
      </c>
      <c r="D6" s="12" t="n">
        <v>279</v>
      </c>
      <c r="E6" s="12" t="n">
        <f aca="false">'Q4 Homework'!H5</f>
        <v>6</v>
      </c>
      <c r="F6" s="19" t="n">
        <f aca="false">B6*0.3+C6*0.1+D6*0.4+E6*0.2</f>
        <v>199.6</v>
      </c>
      <c r="G6" s="20" t="n">
        <f aca="false">(F6/300)*100</f>
        <v>66.5333333333333</v>
      </c>
    </row>
    <row r="7" customFormat="false" ht="12.75" hidden="false" customHeight="false" outlineLevel="0" collapsed="false">
      <c r="A7" s="11" t="s">
        <v>12</v>
      </c>
      <c r="B7" s="12" t="n">
        <v>280</v>
      </c>
      <c r="C7" s="12" t="n">
        <v>295</v>
      </c>
      <c r="D7" s="12" t="n">
        <v>300</v>
      </c>
      <c r="E7" s="12" t="n">
        <f aca="false">'Q4 Homework'!H6</f>
        <v>281</v>
      </c>
      <c r="F7" s="19" t="n">
        <f aca="false">B7*0.3+C7*0.1+D7*0.4+E7*0.2</f>
        <v>289.7</v>
      </c>
      <c r="G7" s="20" t="n">
        <f aca="false">(F7/300)*100</f>
        <v>96.5666666666667</v>
      </c>
    </row>
    <row r="8" customFormat="false" ht="12.75" hidden="false" customHeight="false" outlineLevel="0" collapsed="false">
      <c r="A8" s="11" t="s">
        <v>13</v>
      </c>
      <c r="B8" s="12" t="n">
        <v>285</v>
      </c>
      <c r="C8" s="12" t="n">
        <v>285</v>
      </c>
      <c r="D8" s="12" t="n">
        <v>267</v>
      </c>
      <c r="E8" s="12" t="n">
        <f aca="false">'Q4 Homework'!H7</f>
        <v>254</v>
      </c>
      <c r="F8" s="19" t="n">
        <f aca="false">B8*0.3+C8*0.1+D8*0.4+E8*0.2</f>
        <v>271.6</v>
      </c>
      <c r="G8" s="20" t="n">
        <f aca="false">(F8/300)*100</f>
        <v>90.5333333333333</v>
      </c>
    </row>
    <row r="9" customFormat="false" ht="12.75" hidden="false" customHeight="false" outlineLevel="0" collapsed="false">
      <c r="A9" s="11" t="s">
        <v>14</v>
      </c>
      <c r="B9" s="12" t="n">
        <v>290</v>
      </c>
      <c r="C9" s="12" t="n">
        <v>290</v>
      </c>
      <c r="D9" s="12" t="n">
        <v>300</v>
      </c>
      <c r="E9" s="12" t="n">
        <f aca="false">'Q4 Homework'!H8</f>
        <v>277</v>
      </c>
      <c r="F9" s="19" t="n">
        <f aca="false">B9*0.3+C9*0.1+D9*0.4+E9*0.2</f>
        <v>291.4</v>
      </c>
      <c r="G9" s="20" t="n">
        <f aca="false">(F9/300)*100</f>
        <v>97.1333333333333</v>
      </c>
    </row>
    <row r="10" customFormat="false" ht="12.75" hidden="false" customHeight="false" outlineLevel="0" collapsed="false">
      <c r="A10" s="11" t="s">
        <v>15</v>
      </c>
      <c r="B10" s="12" t="n">
        <v>245</v>
      </c>
      <c r="C10" s="12" t="n">
        <v>273</v>
      </c>
      <c r="D10" s="12" t="n">
        <v>240</v>
      </c>
      <c r="E10" s="12" t="n">
        <f aca="false">'Q4 Homework'!H9</f>
        <v>251</v>
      </c>
      <c r="F10" s="19" t="n">
        <f aca="false">B10*0.3+C10*0.1+D10*0.4+E10*0.2</f>
        <v>247</v>
      </c>
      <c r="G10" s="20" t="n">
        <f aca="false">(F10/300)*100</f>
        <v>82.3333333333333</v>
      </c>
    </row>
    <row r="11" customFormat="false" ht="12.75" hidden="false" customHeight="false" outlineLevel="0" collapsed="false">
      <c r="A11" s="11" t="s">
        <v>16</v>
      </c>
      <c r="B11" s="12" t="n">
        <v>295</v>
      </c>
      <c r="C11" s="12" t="n">
        <v>295</v>
      </c>
      <c r="D11" s="12" t="n">
        <v>300</v>
      </c>
      <c r="E11" s="12" t="n">
        <f aca="false">'Q4 Homework'!H10</f>
        <v>291</v>
      </c>
      <c r="F11" s="19" t="n">
        <f aca="false">B11*0.3+C11*0.1+D11*0.4+E11*0.2</f>
        <v>296.2</v>
      </c>
      <c r="G11" s="20" t="n">
        <f aca="false">(F11/300)*100</f>
        <v>98.7333333333333</v>
      </c>
    </row>
    <row r="12" customFormat="false" ht="12.75" hidden="false" customHeight="false" outlineLevel="0" collapsed="false">
      <c r="A12" s="11" t="s">
        <v>17</v>
      </c>
      <c r="B12" s="12" t="n">
        <v>275</v>
      </c>
      <c r="C12" s="12" t="n">
        <v>280</v>
      </c>
      <c r="D12" s="12" t="n">
        <v>290</v>
      </c>
      <c r="E12" s="12" t="n">
        <f aca="false">'Q4 Homework'!H11</f>
        <v>269</v>
      </c>
      <c r="F12" s="19" t="n">
        <f aca="false">B12*0.3+C12*0.1+D12*0.4+E12*0.2</f>
        <v>280.3</v>
      </c>
      <c r="G12" s="20" t="n">
        <f aca="false">(F12/300)*100</f>
        <v>93.4333333333333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10.27"/>
    <col collapsed="false" customWidth="true" hidden="false" outlineLevel="0" max="2" min="2" style="1" width="8.84"/>
    <col collapsed="false" customWidth="true" hidden="false" outlineLevel="0" max="3" min="3" style="0" width="13.97"/>
    <col collapsed="false" customWidth="true" hidden="false" outlineLevel="0" max="7" min="4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21" t="s">
        <v>26</v>
      </c>
      <c r="B1" s="22" t="s">
        <v>27</v>
      </c>
      <c r="C1" s="23" t="s">
        <v>28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4" t="s">
        <v>34</v>
      </c>
    </row>
    <row r="2" customFormat="false" ht="12.75" hidden="false" customHeight="false" outlineLevel="0" collapsed="false">
      <c r="A2" s="9" t="s">
        <v>9</v>
      </c>
      <c r="B2" s="9" t="s">
        <v>35</v>
      </c>
      <c r="C2" s="25" t="n">
        <v>522098786</v>
      </c>
      <c r="D2" s="10" t="n">
        <v>87</v>
      </c>
      <c r="E2" s="10" t="n">
        <v>94</v>
      </c>
      <c r="F2" s="10" t="n">
        <v>90</v>
      </c>
      <c r="G2" s="17" t="n">
        <f aca="false">'Q4 Summary'!G4</f>
        <v>98.3666666666667</v>
      </c>
      <c r="H2" s="18" t="n">
        <f aca="false">AVERAGE(D2:G2)</f>
        <v>92.3416666666667</v>
      </c>
      <c r="I2" s="10" t="str">
        <f aca="false">IF(H2&lt;60,"F",IF(H2&lt;70,"D",IF(H2&lt;80,"C",IF(H2&lt;90,"B",IF(H2&lt;101,"A")))))</f>
        <v>A</v>
      </c>
    </row>
    <row r="3" customFormat="false" ht="12.75" hidden="false" customHeight="false" outlineLevel="0" collapsed="false">
      <c r="A3" s="11" t="s">
        <v>10</v>
      </c>
      <c r="B3" s="11" t="s">
        <v>36</v>
      </c>
      <c r="C3" s="26" t="n">
        <v>152845367</v>
      </c>
      <c r="D3" s="12" t="n">
        <v>90</v>
      </c>
      <c r="E3" s="12" t="n">
        <v>89</v>
      </c>
      <c r="F3" s="12" t="n">
        <v>93</v>
      </c>
      <c r="G3" s="19" t="n">
        <f aca="false">'Q4 Summary'!G5</f>
        <v>94.7666666666667</v>
      </c>
      <c r="H3" s="20" t="n">
        <f aca="false">AVERAGE(D3:G3)</f>
        <v>91.6916666666667</v>
      </c>
      <c r="I3" s="12" t="str">
        <f aca="false">IF(H3&lt;60,"F",IF(H3&lt;70,"D",IF(H3&lt;80,"C",IF(H3&lt;90,"B",IF(H3&lt;101,"A")))))</f>
        <v>A</v>
      </c>
    </row>
    <row r="4" customFormat="false" ht="12.75" hidden="false" customHeight="false" outlineLevel="0" collapsed="false">
      <c r="A4" s="11" t="s">
        <v>11</v>
      </c>
      <c r="B4" s="11" t="s">
        <v>37</v>
      </c>
      <c r="C4" s="26" t="n">
        <v>459809125</v>
      </c>
      <c r="D4" s="12" t="n">
        <v>82</v>
      </c>
      <c r="E4" s="12" t="n">
        <v>79</v>
      </c>
      <c r="F4" s="12" t="n">
        <v>80</v>
      </c>
      <c r="G4" s="19" t="n">
        <f aca="false">'Q4 Summary'!G6</f>
        <v>66.5333333333333</v>
      </c>
      <c r="H4" s="20" t="n">
        <f aca="false">AVERAGE(D4:G4)</f>
        <v>76.8833333333333</v>
      </c>
      <c r="I4" s="12" t="str">
        <f aca="false">IF(H4&lt;60,"F",IF(H4&lt;70,"D",IF(H4&lt;80,"C",IF(H4&lt;90,"B",IF(H4&lt;101,"A")))))</f>
        <v>C</v>
      </c>
    </row>
    <row r="5" customFormat="false" ht="12.75" hidden="false" customHeight="false" outlineLevel="0" collapsed="false">
      <c r="A5" s="11" t="s">
        <v>12</v>
      </c>
      <c r="B5" s="11" t="s">
        <v>38</v>
      </c>
      <c r="C5" s="26" t="n">
        <v>548712349</v>
      </c>
      <c r="D5" s="12" t="n">
        <v>88</v>
      </c>
      <c r="E5" s="12" t="n">
        <v>92</v>
      </c>
      <c r="F5" s="12" t="n">
        <v>90</v>
      </c>
      <c r="G5" s="19" t="n">
        <f aca="false">'Q4 Summary'!G7</f>
        <v>96.5666666666667</v>
      </c>
      <c r="H5" s="20" t="n">
        <f aca="false">AVERAGE(D5:G5)</f>
        <v>91.6416666666667</v>
      </c>
      <c r="I5" s="12" t="str">
        <f aca="false">IF(H5&lt;60,"F",IF(H5&lt;70,"D",IF(H5&lt;80,"C",IF(H5&lt;90,"B",IF(H5&lt;101,"A")))))</f>
        <v>A</v>
      </c>
    </row>
    <row r="6" customFormat="false" ht="12.75" hidden="false" customHeight="false" outlineLevel="0" collapsed="false">
      <c r="A6" s="11" t="s">
        <v>13</v>
      </c>
      <c r="B6" s="11" t="s">
        <v>39</v>
      </c>
      <c r="C6" s="26" t="n">
        <v>330260064</v>
      </c>
      <c r="D6" s="12" t="n">
        <v>79</v>
      </c>
      <c r="E6" s="12" t="n">
        <v>80</v>
      </c>
      <c r="F6" s="12" t="n">
        <v>84</v>
      </c>
      <c r="G6" s="19" t="n">
        <f aca="false">'Q4 Summary'!G8</f>
        <v>90.5333333333333</v>
      </c>
      <c r="H6" s="20" t="n">
        <f aca="false">AVERAGE(D6:G6)</f>
        <v>83.3833333333334</v>
      </c>
      <c r="I6" s="12" t="str">
        <f aca="false">IF(H6&lt;60,"F",IF(H6&lt;70,"D",IF(H6&lt;80,"C",IF(H6&lt;90,"B",IF(H6&lt;101,"A")))))</f>
        <v>B</v>
      </c>
    </row>
    <row r="7" customFormat="false" ht="12.75" hidden="false" customHeight="false" outlineLevel="0" collapsed="false">
      <c r="A7" s="11" t="s">
        <v>14</v>
      </c>
      <c r="B7" s="11" t="s">
        <v>40</v>
      </c>
      <c r="C7" s="26" t="n">
        <v>127659820</v>
      </c>
      <c r="D7" s="12" t="n">
        <v>95</v>
      </c>
      <c r="E7" s="12" t="n">
        <v>100</v>
      </c>
      <c r="F7" s="12" t="n">
        <v>100</v>
      </c>
      <c r="G7" s="19" t="n">
        <f aca="false">'Q4 Summary'!G9</f>
        <v>97.1333333333333</v>
      </c>
      <c r="H7" s="20" t="n">
        <f aca="false">AVERAGE(D7:G7)</f>
        <v>98.0333333333333</v>
      </c>
      <c r="I7" s="12" t="str">
        <f aca="false">IF(H7&lt;60,"F",IF(H7&lt;70,"D",IF(H7&lt;80,"C",IF(H7&lt;90,"B",IF(H7&lt;101,"A")))))</f>
        <v>A</v>
      </c>
    </row>
    <row r="8" customFormat="false" ht="12.75" hidden="false" customHeight="false" outlineLevel="0" collapsed="false">
      <c r="A8" s="11" t="s">
        <v>15</v>
      </c>
      <c r="B8" s="11" t="s">
        <v>41</v>
      </c>
      <c r="C8" s="26" t="n">
        <v>231452839</v>
      </c>
      <c r="D8" s="12" t="n">
        <v>80</v>
      </c>
      <c r="E8" s="12" t="n">
        <v>79</v>
      </c>
      <c r="F8" s="12" t="n">
        <v>74</v>
      </c>
      <c r="G8" s="19" t="n">
        <f aca="false">'Q4 Summary'!G10</f>
        <v>82.3333333333333</v>
      </c>
      <c r="H8" s="20" t="n">
        <f aca="false">AVERAGE(D8:G8)</f>
        <v>78.8333333333333</v>
      </c>
      <c r="I8" s="12" t="str">
        <f aca="false">IF(H8&lt;60,"F",IF(H8&lt;70,"D",IF(H8&lt;80,"C",IF(H8&lt;90,"B",IF(H8&lt;101,"A")))))</f>
        <v>C</v>
      </c>
    </row>
    <row r="9" customFormat="false" ht="12.75" hidden="false" customHeight="false" outlineLevel="0" collapsed="false">
      <c r="A9" s="11" t="s">
        <v>16</v>
      </c>
      <c r="B9" s="11" t="s">
        <v>42</v>
      </c>
      <c r="C9" s="26" t="n">
        <v>837493585</v>
      </c>
      <c r="D9" s="12" t="n">
        <v>92</v>
      </c>
      <c r="E9" s="12" t="n">
        <v>89</v>
      </c>
      <c r="F9" s="12" t="n">
        <v>85</v>
      </c>
      <c r="G9" s="19" t="n">
        <f aca="false">'Q4 Summary'!G11</f>
        <v>98.7333333333333</v>
      </c>
      <c r="H9" s="20" t="n">
        <f aca="false">AVERAGE(D9:G9)</f>
        <v>91.1833333333333</v>
      </c>
      <c r="I9" s="12" t="str">
        <f aca="false">IF(H9&lt;60,"F",IF(H9&lt;70,"D",IF(H9&lt;80,"C",IF(H9&lt;90,"B",IF(H9&lt;101,"A")))))</f>
        <v>A</v>
      </c>
    </row>
    <row r="10" customFormat="false" ht="12.75" hidden="false" customHeight="false" outlineLevel="0" collapsed="false">
      <c r="A10" s="11" t="s">
        <v>17</v>
      </c>
      <c r="B10" s="11" t="s">
        <v>43</v>
      </c>
      <c r="C10" s="26" t="n">
        <v>716228068</v>
      </c>
      <c r="D10" s="12" t="n">
        <v>88</v>
      </c>
      <c r="E10" s="12" t="n">
        <v>89</v>
      </c>
      <c r="F10" s="12" t="n">
        <v>88</v>
      </c>
      <c r="G10" s="19" t="n">
        <f aca="false">'Q4 Summary'!G12</f>
        <v>93.4333333333333</v>
      </c>
      <c r="H10" s="20" t="n">
        <f aca="false">AVERAGE(D10:G10)</f>
        <v>89.6083333333333</v>
      </c>
      <c r="I10" s="12" t="str">
        <f aca="false">IF(H10&lt;60,"F",IF(H10&lt;70,"D",IF(H10&lt;80,"C",IF(H10&lt;90,"B",IF(H10&lt;101,"A")))))</f>
        <v>B</v>
      </c>
    </row>
    <row r="11" customFormat="false" ht="12.75" hidden="false" customHeight="false" outlineLevel="0" collapsed="false">
      <c r="A11" s="11"/>
      <c r="B11" s="11"/>
      <c r="C11" s="27" t="s">
        <v>44</v>
      </c>
      <c r="D11" s="20" t="n">
        <f aca="false">AVERAGE(D2:D10)</f>
        <v>86.7777777777778</v>
      </c>
      <c r="E11" s="20" t="n">
        <f aca="false">AVERAGE(E2:E10)</f>
        <v>87.8888888888889</v>
      </c>
      <c r="F11" s="20" t="n">
        <f aca="false">AVERAGE(F2:F10)</f>
        <v>87.1111111111111</v>
      </c>
      <c r="G11" s="20" t="n">
        <f aca="false">AVERAGE(G2:G10)</f>
        <v>90.9333333333333</v>
      </c>
      <c r="H11" s="20" t="n">
        <f aca="false">AVERAGE(H2:H10)</f>
        <v>88.1777777777778</v>
      </c>
      <c r="I11" s="12" t="str">
        <f aca="false">IF(H11&lt;60,"F",IF(H11&lt;70,"D",IF(H11&lt;80,"C",IF(H11&lt;90,"B",IF(H11&lt;101,"A")))))</f>
        <v>B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2002-09-23T21:02:26Z</dcterms:created>
  <dc:creator>Icet09</dc:creator>
  <dc:description/>
  <dc:language>en-US</dc:language>
  <cp:lastModifiedBy> </cp:lastModifiedBy>
  <dcterms:modified xsi:type="dcterms:W3CDTF">2003-09-03T17:06:05Z</dcterms:modified>
  <cp:revision>0</cp:revision>
  <dc:subject/>
  <dc:title/>
</cp:coreProperties>
</file>