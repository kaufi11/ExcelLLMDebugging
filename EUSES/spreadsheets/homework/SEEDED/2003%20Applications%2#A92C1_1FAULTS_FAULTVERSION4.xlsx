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206335DF-9635-47CD-8BEB-B3679700AC34}" xr6:coauthVersionLast="47" xr6:coauthVersionMax="47" xr10:uidLastSave="{00000000-0000-0000-0000-000000000000}"/>
  <bookViews>
    <workbookView xWindow="2190" yWindow="2085" windowWidth="15330" windowHeight="10770" xr2:uid="{1691F577-B025-40E5-813A-2572D56D39C6}"/>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9" l="1"/>
  <c r="F14" i="9"/>
  <c r="E16" i="9"/>
  <c r="E18" i="9" s="1"/>
  <c r="F16" i="9"/>
  <c r="F18" i="9"/>
  <c r="E6" i="6"/>
  <c r="F6" i="6"/>
  <c r="E9" i="6"/>
  <c r="E12" i="6"/>
  <c r="E8" i="5"/>
  <c r="F8" i="5"/>
  <c r="E11" i="5"/>
  <c r="E19" i="9" s="1"/>
  <c r="F11" i="5"/>
  <c r="F2" i="1"/>
  <c r="F22" i="1" s="1"/>
  <c r="F3" i="1"/>
  <c r="F5" i="1"/>
  <c r="F6" i="1"/>
  <c r="F12" i="1"/>
  <c r="F14" i="1"/>
  <c r="F16" i="1"/>
  <c r="F17" i="1"/>
  <c r="E22" i="1"/>
  <c r="E22" i="4"/>
  <c r="E10" i="6" s="1"/>
  <c r="F22" i="4"/>
  <c r="E28" i="4"/>
  <c r="F28" i="4"/>
  <c r="F4" i="7"/>
  <c r="F5" i="7"/>
  <c r="F7" i="7"/>
  <c r="E8" i="7"/>
  <c r="E11" i="6" s="1"/>
  <c r="F8" i="7"/>
  <c r="E20" i="9" l="1"/>
  <c r="E13" i="6"/>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<sst xmlns="http://schemas.openxmlformats.org/spreadsheetml/2006/main" count="338" uniqueCount="237">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</sst>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F4E3-205F-4760-9E15-8655494BFB50}">
  <dimension ref="A1:F22"/>
  <sheetViews>
    <sheetView tabSelected="1" topLeftCell="B16" zoomScaleNormal="75" workbookViewId="0">
      <selection activeCell="D21" sqref="D21"/>
    </sheetView>
  </sheetViews>
  <sheetFormatPr baseColWidth="10" defaultColWidth="9.140625" defaultRowHeight="12.75" x14ac:dyDescent="0.2"/>
  <cols>
    <col min="1" max="1" width="25.140625" style="6" customWidth="1"/>
    <col min="2" max="2" width="27.85546875" style="4" customWidth="1"/>
    <col min="3" max="3" width="5.7109375" style="13" hidden="1" customWidth="1"/>
    <col min="4" max="4" width="60.85546875" style="4" customWidth="1"/>
    <col min="5" max="5" width="16" style="10" customWidth="1"/>
    <col min="6" max="6" width="17" style="10" customWidth="1"/>
    <col min="7" max="16384" width="9.140625" style="6"/>
  </cols>
  <sheetData>
    <row r="1" spans="1:6" s="1" customFormat="1" x14ac:dyDescent="0.2">
      <c r="A1" s="1" t="s">
        <v>0</v>
      </c>
      <c r="B1" s="3" t="s">
        <v>1</v>
      </c>
      <c r="C1" s="12" t="s">
        <v>2</v>
      </c>
      <c r="D1" s="3" t="s">
        <v>3</v>
      </c>
      <c r="E1" s="2" t="s">
        <v>4</v>
      </c>
      <c r="F1" s="2" t="s">
        <v>205</v>
      </c>
    </row>
    <row r="2" spans="1:6" ht="38.25" x14ac:dyDescent="0.2">
      <c r="A2" s="6" t="s">
        <v>10</v>
      </c>
      <c r="B2" s="4" t="s">
        <v>110</v>
      </c>
      <c r="C2" s="19" t="s">
        <v>148</v>
      </c>
      <c r="D2" s="4" t="s">
        <v>185</v>
      </c>
      <c r="E2" s="10">
        <v>163020</v>
      </c>
      <c r="F2" s="10">
        <f>E2</f>
        <v>163020</v>
      </c>
    </row>
    <row r="3" spans="1:6" ht="38.25" x14ac:dyDescent="0.2">
      <c r="A3" s="6" t="s">
        <v>133</v>
      </c>
      <c r="B3" s="4" t="s">
        <v>134</v>
      </c>
      <c r="C3" s="19" t="s">
        <v>148</v>
      </c>
      <c r="D3" s="4" t="s">
        <v>135</v>
      </c>
      <c r="E3" s="10">
        <v>132200</v>
      </c>
      <c r="F3" s="10">
        <f>E3</f>
        <v>132200</v>
      </c>
    </row>
    <row r="4" spans="1:6" ht="89.25" x14ac:dyDescent="0.2">
      <c r="A4" s="6" t="s">
        <v>22</v>
      </c>
      <c r="B4" s="4" t="s">
        <v>172</v>
      </c>
      <c r="C4" s="19" t="s">
        <v>189</v>
      </c>
      <c r="D4" s="4" t="s">
        <v>186</v>
      </c>
      <c r="E4" s="10">
        <v>165000</v>
      </c>
    </row>
    <row r="5" spans="1:6" ht="51" x14ac:dyDescent="0.2">
      <c r="A5" s="6" t="s">
        <v>17</v>
      </c>
      <c r="B5" s="4" t="s">
        <v>120</v>
      </c>
      <c r="C5" s="19" t="s">
        <v>104</v>
      </c>
      <c r="D5" s="4" t="s">
        <v>121</v>
      </c>
      <c r="E5" s="10">
        <v>147970</v>
      </c>
      <c r="F5" s="10">
        <f>E6</f>
        <v>26000</v>
      </c>
    </row>
    <row r="6" spans="1:6" ht="51" x14ac:dyDescent="0.2">
      <c r="A6" s="6" t="s">
        <v>15</v>
      </c>
      <c r="B6" s="4" t="s">
        <v>115</v>
      </c>
      <c r="C6" s="19" t="s">
        <v>148</v>
      </c>
      <c r="D6" s="4" t="s">
        <v>116</v>
      </c>
      <c r="E6" s="10">
        <v>26000</v>
      </c>
      <c r="F6" s="10">
        <f>E6</f>
        <v>26000</v>
      </c>
    </row>
    <row r="7" spans="1:6" ht="51" x14ac:dyDescent="0.2">
      <c r="A7" s="6" t="s">
        <v>24</v>
      </c>
      <c r="B7" s="4" t="s">
        <v>152</v>
      </c>
      <c r="C7" s="19" t="s">
        <v>104</v>
      </c>
      <c r="D7" s="4" t="s">
        <v>153</v>
      </c>
      <c r="E7" s="10">
        <v>98000</v>
      </c>
    </row>
    <row r="8" spans="1:6" ht="38.25" x14ac:dyDescent="0.2">
      <c r="A8" s="6" t="s">
        <v>19</v>
      </c>
      <c r="B8" s="4" t="s">
        <v>130</v>
      </c>
      <c r="C8" s="19" t="s">
        <v>104</v>
      </c>
      <c r="D8" s="4" t="s">
        <v>174</v>
      </c>
      <c r="E8" s="10">
        <v>194697</v>
      </c>
      <c r="F8" s="10">
        <v>190000</v>
      </c>
    </row>
    <row r="9" spans="1:6" ht="25.5" x14ac:dyDescent="0.2">
      <c r="A9" s="6" t="s">
        <v>154</v>
      </c>
      <c r="B9" s="4" t="s">
        <v>155</v>
      </c>
      <c r="C9" s="19" t="s">
        <v>104</v>
      </c>
      <c r="D9" s="4" t="s">
        <v>156</v>
      </c>
      <c r="E9" s="10">
        <v>199000</v>
      </c>
      <c r="F9" s="10">
        <v>190000</v>
      </c>
    </row>
    <row r="10" spans="1:6" ht="38.25" x14ac:dyDescent="0.2">
      <c r="A10" s="6" t="s">
        <v>20</v>
      </c>
      <c r="B10" s="4" t="s">
        <v>136</v>
      </c>
      <c r="C10" s="19" t="s">
        <v>148</v>
      </c>
      <c r="D10" s="4" t="s">
        <v>137</v>
      </c>
      <c r="E10" s="10">
        <v>87314.5</v>
      </c>
    </row>
    <row r="11" spans="1:6" ht="63.75" x14ac:dyDescent="0.2">
      <c r="A11" s="6" t="s">
        <v>125</v>
      </c>
      <c r="B11" s="4" t="s">
        <v>126</v>
      </c>
      <c r="C11" s="19" t="s">
        <v>193</v>
      </c>
      <c r="D11" s="4" t="s">
        <v>224</v>
      </c>
      <c r="E11" s="10">
        <v>519812.9</v>
      </c>
      <c r="F11" s="10">
        <v>190000</v>
      </c>
    </row>
    <row r="12" spans="1:6" ht="25.5" x14ac:dyDescent="0.2">
      <c r="A12" s="6" t="s">
        <v>13</v>
      </c>
      <c r="B12" s="4" t="s">
        <v>123</v>
      </c>
      <c r="C12" s="19" t="s">
        <v>148</v>
      </c>
      <c r="D12" s="4" t="s">
        <v>124</v>
      </c>
      <c r="E12" s="10">
        <v>186142</v>
      </c>
      <c r="F12" s="10">
        <f>E12</f>
        <v>186142</v>
      </c>
    </row>
    <row r="13" spans="1:6" ht="38.25" x14ac:dyDescent="0.2">
      <c r="A13" s="6" t="s">
        <v>18</v>
      </c>
      <c r="B13" s="4" t="s">
        <v>147</v>
      </c>
      <c r="C13" s="19" t="s">
        <v>148</v>
      </c>
      <c r="D13" s="4" t="s">
        <v>235</v>
      </c>
      <c r="E13" s="10">
        <v>353000</v>
      </c>
      <c r="F13" s="10">
        <v>190000</v>
      </c>
    </row>
    <row r="14" spans="1:6" ht="63.75" x14ac:dyDescent="0.2">
      <c r="A14" s="6" t="s">
        <v>9</v>
      </c>
      <c r="B14" s="4" t="s">
        <v>112</v>
      </c>
      <c r="C14" s="19" t="s">
        <v>104</v>
      </c>
      <c r="D14" s="4" t="s">
        <v>113</v>
      </c>
      <c r="E14" s="10">
        <v>133730</v>
      </c>
      <c r="F14" s="10">
        <f>E14</f>
        <v>133730</v>
      </c>
    </row>
    <row r="15" spans="1:6" ht="127.5" x14ac:dyDescent="0.2">
      <c r="A15" s="6" t="s">
        <v>23</v>
      </c>
      <c r="B15" s="4" t="s">
        <v>203</v>
      </c>
      <c r="C15" s="19" t="s">
        <v>148</v>
      </c>
      <c r="D15" s="4" t="s">
        <v>223</v>
      </c>
      <c r="E15" s="10">
        <v>177972.6</v>
      </c>
    </row>
    <row r="16" spans="1:6" ht="63.75" x14ac:dyDescent="0.2">
      <c r="A16" s="6" t="s">
        <v>16</v>
      </c>
      <c r="B16" s="4" t="s">
        <v>114</v>
      </c>
      <c r="C16" s="19" t="s">
        <v>194</v>
      </c>
      <c r="D16" s="4" t="s">
        <v>175</v>
      </c>
      <c r="E16" s="10">
        <v>187318</v>
      </c>
      <c r="F16" s="10">
        <f>E16</f>
        <v>187318</v>
      </c>
    </row>
    <row r="17" spans="1:6" ht="51" x14ac:dyDescent="0.2">
      <c r="A17" s="6" t="s">
        <v>21</v>
      </c>
      <c r="B17" s="4" t="s">
        <v>96</v>
      </c>
      <c r="C17" s="19" t="s">
        <v>104</v>
      </c>
      <c r="D17" s="4" t="s">
        <v>97</v>
      </c>
      <c r="E17" s="10">
        <v>148235</v>
      </c>
      <c r="F17" s="10">
        <f>E17</f>
        <v>148235</v>
      </c>
    </row>
    <row r="18" spans="1:6" ht="25.5" x14ac:dyDescent="0.2">
      <c r="A18" s="6" t="s">
        <v>14</v>
      </c>
      <c r="B18" s="4" t="s">
        <v>132</v>
      </c>
      <c r="C18" s="21" t="s">
        <v>195</v>
      </c>
      <c r="D18" s="4" t="s">
        <v>173</v>
      </c>
      <c r="E18" s="10">
        <v>750741.85</v>
      </c>
    </row>
    <row r="19" spans="1:6" ht="38.25" x14ac:dyDescent="0.2">
      <c r="A19" s="6" t="s">
        <v>8</v>
      </c>
      <c r="B19" s="4" t="s">
        <v>103</v>
      </c>
      <c r="C19" s="21" t="s">
        <v>195</v>
      </c>
      <c r="D19" s="4" t="s">
        <v>105</v>
      </c>
      <c r="E19" s="10">
        <v>45022.5</v>
      </c>
    </row>
    <row r="20" spans="1:6" ht="25.5" x14ac:dyDescent="0.2">
      <c r="A20" s="6" t="s">
        <v>11</v>
      </c>
      <c r="B20" s="4" t="s">
        <v>117</v>
      </c>
      <c r="C20" s="21" t="s">
        <v>195</v>
      </c>
      <c r="D20" s="4" t="s">
        <v>12</v>
      </c>
      <c r="E20" s="10">
        <v>544539.5</v>
      </c>
    </row>
    <row r="21" spans="1:6" ht="63.75" x14ac:dyDescent="0.2">
      <c r="A21" s="6" t="s">
        <v>98</v>
      </c>
      <c r="B21" s="4" t="s">
        <v>99</v>
      </c>
      <c r="C21" s="13" t="s">
        <v>57</v>
      </c>
      <c r="D21" s="4" t="s">
        <v>236</v>
      </c>
      <c r="E21" s="10">
        <v>192600</v>
      </c>
      <c r="F21" s="10">
        <v>190000</v>
      </c>
    </row>
    <row r="22" spans="1:6" x14ac:dyDescent="0.2">
      <c r="D22" s="29" t="s">
        <v>54</v>
      </c>
      <c r="E22" s="30">
        <f>SUM(E2:E21)</f>
        <v>4452315.8499999996</v>
      </c>
      <c r="F22" s="30">
        <f>SUM(F2:F21)</f>
        <v>1952645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D829-FDEC-4706-A900-000058317C33}">
  <dimension ref="A1:F32"/>
  <sheetViews>
    <sheetView topLeftCell="A18" zoomScaleNormal="100" workbookViewId="0">
      <selection activeCell="D27" sqref="D27"/>
    </sheetView>
  </sheetViews>
  <sheetFormatPr baseColWidth="10" defaultColWidth="9.140625" defaultRowHeight="12.75" x14ac:dyDescent="0.2"/>
  <cols>
    <col min="1" max="1" width="26.5703125" style="4" customWidth="1"/>
    <col min="2" max="2" width="29.28515625" style="6" bestFit="1" customWidth="1"/>
    <col min="3" max="3" width="5.7109375" style="14" hidden="1" customWidth="1"/>
    <col min="4" max="4" width="64.42578125" style="4" customWidth="1"/>
    <col min="5" max="5" width="16.5703125" style="10" bestFit="1" customWidth="1"/>
    <col min="6" max="6" width="16.42578125" style="6" customWidth="1"/>
    <col min="7" max="16384" width="9.140625" style="6"/>
  </cols>
  <sheetData>
    <row r="1" spans="1:6" s="1" customFormat="1" x14ac:dyDescent="0.2">
      <c r="A1" s="3" t="s">
        <v>0</v>
      </c>
      <c r="B1" s="1" t="s">
        <v>1</v>
      </c>
      <c r="C1" s="12" t="s">
        <v>2</v>
      </c>
      <c r="D1" s="3" t="s">
        <v>3</v>
      </c>
      <c r="E1" s="2" t="s">
        <v>4</v>
      </c>
      <c r="F1" s="1" t="s">
        <v>205</v>
      </c>
    </row>
    <row r="2" spans="1:6" ht="76.5" x14ac:dyDescent="0.2">
      <c r="A2" s="15" t="s">
        <v>47</v>
      </c>
      <c r="B2" s="8" t="s">
        <v>45</v>
      </c>
      <c r="C2" s="22" t="s">
        <v>46</v>
      </c>
      <c r="D2" s="4" t="s">
        <v>196</v>
      </c>
      <c r="E2" s="9">
        <v>57000</v>
      </c>
      <c r="F2" s="10">
        <v>57000</v>
      </c>
    </row>
    <row r="3" spans="1:6" ht="51" x14ac:dyDescent="0.2">
      <c r="A3" s="4" t="s">
        <v>39</v>
      </c>
      <c r="B3" s="6" t="s">
        <v>118</v>
      </c>
      <c r="C3" s="14" t="s">
        <v>189</v>
      </c>
      <c r="D3" s="4" t="s">
        <v>141</v>
      </c>
      <c r="E3" s="20">
        <v>41514</v>
      </c>
      <c r="F3" s="10">
        <v>0</v>
      </c>
    </row>
    <row r="4" spans="1:6" ht="38.25" x14ac:dyDescent="0.2">
      <c r="A4" s="4" t="s">
        <v>29</v>
      </c>
      <c r="B4" s="6" t="s">
        <v>118</v>
      </c>
      <c r="C4" s="14" t="s">
        <v>189</v>
      </c>
      <c r="D4" s="4" t="s">
        <v>176</v>
      </c>
      <c r="E4" s="20">
        <v>20000</v>
      </c>
      <c r="F4" s="10">
        <v>0</v>
      </c>
    </row>
    <row r="5" spans="1:6" ht="63.75" x14ac:dyDescent="0.2">
      <c r="A5" s="15" t="s">
        <v>35</v>
      </c>
      <c r="B5" s="8" t="s">
        <v>169</v>
      </c>
      <c r="C5" s="22" t="s">
        <v>78</v>
      </c>
      <c r="D5" s="4" t="s">
        <v>170</v>
      </c>
      <c r="E5" s="9">
        <v>55000</v>
      </c>
      <c r="F5" s="9">
        <v>49000</v>
      </c>
    </row>
    <row r="6" spans="1:6" ht="38.25" x14ac:dyDescent="0.2">
      <c r="A6" s="15" t="s">
        <v>41</v>
      </c>
      <c r="B6" s="7" t="s">
        <v>100</v>
      </c>
      <c r="C6" s="22" t="s">
        <v>102</v>
      </c>
      <c r="D6" s="4" t="s">
        <v>40</v>
      </c>
      <c r="E6" s="9">
        <v>100947.71</v>
      </c>
      <c r="F6" s="10">
        <v>70000</v>
      </c>
    </row>
    <row r="7" spans="1:6" ht="25.5" x14ac:dyDescent="0.2">
      <c r="A7" s="15" t="s">
        <v>53</v>
      </c>
      <c r="B7" s="8" t="s">
        <v>122</v>
      </c>
      <c r="C7" s="22" t="s">
        <v>42</v>
      </c>
      <c r="D7" s="4" t="s">
        <v>52</v>
      </c>
      <c r="E7" s="10">
        <v>56570</v>
      </c>
      <c r="F7" s="10">
        <v>56570</v>
      </c>
    </row>
    <row r="8" spans="1:6" ht="51" x14ac:dyDescent="0.2">
      <c r="A8" s="15" t="s">
        <v>139</v>
      </c>
      <c r="B8" s="8" t="s">
        <v>140</v>
      </c>
      <c r="C8" s="22" t="s">
        <v>78</v>
      </c>
      <c r="D8" s="4" t="s">
        <v>197</v>
      </c>
      <c r="E8" s="10">
        <v>42315</v>
      </c>
      <c r="F8" s="10">
        <v>42315</v>
      </c>
    </row>
    <row r="9" spans="1:6" ht="63.75" x14ac:dyDescent="0.2">
      <c r="A9" s="15" t="s">
        <v>157</v>
      </c>
      <c r="B9" s="8" t="s">
        <v>158</v>
      </c>
      <c r="C9" s="22" t="s">
        <v>42</v>
      </c>
      <c r="D9" s="4" t="s">
        <v>177</v>
      </c>
      <c r="E9" s="10">
        <v>46439</v>
      </c>
      <c r="F9" s="48">
        <v>0</v>
      </c>
    </row>
    <row r="10" spans="1:6" ht="38.25" x14ac:dyDescent="0.2">
      <c r="A10" s="4" t="s">
        <v>32</v>
      </c>
      <c r="B10" s="6" t="s">
        <v>71</v>
      </c>
      <c r="C10" s="23" t="s">
        <v>42</v>
      </c>
      <c r="D10" s="4" t="s">
        <v>26</v>
      </c>
      <c r="E10" s="10">
        <v>81496</v>
      </c>
      <c r="F10" s="10">
        <v>81496</v>
      </c>
    </row>
    <row r="11" spans="1:6" ht="25.5" x14ac:dyDescent="0.2">
      <c r="A11" s="4" t="s">
        <v>127</v>
      </c>
      <c r="B11" s="6" t="s">
        <v>128</v>
      </c>
      <c r="C11" s="23" t="s">
        <v>78</v>
      </c>
      <c r="D11" s="4" t="s">
        <v>129</v>
      </c>
      <c r="E11" s="10">
        <v>115000</v>
      </c>
      <c r="F11" s="10">
        <v>115000</v>
      </c>
    </row>
    <row r="12" spans="1:6" ht="38.25" x14ac:dyDescent="0.2">
      <c r="A12" s="4" t="s">
        <v>27</v>
      </c>
      <c r="B12" s="6" t="s">
        <v>71</v>
      </c>
      <c r="C12" s="23" t="s">
        <v>42</v>
      </c>
      <c r="D12" s="4" t="s">
        <v>111</v>
      </c>
      <c r="E12" s="10">
        <v>16041</v>
      </c>
      <c r="F12" s="10">
        <v>0</v>
      </c>
    </row>
    <row r="13" spans="1:6" s="16" customFormat="1" ht="63.75" x14ac:dyDescent="0.2">
      <c r="A13" s="4" t="s">
        <v>142</v>
      </c>
      <c r="B13" s="6" t="s">
        <v>144</v>
      </c>
      <c r="C13" s="23" t="s">
        <v>80</v>
      </c>
      <c r="D13" s="4" t="s">
        <v>143</v>
      </c>
      <c r="E13" s="10">
        <v>50000</v>
      </c>
      <c r="F13" s="10">
        <v>50000</v>
      </c>
    </row>
    <row r="14" spans="1:6" ht="25.5" x14ac:dyDescent="0.2">
      <c r="A14" s="4" t="s">
        <v>178</v>
      </c>
      <c r="B14" s="4" t="s">
        <v>168</v>
      </c>
      <c r="C14" s="23" t="s">
        <v>80</v>
      </c>
      <c r="D14" s="4" t="s">
        <v>7</v>
      </c>
      <c r="E14" s="10">
        <v>65000</v>
      </c>
      <c r="F14" s="25">
        <v>65000</v>
      </c>
    </row>
    <row r="15" spans="1:6" ht="25.5" x14ac:dyDescent="0.2">
      <c r="A15" s="4" t="s">
        <v>159</v>
      </c>
      <c r="B15" s="6" t="s">
        <v>160</v>
      </c>
      <c r="C15" s="23" t="s">
        <v>101</v>
      </c>
      <c r="D15" s="4" t="s">
        <v>161</v>
      </c>
      <c r="E15" s="10">
        <v>10055</v>
      </c>
      <c r="F15" s="10">
        <v>10055</v>
      </c>
    </row>
    <row r="16" spans="1:6" ht="51" x14ac:dyDescent="0.2">
      <c r="A16" s="4" t="s">
        <v>200</v>
      </c>
      <c r="B16" s="4" t="s">
        <v>201</v>
      </c>
      <c r="C16" s="23" t="s">
        <v>192</v>
      </c>
      <c r="D16" s="4" t="s">
        <v>225</v>
      </c>
      <c r="E16" s="10">
        <v>400000</v>
      </c>
      <c r="F16" s="10">
        <v>288500</v>
      </c>
    </row>
    <row r="17" spans="1:6" ht="38.25" x14ac:dyDescent="0.2">
      <c r="A17" s="4" t="s">
        <v>145</v>
      </c>
      <c r="B17" s="4" t="s">
        <v>118</v>
      </c>
      <c r="C17" s="14" t="s">
        <v>191</v>
      </c>
      <c r="D17" s="4" t="s">
        <v>146</v>
      </c>
      <c r="E17" s="20">
        <v>17500</v>
      </c>
      <c r="F17" s="10">
        <v>0</v>
      </c>
    </row>
    <row r="18" spans="1:6" x14ac:dyDescent="0.2">
      <c r="A18" s="4" t="s">
        <v>162</v>
      </c>
      <c r="B18" s="4" t="s">
        <v>163</v>
      </c>
      <c r="C18" s="27" t="s">
        <v>204</v>
      </c>
      <c r="D18" s="4" t="s">
        <v>164</v>
      </c>
      <c r="E18" s="10">
        <v>40000</v>
      </c>
      <c r="F18" s="10">
        <v>0</v>
      </c>
    </row>
    <row r="19" spans="1:6" ht="51" x14ac:dyDescent="0.2">
      <c r="A19" s="15" t="s">
        <v>50</v>
      </c>
      <c r="B19" s="8" t="s">
        <v>138</v>
      </c>
      <c r="C19" s="22" t="s">
        <v>42</v>
      </c>
      <c r="D19" s="4" t="s">
        <v>51</v>
      </c>
      <c r="E19" s="10">
        <v>278636</v>
      </c>
      <c r="F19" s="10">
        <v>143000</v>
      </c>
    </row>
    <row r="20" spans="1:6" ht="51" x14ac:dyDescent="0.2">
      <c r="A20" s="15" t="s">
        <v>30</v>
      </c>
      <c r="B20" s="8" t="s">
        <v>166</v>
      </c>
      <c r="C20" s="22" t="s">
        <v>101</v>
      </c>
      <c r="D20" s="4" t="s">
        <v>31</v>
      </c>
      <c r="E20" s="10">
        <v>15000</v>
      </c>
      <c r="F20" s="10">
        <v>15000</v>
      </c>
    </row>
    <row r="21" spans="1:6" ht="51" x14ac:dyDescent="0.2">
      <c r="A21" s="4" t="s">
        <v>6</v>
      </c>
      <c r="B21" s="5" t="s">
        <v>106</v>
      </c>
      <c r="C21" s="23" t="s">
        <v>107</v>
      </c>
      <c r="D21" s="4" t="s">
        <v>108</v>
      </c>
      <c r="E21" s="10">
        <v>14687</v>
      </c>
      <c r="F21" s="10">
        <v>14687</v>
      </c>
    </row>
    <row r="22" spans="1:6" x14ac:dyDescent="0.2">
      <c r="D22" s="28" t="s">
        <v>213</v>
      </c>
      <c r="E22" s="26">
        <f>SUM(E2:E21)</f>
        <v>1523200.71</v>
      </c>
      <c r="F22" s="26">
        <f>SUM(F2:F21)</f>
        <v>1057623</v>
      </c>
    </row>
    <row r="23" spans="1:6" x14ac:dyDescent="0.2">
      <c r="D23" s="14"/>
      <c r="E23" s="14"/>
    </row>
    <row r="24" spans="1:6" x14ac:dyDescent="0.2">
      <c r="D24" s="31"/>
      <c r="E24" s="2"/>
      <c r="F24" s="26"/>
    </row>
    <row r="25" spans="1:6" x14ac:dyDescent="0.2">
      <c r="D25" s="29"/>
      <c r="E25" s="30"/>
      <c r="F25" s="26"/>
    </row>
    <row r="26" spans="1:6" x14ac:dyDescent="0.2">
      <c r="D26" s="51" t="s">
        <v>220</v>
      </c>
      <c r="E26" s="30"/>
      <c r="F26" s="26"/>
    </row>
    <row r="27" spans="1:6" ht="51" x14ac:dyDescent="0.2">
      <c r="A27" s="15" t="s">
        <v>44</v>
      </c>
      <c r="B27" s="8" t="s">
        <v>138</v>
      </c>
      <c r="C27" s="22" t="s">
        <v>42</v>
      </c>
      <c r="D27" s="4" t="s">
        <v>43</v>
      </c>
      <c r="E27" s="9">
        <v>369500</v>
      </c>
      <c r="F27" s="24">
        <v>143000</v>
      </c>
    </row>
    <row r="28" spans="1:6" x14ac:dyDescent="0.2">
      <c r="D28" s="29" t="s">
        <v>221</v>
      </c>
      <c r="E28" s="30">
        <f>SUM(E27)</f>
        <v>369500</v>
      </c>
      <c r="F28" s="30">
        <f>SUM(F27)</f>
        <v>143000</v>
      </c>
    </row>
    <row r="29" spans="1:6" x14ac:dyDescent="0.2">
      <c r="D29" s="29"/>
      <c r="E29" s="30"/>
      <c r="F29" s="26"/>
    </row>
    <row r="32" spans="1:6" x14ac:dyDescent="0.2">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49068-CDAD-4D4C-8207-CB7D29F3260D}">
  <dimension ref="A1:G15"/>
  <sheetViews>
    <sheetView topLeftCell="D1" workbookViewId="0">
      <selection activeCell="D4" sqref="D4"/>
    </sheetView>
  </sheetViews>
  <sheetFormatPr baseColWidth="10" defaultColWidth="9.140625" defaultRowHeight="12.75" x14ac:dyDescent="0.2"/>
  <cols>
    <col min="1" max="1" width="25.5703125" style="6" customWidth="1"/>
    <col min="2" max="2" width="31.28515625" style="4" customWidth="1"/>
    <col min="3" max="3" width="5.7109375" style="6" hidden="1" customWidth="1"/>
    <col min="4" max="4" width="52.140625" style="4" customWidth="1"/>
    <col min="5" max="5" width="13.85546875" style="10" bestFit="1" customWidth="1"/>
    <col min="6" max="7" width="13.85546875" style="6" bestFit="1" customWidth="1"/>
    <col min="8" max="16384" width="9.140625" style="6"/>
  </cols>
  <sheetData>
    <row r="1" spans="1:7" s="1" customFormat="1" x14ac:dyDescent="0.2">
      <c r="A1" s="3" t="s">
        <v>0</v>
      </c>
      <c r="B1" s="3" t="s">
        <v>1</v>
      </c>
      <c r="C1" s="1" t="s">
        <v>2</v>
      </c>
      <c r="D1" s="3" t="s">
        <v>3</v>
      </c>
      <c r="E1" s="2" t="s">
        <v>4</v>
      </c>
      <c r="F1" s="1" t="s">
        <v>205</v>
      </c>
    </row>
    <row r="3" spans="1:7" ht="51" x14ac:dyDescent="0.2">
      <c r="A3" s="18" t="s">
        <v>56</v>
      </c>
      <c r="B3" s="11" t="s">
        <v>165</v>
      </c>
      <c r="C3" s="14" t="s">
        <v>57</v>
      </c>
      <c r="D3" s="4" t="s">
        <v>58</v>
      </c>
      <c r="E3" s="10">
        <v>500862</v>
      </c>
      <c r="F3" s="10">
        <v>500862</v>
      </c>
    </row>
    <row r="4" spans="1:7" ht="25.5" x14ac:dyDescent="0.2">
      <c r="A4" s="18" t="s">
        <v>56</v>
      </c>
      <c r="B4" s="11" t="s">
        <v>91</v>
      </c>
      <c r="C4" s="14" t="s">
        <v>59</v>
      </c>
      <c r="D4" s="4" t="s">
        <v>60</v>
      </c>
      <c r="E4" s="10">
        <v>600000</v>
      </c>
      <c r="F4" s="10">
        <v>600000</v>
      </c>
      <c r="G4" s="25"/>
    </row>
    <row r="5" spans="1:7" ht="51" x14ac:dyDescent="0.2">
      <c r="A5" s="4" t="s">
        <v>149</v>
      </c>
      <c r="B5" s="4" t="s">
        <v>150</v>
      </c>
      <c r="C5" s="14" t="s">
        <v>206</v>
      </c>
      <c r="D5" s="4" t="s">
        <v>151</v>
      </c>
      <c r="E5" s="10">
        <v>133900</v>
      </c>
      <c r="F5" s="10">
        <v>133900</v>
      </c>
    </row>
    <row r="6" spans="1:7" x14ac:dyDescent="0.2">
      <c r="D6" s="29" t="s">
        <v>55</v>
      </c>
      <c r="E6" s="30">
        <f>SUM(E3:E5)</f>
        <v>1234762</v>
      </c>
      <c r="F6" s="30">
        <f>SUM(F3:F5)</f>
        <v>1234762</v>
      </c>
    </row>
    <row r="9" spans="1:7" x14ac:dyDescent="0.2">
      <c r="D9" s="4" t="s">
        <v>228</v>
      </c>
      <c r="E9" s="10">
        <f>Municipal!E22</f>
        <v>4452315.8499999996</v>
      </c>
    </row>
    <row r="10" spans="1:7" x14ac:dyDescent="0.2">
      <c r="D10" s="4" t="s">
        <v>229</v>
      </c>
      <c r="E10" s="10">
        <f>'Non Profit'!E22</f>
        <v>1523200.71</v>
      </c>
    </row>
    <row r="11" spans="1:7" x14ac:dyDescent="0.2">
      <c r="D11" s="4" t="s">
        <v>232</v>
      </c>
      <c r="E11" s="10">
        <f>Rehab!E8</f>
        <v>483034</v>
      </c>
    </row>
    <row r="12" spans="1:7" x14ac:dyDescent="0.2">
      <c r="D12" s="4" t="s">
        <v>230</v>
      </c>
      <c r="E12" s="10">
        <f>E6</f>
        <v>1234762</v>
      </c>
    </row>
    <row r="13" spans="1:7" x14ac:dyDescent="0.2">
      <c r="D13" s="4" t="s">
        <v>231</v>
      </c>
      <c r="E13" s="10">
        <f>SUM(E9:E12)</f>
        <v>7693312.5599999996</v>
      </c>
    </row>
    <row r="14" spans="1:7" x14ac:dyDescent="0.2">
      <c r="F14" s="25"/>
    </row>
    <row r="15" spans="1:7" x14ac:dyDescent="0.2">
      <c r="D15" s="28"/>
      <c r="E15" s="24"/>
    </row>
  </sheetData>
  <printOptions gridLines="1"/>
  <pageMargins left="0.39" right="0.21" top="0.79" bottom="0.984251969"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1817-D44B-49B2-9907-7036F5F0DA00}">
  <dimension ref="A1:F8"/>
  <sheetViews>
    <sheetView zoomScale="75" zoomScaleNormal="100" workbookViewId="0">
      <selection activeCell="B12" sqref="B12"/>
    </sheetView>
  </sheetViews>
  <sheetFormatPr baseColWidth="10" defaultColWidth="9.140625" defaultRowHeight="12.75" x14ac:dyDescent="0.2"/>
  <cols>
    <col min="1" max="1" width="26.5703125" style="4" customWidth="1"/>
    <col min="2" max="2" width="24.7109375" style="6" bestFit="1" customWidth="1"/>
    <col min="3" max="3" width="5.7109375" style="14" hidden="1" customWidth="1"/>
    <col min="4" max="4" width="64.42578125" style="4" customWidth="1"/>
    <col min="5" max="5" width="14.85546875" style="20" bestFit="1" customWidth="1"/>
    <col min="6" max="6" width="14.85546875" style="6" bestFit="1" customWidth="1"/>
    <col min="7" max="16384" width="9.140625" style="6"/>
  </cols>
  <sheetData>
    <row r="1" spans="1:6" s="1" customFormat="1" x14ac:dyDescent="0.2">
      <c r="A1" s="3" t="s">
        <v>0</v>
      </c>
      <c r="B1" s="1" t="s">
        <v>1</v>
      </c>
      <c r="C1" s="12" t="s">
        <v>2</v>
      </c>
      <c r="D1" s="3" t="s">
        <v>3</v>
      </c>
      <c r="E1" s="2" t="s">
        <v>4</v>
      </c>
      <c r="F1" s="1" t="s">
        <v>205</v>
      </c>
    </row>
    <row r="2" spans="1:6" ht="51" x14ac:dyDescent="0.2">
      <c r="A2" s="4" t="s">
        <v>39</v>
      </c>
      <c r="B2" s="6" t="s">
        <v>118</v>
      </c>
      <c r="C2" s="14" t="s">
        <v>189</v>
      </c>
      <c r="D2" s="4" t="s">
        <v>141</v>
      </c>
      <c r="E2" s="20">
        <v>41514</v>
      </c>
      <c r="F2" s="10">
        <v>0</v>
      </c>
    </row>
    <row r="3" spans="1:6" ht="38.25" x14ac:dyDescent="0.2">
      <c r="A3" s="4" t="s">
        <v>29</v>
      </c>
      <c r="B3" s="6" t="s">
        <v>118</v>
      </c>
      <c r="C3" s="14" t="s">
        <v>189</v>
      </c>
      <c r="D3" s="4" t="s">
        <v>176</v>
      </c>
      <c r="E3" s="20">
        <v>20000</v>
      </c>
      <c r="F3" s="10">
        <v>0</v>
      </c>
    </row>
    <row r="4" spans="1:6" ht="38.25" x14ac:dyDescent="0.2">
      <c r="A4" s="4" t="s">
        <v>49</v>
      </c>
      <c r="B4" s="6" t="s">
        <v>72</v>
      </c>
      <c r="C4" s="14" t="s">
        <v>73</v>
      </c>
      <c r="D4" s="4" t="s">
        <v>74</v>
      </c>
      <c r="E4" s="20">
        <v>250000</v>
      </c>
      <c r="F4" s="25">
        <f>E4</f>
        <v>250000</v>
      </c>
    </row>
    <row r="5" spans="1:6" ht="38.25" x14ac:dyDescent="0.2">
      <c r="A5" s="4" t="s">
        <v>119</v>
      </c>
      <c r="B5" s="4" t="s">
        <v>118</v>
      </c>
      <c r="C5" s="14" t="s">
        <v>190</v>
      </c>
      <c r="D5" s="4" t="s">
        <v>179</v>
      </c>
      <c r="E5" s="20">
        <v>106250</v>
      </c>
      <c r="F5" s="25">
        <f>E5</f>
        <v>106250</v>
      </c>
    </row>
    <row r="6" spans="1:6" ht="38.25" x14ac:dyDescent="0.2">
      <c r="A6" s="4" t="s">
        <v>145</v>
      </c>
      <c r="B6" s="4" t="s">
        <v>118</v>
      </c>
      <c r="C6" s="14" t="s">
        <v>191</v>
      </c>
      <c r="D6" s="4" t="s">
        <v>146</v>
      </c>
      <c r="E6" s="20">
        <v>17500</v>
      </c>
      <c r="F6" s="10">
        <v>0</v>
      </c>
    </row>
    <row r="7" spans="1:6" ht="38.25" x14ac:dyDescent="0.2">
      <c r="A7" s="4" t="s">
        <v>131</v>
      </c>
      <c r="B7" s="4" t="s">
        <v>118</v>
      </c>
      <c r="C7" s="14" t="s">
        <v>190</v>
      </c>
      <c r="D7" s="4" t="s">
        <v>171</v>
      </c>
      <c r="E7" s="20">
        <v>47770</v>
      </c>
      <c r="F7" s="25">
        <f>E7</f>
        <v>47770</v>
      </c>
    </row>
    <row r="8" spans="1:6" x14ac:dyDescent="0.2">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40CE-BB24-4FE8-A70A-1A4DF6AA89D5}">
  <dimension ref="A1:F11"/>
  <sheetViews>
    <sheetView zoomScale="75" zoomScaleNormal="100" workbookViewId="0">
      <selection activeCell="D10" sqref="D10"/>
    </sheetView>
  </sheetViews>
  <sheetFormatPr baseColWidth="10" defaultColWidth="9.140625" defaultRowHeight="12.75" x14ac:dyDescent="0.2"/>
  <cols>
    <col min="1" max="1" width="26.85546875" style="32" customWidth="1"/>
    <col min="2" max="2" width="20" style="40" customWidth="1"/>
    <col min="3" max="3" width="5.7109375" style="37" hidden="1" customWidth="1"/>
    <col min="4" max="4" width="43.28515625"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38.25" x14ac:dyDescent="0.2">
      <c r="A2" s="32" t="s">
        <v>48</v>
      </c>
      <c r="B2" s="32" t="s">
        <v>75</v>
      </c>
      <c r="C2" s="37" t="s">
        <v>76</v>
      </c>
      <c r="D2" s="32" t="s">
        <v>77</v>
      </c>
      <c r="E2" s="39">
        <v>59700</v>
      </c>
      <c r="F2" s="39">
        <v>59700</v>
      </c>
    </row>
    <row r="3" spans="1:6" ht="76.5" x14ac:dyDescent="0.2">
      <c r="A3" s="32" t="s">
        <v>33</v>
      </c>
      <c r="B3" s="32" t="s">
        <v>81</v>
      </c>
      <c r="C3" s="37" t="s">
        <v>64</v>
      </c>
      <c r="D3" s="32" t="s">
        <v>82</v>
      </c>
      <c r="E3" s="39">
        <v>250000</v>
      </c>
      <c r="F3" s="39">
        <v>250000</v>
      </c>
    </row>
    <row r="4" spans="1:6" ht="38.25" x14ac:dyDescent="0.2">
      <c r="A4" s="32" t="s">
        <v>38</v>
      </c>
      <c r="B4" s="32" t="s">
        <v>75</v>
      </c>
      <c r="C4" s="37" t="s">
        <v>76</v>
      </c>
      <c r="D4" s="32" t="s">
        <v>93</v>
      </c>
      <c r="E4" s="39">
        <v>115535</v>
      </c>
      <c r="F4" s="39">
        <v>115535</v>
      </c>
    </row>
    <row r="5" spans="1:6" ht="38.25" x14ac:dyDescent="0.2">
      <c r="A5" s="32" t="s">
        <v>36</v>
      </c>
      <c r="B5" s="47" t="s">
        <v>66</v>
      </c>
      <c r="C5" s="37" t="s">
        <v>67</v>
      </c>
      <c r="D5" s="32" t="s">
        <v>61</v>
      </c>
      <c r="E5" s="39">
        <v>50000</v>
      </c>
      <c r="F5" s="39">
        <v>50000</v>
      </c>
    </row>
    <row r="6" spans="1:6" ht="38.25" x14ac:dyDescent="0.2">
      <c r="A6" s="32" t="s">
        <v>36</v>
      </c>
      <c r="B6" s="32" t="s">
        <v>210</v>
      </c>
      <c r="C6" s="37" t="s">
        <v>86</v>
      </c>
      <c r="D6" s="32" t="s">
        <v>85</v>
      </c>
      <c r="E6" s="39">
        <v>100000</v>
      </c>
      <c r="F6" s="39">
        <v>100000</v>
      </c>
    </row>
    <row r="7" spans="1:6" ht="63.75" x14ac:dyDescent="0.2">
      <c r="A7" s="32" t="s">
        <v>5</v>
      </c>
      <c r="B7" s="32" t="s">
        <v>163</v>
      </c>
      <c r="C7" s="37" t="s">
        <v>64</v>
      </c>
      <c r="D7" s="32" t="s">
        <v>65</v>
      </c>
      <c r="E7" s="39">
        <v>332000</v>
      </c>
      <c r="F7" s="39">
        <v>332000</v>
      </c>
    </row>
    <row r="8" spans="1:6" x14ac:dyDescent="0.2">
      <c r="D8" s="53" t="s">
        <v>212</v>
      </c>
      <c r="E8" s="54">
        <f>SUM(E2:E7)</f>
        <v>907235</v>
      </c>
      <c r="F8" s="54">
        <f>SUM(F2:F7)</f>
        <v>907235</v>
      </c>
    </row>
    <row r="10" spans="1:6" ht="25.5" x14ac:dyDescent="0.2">
      <c r="A10" s="32" t="s">
        <v>90</v>
      </c>
      <c r="B10" s="40" t="s">
        <v>91</v>
      </c>
      <c r="C10" s="37" t="s">
        <v>59</v>
      </c>
      <c r="D10" s="32" t="s">
        <v>92</v>
      </c>
      <c r="E10" s="39">
        <v>159490.1</v>
      </c>
      <c r="F10" s="39">
        <v>159490.1</v>
      </c>
    </row>
    <row r="11" spans="1:6" x14ac:dyDescent="0.2">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0F61-E3E9-4E8D-8A14-0F9AC56F83F6}">
  <dimension ref="A1:F20"/>
  <sheetViews>
    <sheetView topLeftCell="A10" zoomScale="75" zoomScaleNormal="100" workbookViewId="0">
      <selection activeCell="D16" sqref="D16"/>
    </sheetView>
  </sheetViews>
  <sheetFormatPr baseColWidth="10" defaultColWidth="9.140625" defaultRowHeight="12.75" x14ac:dyDescent="0.2"/>
  <cols>
    <col min="1" max="1" width="27.140625" style="32" customWidth="1"/>
    <col min="2" max="2" width="20" style="40" customWidth="1"/>
    <col min="3" max="3" width="5.7109375" style="37" hidden="1" customWidth="1"/>
    <col min="4" max="4" width="43"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51" x14ac:dyDescent="0.2">
      <c r="A2" s="32" t="s">
        <v>87</v>
      </c>
      <c r="B2" s="32" t="s">
        <v>88</v>
      </c>
      <c r="C2" s="37" t="s">
        <v>84</v>
      </c>
      <c r="D2" s="32" t="s">
        <v>89</v>
      </c>
      <c r="E2" s="38">
        <v>1000000</v>
      </c>
    </row>
    <row r="3" spans="1:6" s="44" customFormat="1" ht="38.25" x14ac:dyDescent="0.2">
      <c r="A3" s="32" t="s">
        <v>35</v>
      </c>
      <c r="B3" s="32" t="s">
        <v>66</v>
      </c>
      <c r="C3" s="37" t="s">
        <v>67</v>
      </c>
      <c r="D3" s="32" t="s">
        <v>61</v>
      </c>
      <c r="E3" s="39">
        <v>55000</v>
      </c>
      <c r="F3" s="39">
        <v>50000</v>
      </c>
    </row>
    <row r="4" spans="1:6" ht="89.25" x14ac:dyDescent="0.2">
      <c r="A4" s="15" t="s">
        <v>48</v>
      </c>
      <c r="B4" s="32" t="s">
        <v>109</v>
      </c>
      <c r="C4" s="42" t="s">
        <v>78</v>
      </c>
      <c r="D4" s="32" t="s">
        <v>209</v>
      </c>
      <c r="E4" s="39">
        <v>42000</v>
      </c>
      <c r="F4" s="43">
        <v>42000</v>
      </c>
    </row>
    <row r="5" spans="1:6" ht="38.25" x14ac:dyDescent="0.2">
      <c r="A5" s="32" t="s">
        <v>28</v>
      </c>
      <c r="B5" s="32" t="s">
        <v>66</v>
      </c>
      <c r="C5" s="37" t="s">
        <v>67</v>
      </c>
      <c r="D5" s="32" t="s">
        <v>61</v>
      </c>
      <c r="E5" s="39">
        <v>50000</v>
      </c>
      <c r="F5" s="39">
        <v>50000</v>
      </c>
    </row>
    <row r="6" spans="1:6" ht="63.75" x14ac:dyDescent="0.2">
      <c r="A6" s="32" t="s">
        <v>180</v>
      </c>
      <c r="B6" s="32" t="s">
        <v>181</v>
      </c>
      <c r="C6" s="37" t="s">
        <v>198</v>
      </c>
      <c r="D6" s="32" t="s">
        <v>207</v>
      </c>
      <c r="E6" s="39">
        <v>75000</v>
      </c>
      <c r="F6" s="39">
        <v>75000</v>
      </c>
    </row>
    <row r="7" spans="1:6" ht="51" x14ac:dyDescent="0.2">
      <c r="A7" s="32" t="s">
        <v>34</v>
      </c>
      <c r="B7" s="32" t="s">
        <v>79</v>
      </c>
      <c r="C7" s="37" t="s">
        <v>78</v>
      </c>
      <c r="D7" s="32" t="s">
        <v>188</v>
      </c>
      <c r="E7" s="39">
        <v>75000</v>
      </c>
      <c r="F7" s="39">
        <v>75000</v>
      </c>
    </row>
    <row r="8" spans="1:6" s="17" customFormat="1" ht="63.75" x14ac:dyDescent="0.2">
      <c r="A8" s="15" t="s">
        <v>34</v>
      </c>
      <c r="B8" s="32" t="s">
        <v>94</v>
      </c>
      <c r="C8" s="42" t="s">
        <v>63</v>
      </c>
      <c r="D8" s="32" t="s">
        <v>208</v>
      </c>
      <c r="E8" s="9">
        <v>189890</v>
      </c>
      <c r="F8" s="9">
        <v>189890</v>
      </c>
    </row>
    <row r="9" spans="1:6" ht="51" x14ac:dyDescent="0.2">
      <c r="A9" s="32" t="s">
        <v>18</v>
      </c>
      <c r="B9" s="32" t="s">
        <v>182</v>
      </c>
      <c r="C9" s="37" t="s">
        <v>199</v>
      </c>
      <c r="D9" s="32" t="s">
        <v>183</v>
      </c>
      <c r="E9" s="39">
        <v>127500</v>
      </c>
      <c r="F9" s="39">
        <v>40000</v>
      </c>
    </row>
    <row r="10" spans="1:6" ht="63.75" x14ac:dyDescent="0.2">
      <c r="A10" s="32" t="s">
        <v>37</v>
      </c>
      <c r="B10" s="32" t="s">
        <v>83</v>
      </c>
      <c r="C10" s="37" t="s">
        <v>84</v>
      </c>
      <c r="D10" s="32" t="s">
        <v>62</v>
      </c>
      <c r="E10" s="39">
        <v>1700000</v>
      </c>
      <c r="F10" s="52" t="s">
        <v>222</v>
      </c>
    </row>
    <row r="11" spans="1:6" ht="63.75" x14ac:dyDescent="0.2">
      <c r="A11" s="41" t="s">
        <v>25</v>
      </c>
      <c r="B11" s="41" t="s">
        <v>167</v>
      </c>
      <c r="C11" s="45" t="s">
        <v>78</v>
      </c>
      <c r="D11" s="41" t="s">
        <v>202</v>
      </c>
      <c r="E11" s="46">
        <v>56000</v>
      </c>
      <c r="F11" s="39">
        <v>56000</v>
      </c>
    </row>
    <row r="12" spans="1:6" ht="38.25" x14ac:dyDescent="0.2">
      <c r="A12" s="40" t="s">
        <v>95</v>
      </c>
      <c r="B12" s="32" t="s">
        <v>75</v>
      </c>
      <c r="C12" s="37" t="s">
        <v>76</v>
      </c>
      <c r="D12" s="32" t="s">
        <v>187</v>
      </c>
      <c r="E12" s="39">
        <v>218934</v>
      </c>
    </row>
    <row r="13" spans="1:6" ht="51" x14ac:dyDescent="0.2">
      <c r="A13" s="32" t="s">
        <v>68</v>
      </c>
      <c r="B13" s="32" t="s">
        <v>71</v>
      </c>
      <c r="C13" s="37" t="s">
        <v>70</v>
      </c>
      <c r="D13" s="32" t="s">
        <v>69</v>
      </c>
      <c r="E13" s="39">
        <v>10000</v>
      </c>
    </row>
    <row r="14" spans="1:6" x14ac:dyDescent="0.2">
      <c r="D14" s="53" t="s">
        <v>211</v>
      </c>
      <c r="E14" s="54">
        <f>SUM(E2:E13)</f>
        <v>3599324</v>
      </c>
      <c r="F14" s="54">
        <f>SUM(F3:F13)</f>
        <v>577890</v>
      </c>
    </row>
    <row r="16" spans="1:6" ht="63.75" x14ac:dyDescent="0.2">
      <c r="A16" s="32" t="s">
        <v>215</v>
      </c>
      <c r="B16" s="32" t="s">
        <v>216</v>
      </c>
      <c r="C16" s="50" t="s">
        <v>217</v>
      </c>
      <c r="D16" s="41" t="s">
        <v>218</v>
      </c>
      <c r="E16" s="39">
        <f>2432890*0.15</f>
        <v>364933.5</v>
      </c>
      <c r="F16" s="39">
        <f>2432890*0.15</f>
        <v>364933.5</v>
      </c>
    </row>
    <row r="17" spans="1:6" ht="63.75" x14ac:dyDescent="0.2">
      <c r="A17" s="32" t="s">
        <v>28</v>
      </c>
      <c r="B17" s="32" t="s">
        <v>226</v>
      </c>
      <c r="C17" s="37" t="s">
        <v>57</v>
      </c>
      <c r="D17" s="41" t="s">
        <v>227</v>
      </c>
      <c r="E17" s="39">
        <v>300000</v>
      </c>
      <c r="F17" s="39">
        <v>300000</v>
      </c>
    </row>
    <row r="18" spans="1:6" x14ac:dyDescent="0.2">
      <c r="D18" s="47" t="s">
        <v>219</v>
      </c>
      <c r="E18" s="49">
        <f>SUM(E14:E17)</f>
        <v>4264257.5</v>
      </c>
      <c r="F18" s="49">
        <f>SUM(F14:F17)</f>
        <v>1242823.5</v>
      </c>
    </row>
    <row r="19" spans="1:6" x14ac:dyDescent="0.2">
      <c r="D19" s="47" t="s">
        <v>233</v>
      </c>
      <c r="E19" s="49">
        <f>HOME!E11</f>
        <v>1066725.1000000001</v>
      </c>
    </row>
    <row r="20" spans="1:6" x14ac:dyDescent="0.2">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Municipal</vt:lpstr>
      <vt:lpstr>Non Profit</vt:lpstr>
      <vt:lpstr>County</vt:lpstr>
      <vt:lpstr>Rehab</vt:lpstr>
      <vt:lpstr>HOME</vt:lpstr>
      <vt:lpstr>AHTF</vt:lpstr>
      <vt:lpstr>'Non Profit'!Druckbereich</vt:lpstr>
      <vt:lpstr>AHTF!Drucktitel</vt:lpstr>
      <vt:lpstr>HOME!Drucktitel</vt:lpstr>
      <vt:lpstr>Municipal!Drucktitel</vt:lpstr>
      <vt:lpstr>'Non Profit'!Drucktitel</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Kaufmann Timon</cp:lastModifiedBy>
  <cp:lastPrinted>2003-06-17T14:36:35Z</cp:lastPrinted>
  <dcterms:created xsi:type="dcterms:W3CDTF">2002-03-14T14:35:44Z</dcterms:created>
  <dcterms:modified xsi:type="dcterms:W3CDTF">2026-03-11T23:05:23Z</dcterms:modified>
</cp:coreProperties>
</file>