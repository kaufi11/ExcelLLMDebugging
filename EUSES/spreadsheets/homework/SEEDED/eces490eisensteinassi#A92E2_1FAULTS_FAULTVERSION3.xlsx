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<sst xmlns="http://schemas.openxmlformats.org/spreadsheetml/2006/main" count="20" uniqueCount="11">
  <si>
    <t xml:space="preserve">ECES 490 Homework 4</t>
  </si>
  <si>
    <t xml:space="preserve">Part 1:</t>
  </si>
  <si>
    <t xml:space="preserve">5 Symbol Alphabet</t>
  </si>
  <si>
    <t xml:space="preserve">Probabilities P(A)</t>
  </si>
  <si>
    <t xml:space="preserve">Info Content I(A)</t>
  </si>
  <si>
    <t xml:space="preserve">Entropy H(A)</t>
  </si>
  <si>
    <t xml:space="preserve">H(A) =</t>
  </si>
  <si>
    <t xml:space="preserve">bits</t>
  </si>
  <si>
    <t xml:space="preserve">Part 2:</t>
  </si>
  <si>
    <t xml:space="preserve">26 Symbol Alphabet</t>
  </si>
  <si>
    <t xml:space="preserve">Max H(A) =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</si>
</sst>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5.97"/>
    <col collapsed="false" customWidth="true" hidden="false" outlineLevel="0" max="2" min="2" style="0" width="13.83"/>
    <col collapsed="false" customWidth="true" hidden="false" outlineLevel="0" max="3" min="3" style="0" width="11.12"/>
    <col collapsed="false" customWidth="true" hidden="false" outlineLevel="0" max="5" min="5" style="0" width="12.55"/>
  </cols>
  <sheetData>
    <row r="1" customFormat="false" ht="12.75" hidden="false" customHeight="false" outlineLevel="0" collapsed="false">
      <c r="A1" s="0" t="s">
        <v>0</v>
      </c>
    </row>
    <row r="4" customFormat="false" ht="12.75" hidden="false" customHeight="false" outlineLevel="0" collapsed="false">
      <c r="A4" s="1" t="s">
        <v>1</v>
      </c>
    </row>
    <row r="5" customFormat="false" ht="12.75" hidden="false" customHeight="false" outlineLevel="0" collapsed="false">
      <c r="A5" s="1" t="s">
        <v>2</v>
      </c>
    </row>
    <row r="6" customFormat="false" ht="12.75" hidden="false" customHeight="false" outlineLevel="0" collapsed="false">
      <c r="A6" s="1" t="s">
        <v>3</v>
      </c>
      <c r="B6" s="0" t="s">
        <v>4</v>
      </c>
      <c r="C6" s="0" t="s">
        <v>5</v>
      </c>
    </row>
    <row r="7" customFormat="false" ht="12.75" hidden="false" customHeight="false" outlineLevel="0" collapsed="false">
      <c r="A7" s="2" t="n">
        <v>0.2</v>
      </c>
      <c r="B7" s="3" t="n">
        <f aca="false">-LOG(A7,2)</f>
        <v>2.32192809488736</v>
      </c>
      <c r="C7" s="3" t="n">
        <f aca="false">A7*B7</f>
        <v>0.464385618977472</v>
      </c>
    </row>
    <row r="8" customFormat="false" ht="12.75" hidden="false" customHeight="false" outlineLevel="0" collapsed="false">
      <c r="A8" s="2" t="n">
        <v>0.15</v>
      </c>
      <c r="B8" s="3" t="n">
        <f aca="false">-LOG(A8,2)</f>
        <v>2.73696559416621</v>
      </c>
      <c r="C8" s="3" t="n">
        <f aca="false">A8*B8</f>
        <v>0.410544839124931</v>
      </c>
    </row>
    <row r="9" customFormat="false" ht="12.75" hidden="false" customHeight="false" outlineLevel="0" collapsed="false">
      <c r="A9" s="2" t="n">
        <v>0.1</v>
      </c>
      <c r="B9" s="3" t="n">
        <f aca="false">-LOG(A9,2)</f>
        <v>3.32192809488736</v>
      </c>
      <c r="C9" s="3" t="n">
        <f aca="false">A9*B9</f>
        <v>0.332192809488736</v>
      </c>
    </row>
    <row r="10" customFormat="false" ht="12.75" hidden="false" customHeight="false" outlineLevel="0" collapsed="false">
      <c r="A10" s="2" t="n">
        <v>0.4</v>
      </c>
      <c r="B10" s="3" t="n">
        <f aca="false">-LOG(A10,2)</f>
        <v>1.32192809488736</v>
      </c>
      <c r="C10" s="3" t="n">
        <f aca="false">A10*B10</f>
        <v>0.528771237954945</v>
      </c>
    </row>
    <row r="11" customFormat="false" ht="12.75" hidden="false" customHeight="false" outlineLevel="0" collapsed="false">
      <c r="A11" s="2" t="n">
        <v>0.15</v>
      </c>
      <c r="B11" s="3" t="n">
        <f aca="false">-LOG(A11,2)</f>
        <v>2.73696559416621</v>
      </c>
      <c r="C11" s="3" t="n">
        <f aca="false">A11*B11</f>
        <v>0.410544839124931</v>
      </c>
    </row>
    <row r="12" customFormat="false" ht="12.75" hidden="false" customHeight="false" outlineLevel="0" collapsed="false">
      <c r="C12" s="3"/>
    </row>
    <row r="13" customFormat="false" ht="12.75" hidden="false" customHeight="false" outlineLevel="0" collapsed="false">
      <c r="B13" s="4" t="s">
        <v>6</v>
      </c>
      <c r="C13" s="3" t="n">
        <f aca="false">C7+C8+C9+C10+C11</f>
        <v>2.14643934467102</v>
      </c>
      <c r="D13" s="0" t="s">
        <v>7</v>
      </c>
    </row>
    <row r="16" customFormat="false" ht="12.75" hidden="false" customHeight="false" outlineLevel="0" collapsed="false">
      <c r="A16" s="0" t="s">
        <v>8</v>
      </c>
    </row>
    <row r="17" customFormat="false" ht="12.75" hidden="false" customHeight="false" outlineLevel="0" collapsed="false">
      <c r="A17" s="0" t="s">
        <v>9</v>
      </c>
    </row>
    <row r="18" customFormat="false" ht="12.75" hidden="false" customHeight="false" outlineLevel="0" collapsed="false">
      <c r="A18" s="0" t="s">
        <v>3</v>
      </c>
      <c r="E18" s="0" t="s">
        <v>3</v>
      </c>
    </row>
    <row r="19" customFormat="false" ht="12.75" hidden="false" customHeight="false" outlineLevel="0" collapsed="false">
      <c r="A19" s="3" t="n">
        <v>0.0645161290322581</v>
      </c>
      <c r="B19" s="3" t="n">
        <f aca="false">-LOG(A19,2)</f>
        <v>3.95419631038687</v>
      </c>
      <c r="C19" s="3" t="n">
        <f aca="false">A19*B19</f>
        <v>0.255109439379798</v>
      </c>
      <c r="E19" s="3" t="n">
        <v>0.108695652173913</v>
      </c>
      <c r="F19" s="3" t="n">
        <f aca="false">-LOG(E19,2)</f>
        <v>3.20163386116965</v>
      </c>
      <c r="G19" s="3" t="n">
        <f aca="false">E19/F19</f>
        <v>0.0339500570293829</v>
      </c>
    </row>
    <row r="20" customFormat="false" ht="12.75" hidden="false" customHeight="false" outlineLevel="0" collapsed="false">
      <c r="A20" s="3" t="n">
        <v>0.0645161290322581</v>
      </c>
      <c r="B20" s="3" t="n">
        <f aca="false">-LOG(A20,2)</f>
        <v>3.95419631038687</v>
      </c>
      <c r="C20" s="3" t="n">
        <f aca="false">A20*B20</f>
        <v>0.255109439379798</v>
      </c>
      <c r="E20" s="3" t="n">
        <v>0.108695652173913</v>
      </c>
      <c r="F20" s="3" t="n">
        <f aca="false">-LOG(E20,2)</f>
        <v>3.20163386116965</v>
      </c>
      <c r="G20" s="3" t="n">
        <f aca="false">E20*F20</f>
        <v>0.348003680561918</v>
      </c>
    </row>
    <row r="21" customFormat="false" ht="12.75" hidden="false" customHeight="false" outlineLevel="0" collapsed="false">
      <c r="A21" s="3" t="n">
        <v>0.0645161290322581</v>
      </c>
      <c r="B21" s="3" t="n">
        <f aca="false">-LOG(A21,2)</f>
        <v>3.95419631038687</v>
      </c>
      <c r="C21" s="3" t="n">
        <f aca="false">A21*B21</f>
        <v>0.255109439379798</v>
      </c>
      <c r="E21" s="3" t="n">
        <v>0.108695652173913</v>
      </c>
      <c r="F21" s="3" t="n">
        <f aca="false">-LOG(E21,2)</f>
        <v>3.20163386116965</v>
      </c>
      <c r="G21" s="3" t="n">
        <f aca="false">E21*F21</f>
        <v>0.348003680561918</v>
      </c>
    </row>
    <row r="22" customFormat="false" ht="12.75" hidden="false" customHeight="false" outlineLevel="0" collapsed="false">
      <c r="A22" s="3" t="n">
        <v>0.0645161290322581</v>
      </c>
      <c r="B22" s="3" t="n">
        <f aca="false">-LOG(A22,2)</f>
        <v>3.95419631038687</v>
      </c>
      <c r="C22" s="3" t="n">
        <f aca="false">A22*B22</f>
        <v>0.255109439379798</v>
      </c>
      <c r="E22" s="3" t="n">
        <v>0.108695652173913</v>
      </c>
      <c r="F22" s="3" t="n">
        <f aca="false">-LOG(E22,2)</f>
        <v>3.20163386116965</v>
      </c>
      <c r="G22" s="3" t="n">
        <f aca="false">E22*F22</f>
        <v>0.348003680561918</v>
      </c>
    </row>
    <row r="23" customFormat="false" ht="12.75" hidden="false" customHeight="false" outlineLevel="0" collapsed="false">
      <c r="A23" s="3" t="n">
        <v>0.0645161290322581</v>
      </c>
      <c r="B23" s="3" t="n">
        <f aca="false">-LOG(A23,2)</f>
        <v>3.95419631038687</v>
      </c>
      <c r="C23" s="3" t="n">
        <f aca="false">A23*B23</f>
        <v>0.255109439379798</v>
      </c>
      <c r="E23" s="3" t="n">
        <v>0.108695652173913</v>
      </c>
      <c r="F23" s="3" t="n">
        <f aca="false">-LOG(E23,2)</f>
        <v>3.20163386116965</v>
      </c>
      <c r="G23" s="3" t="n">
        <f aca="false">E23*F23</f>
        <v>0.348003680561918</v>
      </c>
    </row>
    <row r="24" customFormat="false" ht="12.75" hidden="false" customHeight="false" outlineLevel="0" collapsed="false">
      <c r="A24" s="3" t="n">
        <v>0.032258064516129</v>
      </c>
      <c r="B24" s="3" t="n">
        <f aca="false">-LOG(A24,2)</f>
        <v>4.95419631038688</v>
      </c>
      <c r="C24" s="3" t="n">
        <f aca="false">A24*B24</f>
        <v>0.159812784206028</v>
      </c>
      <c r="E24" s="3" t="n">
        <v>0.0217391304347826</v>
      </c>
      <c r="F24" s="3" t="n">
        <f aca="false">-LOG(E24,2)</f>
        <v>5.52356195605701</v>
      </c>
      <c r="G24" s="3" t="n">
        <f aca="false">E24*F24</f>
        <v>0.120077433827326</v>
      </c>
    </row>
    <row r="25" customFormat="false" ht="12.75" hidden="false" customHeight="false" outlineLevel="0" collapsed="false">
      <c r="A25" s="3" t="n">
        <v>0.032258064516129</v>
      </c>
      <c r="B25" s="3" t="n">
        <f aca="false">-LOG(A25,2)</f>
        <v>4.95419631038688</v>
      </c>
      <c r="C25" s="3" t="n">
        <f aca="false">A25*B25</f>
        <v>0.159812784206028</v>
      </c>
      <c r="E25" s="3" t="n">
        <v>0.0217391304347826</v>
      </c>
      <c r="F25" s="3" t="n">
        <f aca="false">-LOG(E25,2)</f>
        <v>5.52356195605701</v>
      </c>
      <c r="G25" s="3" t="n">
        <f aca="false">E25*F25</f>
        <v>0.120077433827326</v>
      </c>
    </row>
    <row r="26" customFormat="false" ht="12.75" hidden="false" customHeight="false" outlineLevel="0" collapsed="false">
      <c r="A26" s="3" t="n">
        <v>0.032258064516129</v>
      </c>
      <c r="B26" s="3" t="n">
        <f aca="false">-LOG(A26,2)</f>
        <v>4.95419631038688</v>
      </c>
      <c r="C26" s="3" t="n">
        <f aca="false">A26*B26</f>
        <v>0.159812784206028</v>
      </c>
      <c r="E26" s="3" t="n">
        <v>0.0217391304347826</v>
      </c>
      <c r="F26" s="3" t="n">
        <f aca="false">-LOG(E26,2)</f>
        <v>5.52356195605701</v>
      </c>
      <c r="G26" s="3" t="n">
        <f aca="false">E26*F26</f>
        <v>0.120077433827326</v>
      </c>
    </row>
    <row r="27" customFormat="false" ht="12.75" hidden="false" customHeight="false" outlineLevel="0" collapsed="false">
      <c r="A27" s="3" t="n">
        <v>0.032258064516129</v>
      </c>
      <c r="B27" s="3" t="n">
        <f aca="false">-LOG(A27,2)</f>
        <v>4.95419631038688</v>
      </c>
      <c r="C27" s="3" t="n">
        <f aca="false">A27*B27</f>
        <v>0.159812784206028</v>
      </c>
      <c r="E27" s="3" t="n">
        <v>0.0217391304347826</v>
      </c>
      <c r="F27" s="3" t="n">
        <f aca="false">-LOG(E27,2)</f>
        <v>5.52356195605701</v>
      </c>
      <c r="G27" s="3" t="n">
        <f aca="false">E27*F27</f>
        <v>0.120077433827326</v>
      </c>
    </row>
    <row r="28" customFormat="false" ht="12.75" hidden="false" customHeight="false" outlineLevel="0" collapsed="false">
      <c r="A28" s="3" t="n">
        <v>0.032258064516129</v>
      </c>
      <c r="B28" s="3" t="n">
        <f aca="false">-LOG(A28,2)</f>
        <v>4.95419631038688</v>
      </c>
      <c r="C28" s="3" t="n">
        <f aca="false">A28*B28</f>
        <v>0.159812784206028</v>
      </c>
      <c r="E28" s="3" t="n">
        <v>0.0217391304347826</v>
      </c>
      <c r="F28" s="3" t="n">
        <f aca="false">-LOG(E28,2)</f>
        <v>5.52356195605701</v>
      </c>
      <c r="G28" s="3" t="n">
        <f aca="false">E28*F28</f>
        <v>0.120077433827326</v>
      </c>
    </row>
    <row r="29" customFormat="false" ht="12.75" hidden="false" customHeight="false" outlineLevel="0" collapsed="false">
      <c r="A29" s="3" t="n">
        <v>0.032258064516129</v>
      </c>
      <c r="B29" s="3" t="n">
        <f aca="false">-LOG(A29,2)</f>
        <v>4.95419631038688</v>
      </c>
      <c r="C29" s="3" t="n">
        <f aca="false">A29*B29</f>
        <v>0.159812784206028</v>
      </c>
      <c r="E29" s="3" t="n">
        <v>0.0217391304347826</v>
      </c>
      <c r="F29" s="3" t="n">
        <f aca="false">-LOG(E29,2)</f>
        <v>5.52356195605701</v>
      </c>
      <c r="G29" s="3" t="n">
        <f aca="false">E29*F29</f>
        <v>0.120077433827326</v>
      </c>
    </row>
    <row r="30" customFormat="false" ht="12.75" hidden="false" customHeight="false" outlineLevel="0" collapsed="false">
      <c r="A30" s="3" t="n">
        <v>0.032258064516129</v>
      </c>
      <c r="B30" s="3" t="n">
        <f aca="false">-LOG(A30,2)</f>
        <v>4.95419631038688</v>
      </c>
      <c r="C30" s="3" t="n">
        <f aca="false">A30*B30</f>
        <v>0.159812784206028</v>
      </c>
      <c r="E30" s="3" t="n">
        <v>0.0217391304347826</v>
      </c>
      <c r="F30" s="3" t="n">
        <f aca="false">-LOG(E30,2)</f>
        <v>5.52356195605701</v>
      </c>
      <c r="G30" s="3" t="n">
        <f aca="false">E30*F30</f>
        <v>0.120077433827326</v>
      </c>
    </row>
    <row r="31" customFormat="false" ht="12.75" hidden="false" customHeight="false" outlineLevel="0" collapsed="false">
      <c r="A31" s="3" t="n">
        <v>0.032258064516129</v>
      </c>
      <c r="B31" s="3" t="n">
        <f aca="false">-LOG(A31,2)</f>
        <v>4.95419631038688</v>
      </c>
      <c r="C31" s="3" t="n">
        <f aca="false">A31*B31</f>
        <v>0.159812784206028</v>
      </c>
      <c r="E31" s="3" t="n">
        <v>0.0217391304347826</v>
      </c>
      <c r="F31" s="3" t="n">
        <f aca="false">-LOG(E31,2)</f>
        <v>5.52356195605701</v>
      </c>
      <c r="G31" s="3" t="n">
        <f aca="false">E31*F31</f>
        <v>0.120077433827326</v>
      </c>
    </row>
    <row r="32" customFormat="false" ht="12.75" hidden="false" customHeight="false" outlineLevel="0" collapsed="false">
      <c r="A32" s="3" t="n">
        <v>0.032258064516129</v>
      </c>
      <c r="B32" s="3" t="n">
        <f aca="false">-LOG(A32,2)</f>
        <v>4.95419631038688</v>
      </c>
      <c r="C32" s="3" t="n">
        <f aca="false">A32*B32</f>
        <v>0.159812784206028</v>
      </c>
      <c r="E32" s="3" t="n">
        <v>0.0217391304347826</v>
      </c>
      <c r="F32" s="3" t="n">
        <f aca="false">-LOG(E32,2)</f>
        <v>5.52356195605701</v>
      </c>
      <c r="G32" s="3" t="n">
        <f aca="false">E32*F32</f>
        <v>0.120077433827326</v>
      </c>
    </row>
    <row r="33" customFormat="false" ht="12.75" hidden="false" customHeight="false" outlineLevel="0" collapsed="false">
      <c r="A33" s="3" t="n">
        <v>0.032258064516129</v>
      </c>
      <c r="B33" s="3" t="n">
        <f aca="false">-LOG(A33,2)</f>
        <v>4.95419631038688</v>
      </c>
      <c r="C33" s="3" t="n">
        <f aca="false">A33*B33</f>
        <v>0.159812784206028</v>
      </c>
      <c r="E33" s="3" t="n">
        <v>0.0217391304347826</v>
      </c>
      <c r="F33" s="3" t="n">
        <f aca="false">-LOG(E33,2)</f>
        <v>5.52356195605701</v>
      </c>
      <c r="G33" s="3" t="n">
        <f aca="false">E33*F33</f>
        <v>0.120077433827326</v>
      </c>
    </row>
    <row r="34" customFormat="false" ht="12.75" hidden="false" customHeight="false" outlineLevel="0" collapsed="false">
      <c r="A34" s="3" t="n">
        <v>0.032258064516129</v>
      </c>
      <c r="B34" s="3" t="n">
        <f aca="false">-LOG(A34,2)</f>
        <v>4.95419631038688</v>
      </c>
      <c r="C34" s="3" t="n">
        <f aca="false">A34*B34</f>
        <v>0.159812784206028</v>
      </c>
      <c r="E34" s="3" t="n">
        <v>0.0217391304347826</v>
      </c>
      <c r="F34" s="3" t="n">
        <f aca="false">-LOG(E34,2)</f>
        <v>5.52356195605701</v>
      </c>
      <c r="G34" s="3" t="n">
        <f aca="false">E34*F34</f>
        <v>0.120077433827326</v>
      </c>
    </row>
    <row r="35" customFormat="false" ht="12.75" hidden="false" customHeight="false" outlineLevel="0" collapsed="false">
      <c r="A35" s="3" t="n">
        <v>0.032258064516129</v>
      </c>
      <c r="B35" s="3" t="n">
        <f aca="false">-LOG(A35,2)</f>
        <v>4.95419631038688</v>
      </c>
      <c r="C35" s="3" t="n">
        <f aca="false">A35*B35</f>
        <v>0.159812784206028</v>
      </c>
      <c r="E35" s="3" t="n">
        <v>0.0217391304347826</v>
      </c>
      <c r="F35" s="3" t="n">
        <f aca="false">-LOG(E35,2)</f>
        <v>5.52356195605701</v>
      </c>
      <c r="G35" s="3" t="n">
        <f aca="false">E35*F35</f>
        <v>0.120077433827326</v>
      </c>
    </row>
    <row r="36" customFormat="false" ht="12.75" hidden="false" customHeight="false" outlineLevel="0" collapsed="false">
      <c r="A36" s="3" t="n">
        <v>0.032258064516129</v>
      </c>
      <c r="B36" s="3" t="n">
        <f aca="false">-LOG(A36,2)</f>
        <v>4.95419631038688</v>
      </c>
      <c r="C36" s="3" t="n">
        <f aca="false">A36*B36</f>
        <v>0.159812784206028</v>
      </c>
      <c r="E36" s="3" t="n">
        <v>0.0217391304347826</v>
      </c>
      <c r="F36" s="3" t="n">
        <f aca="false">-LOG(E36,2)</f>
        <v>5.52356195605701</v>
      </c>
      <c r="G36" s="3" t="n">
        <f aca="false">E36*F36</f>
        <v>0.120077433827326</v>
      </c>
    </row>
    <row r="37" customFormat="false" ht="12.75" hidden="false" customHeight="false" outlineLevel="0" collapsed="false">
      <c r="A37" s="3" t="n">
        <v>0.032258064516129</v>
      </c>
      <c r="B37" s="3" t="n">
        <f aca="false">-LOG(A37,2)</f>
        <v>4.95419631038688</v>
      </c>
      <c r="C37" s="3" t="n">
        <f aca="false">A37*B37</f>
        <v>0.159812784206028</v>
      </c>
      <c r="E37" s="3" t="n">
        <v>0.0217391304347826</v>
      </c>
      <c r="F37" s="3" t="n">
        <f aca="false">-LOG(E37,2)</f>
        <v>5.52356195605701</v>
      </c>
      <c r="G37" s="3" t="n">
        <f aca="false">E37*F37</f>
        <v>0.120077433827326</v>
      </c>
    </row>
    <row r="38" customFormat="false" ht="12.75" hidden="false" customHeight="false" outlineLevel="0" collapsed="false">
      <c r="A38" s="3" t="n">
        <v>0.032258064516129</v>
      </c>
      <c r="B38" s="3" t="n">
        <f aca="false">-LOG(A38,2)</f>
        <v>4.95419631038688</v>
      </c>
      <c r="C38" s="3" t="n">
        <f aca="false">A38*B38</f>
        <v>0.159812784206028</v>
      </c>
      <c r="E38" s="3" t="n">
        <v>0.0217391304347826</v>
      </c>
      <c r="F38" s="3" t="n">
        <f aca="false">-LOG(E38,2)</f>
        <v>5.52356195605701</v>
      </c>
      <c r="G38" s="3" t="n">
        <f aca="false">E38*F38</f>
        <v>0.120077433827326</v>
      </c>
    </row>
    <row r="39" customFormat="false" ht="12.75" hidden="false" customHeight="false" outlineLevel="0" collapsed="false">
      <c r="A39" s="3" t="n">
        <v>0.032258064516129</v>
      </c>
      <c r="B39" s="3" t="n">
        <f aca="false">-LOG(A39,2)</f>
        <v>4.95419631038688</v>
      </c>
      <c r="C39" s="3" t="n">
        <f aca="false">A39*B39</f>
        <v>0.159812784206028</v>
      </c>
      <c r="E39" s="3" t="n">
        <v>0.0217391304347826</v>
      </c>
      <c r="F39" s="3" t="n">
        <f aca="false">-LOG(E39,2)</f>
        <v>5.52356195605701</v>
      </c>
      <c r="G39" s="3" t="n">
        <f aca="false">E39*F39</f>
        <v>0.120077433827326</v>
      </c>
    </row>
    <row r="40" customFormat="false" ht="12.75" hidden="false" customHeight="false" outlineLevel="0" collapsed="false">
      <c r="A40" s="3" t="n">
        <v>0.032258064516129</v>
      </c>
      <c r="B40" s="3" t="n">
        <f aca="false">-LOG(A40,2)</f>
        <v>4.95419631038688</v>
      </c>
      <c r="C40" s="3" t="n">
        <f aca="false">A40*B40</f>
        <v>0.159812784206028</v>
      </c>
      <c r="E40" s="3" t="n">
        <v>0.0217391304347826</v>
      </c>
      <c r="F40" s="3" t="n">
        <f aca="false">-LOG(E40,2)</f>
        <v>5.52356195605701</v>
      </c>
      <c r="G40" s="3" t="n">
        <f aca="false">E40*F40</f>
        <v>0.120077433827326</v>
      </c>
    </row>
    <row r="41" customFormat="false" ht="12.75" hidden="false" customHeight="false" outlineLevel="0" collapsed="false">
      <c r="A41" s="3" t="n">
        <v>0.032258064516129</v>
      </c>
      <c r="B41" s="3" t="n">
        <f aca="false">-LOG(A41,2)</f>
        <v>4.95419631038688</v>
      </c>
      <c r="C41" s="3" t="n">
        <f aca="false">A41*B41</f>
        <v>0.159812784206028</v>
      </c>
      <c r="E41" s="3" t="n">
        <v>0.0217391304347826</v>
      </c>
      <c r="F41" s="3" t="n">
        <f aca="false">-LOG(E41,2)</f>
        <v>5.52356195605701</v>
      </c>
      <c r="G41" s="3" t="n">
        <f aca="false">E41*F41</f>
        <v>0.120077433827326</v>
      </c>
    </row>
    <row r="42" customFormat="false" ht="12.75" hidden="false" customHeight="false" outlineLevel="0" collapsed="false">
      <c r="A42" s="3" t="n">
        <v>0.032258064516129</v>
      </c>
      <c r="B42" s="3" t="n">
        <f aca="false">-LOG(A42,2)</f>
        <v>4.95419631038688</v>
      </c>
      <c r="C42" s="3" t="n">
        <f aca="false">A42*B42</f>
        <v>0.159812784206028</v>
      </c>
      <c r="E42" s="3" t="n">
        <v>0.0217391304347826</v>
      </c>
      <c r="F42" s="3" t="n">
        <f aca="false">-LOG(E42,2)</f>
        <v>5.52356195605701</v>
      </c>
      <c r="G42" s="3" t="n">
        <f aca="false">E42*F42</f>
        <v>0.120077433827326</v>
      </c>
    </row>
    <row r="43" customFormat="false" ht="12.75" hidden="false" customHeight="false" outlineLevel="0" collapsed="false">
      <c r="A43" s="3" t="n">
        <v>0.032258064516129</v>
      </c>
      <c r="B43" s="3" t="n">
        <f aca="false">-LOG(A43,2)</f>
        <v>4.95419631038688</v>
      </c>
      <c r="C43" s="3" t="n">
        <f aca="false">A43*B43</f>
        <v>0.159812784206028</v>
      </c>
      <c r="E43" s="3" t="n">
        <v>0.0217391304347826</v>
      </c>
      <c r="F43" s="3" t="n">
        <f aca="false">-LOG(E43,2)</f>
        <v>5.52356195605701</v>
      </c>
      <c r="G43" s="3" t="n">
        <f aca="false">E43*F43</f>
        <v>0.120077433827326</v>
      </c>
    </row>
    <row r="44" customFormat="false" ht="12.75" hidden="false" customHeight="false" outlineLevel="0" collapsed="false">
      <c r="A44" s="3" t="n">
        <v>0.032258064516129</v>
      </c>
      <c r="B44" s="3" t="n">
        <f aca="false">-LOG(A44,2)</f>
        <v>4.95419631038688</v>
      </c>
      <c r="C44" s="3" t="n">
        <f aca="false">A44*B44</f>
        <v>0.159812784206028</v>
      </c>
      <c r="E44" s="3" t="n">
        <v>0.0217391304347826</v>
      </c>
      <c r="F44" s="3" t="n">
        <f aca="false">-LOG(E44,2)</f>
        <v>5.52356195605701</v>
      </c>
      <c r="G44" s="3" t="n">
        <f aca="false">E44*F44</f>
        <v>0.120077433827326</v>
      </c>
    </row>
    <row r="45" customFormat="false" ht="12.75" hidden="false" customHeight="false" outlineLevel="0" collapsed="false">
      <c r="A45" s="5"/>
      <c r="B45" s="5"/>
      <c r="C45" s="5"/>
      <c r="E45" s="5"/>
      <c r="F45" s="5"/>
      <c r="G45" s="5"/>
    </row>
    <row r="46" customFormat="false" ht="12.75" hidden="false" customHeight="false" outlineLevel="0" collapsed="false">
      <c r="A46" s="5"/>
      <c r="B46" s="6" t="s">
        <v>6</v>
      </c>
      <c r="C46" s="3" t="n">
        <f aca="false">SUM(C19:C44)</f>
        <v>4.63161566522559</v>
      </c>
      <c r="D46" s="0" t="s">
        <v>7</v>
      </c>
      <c r="E46" s="5"/>
      <c r="F46" s="6" t="s">
        <v>6</v>
      </c>
      <c r="G46" s="3" t="n">
        <f aca="false">SUM(G19:G44)</f>
        <v>3.94759088965091</v>
      </c>
      <c r="H46" s="0" t="s">
        <v>7</v>
      </c>
    </row>
    <row r="47" customFormat="false" ht="12.75" hidden="false" customHeight="false" outlineLevel="0" collapsed="false">
      <c r="A47" s="5"/>
      <c r="B47" s="6" t="s">
        <v>10</v>
      </c>
      <c r="C47" s="3" t="n">
        <f aca="false">26*((1/26)*-LOG((1/26),2))</f>
        <v>4.70043971814109</v>
      </c>
      <c r="D47" s="0" t="s">
        <v>7</v>
      </c>
      <c r="E47" s="5"/>
      <c r="F47" s="6" t="s">
        <v>10</v>
      </c>
      <c r="G47" s="3" t="n">
        <f aca="false">26*((1/26)*-LOG((1/26),2))</f>
        <v>4.70043971814109</v>
      </c>
      <c r="H47" s="0" t="s">
        <v>7</v>
      </c>
    </row>
    <row r="48" customFormat="false" ht="12.75" hidden="false" customHeight="false" outlineLevel="0" collapsed="false">
      <c r="A48" s="5"/>
      <c r="B48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2003-04-27T15:56:59Z</dcterms:created>
  <dc:creator>PassDrexel</dc:creator>
  <dc:description/>
  <dc:language>en-US</dc:language>
  <cp:lastModifiedBy>Bryan Willman</cp:lastModifiedBy>
  <cp:lastPrinted>2003-04-27T17:26:02Z</cp:lastPrinted>
  <dcterms:modified xsi:type="dcterms:W3CDTF">2003-07-03T20:22:48Z</dcterms:modified>
  <cp:revision>0</cp:revision>
  <dc:subject>ECES 490</dc:subject>
  <dc:title>Homework 4</dc:title>
</cp:coreProperties>
</file>