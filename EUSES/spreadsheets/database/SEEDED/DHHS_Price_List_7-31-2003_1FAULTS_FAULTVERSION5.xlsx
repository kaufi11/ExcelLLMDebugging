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74C7A402-0CE8-45C7-A06C-05D6AF8D5F68}" xr6:coauthVersionLast="47" xr6:coauthVersionMax="47" xr10:uidLastSave="{00000000-0000-0000-0000-000000000000}"/>
  <bookViews>
    <workbookView xWindow="2190" yWindow="2085" windowWidth="15330" windowHeight="10770" xr2:uid="{72873BA8-4030-4997-A6D9-0A128EC1EC8F}"/>
  </bookViews>
  <sheets>
    <sheet name="Exhibit A Updated 7_31_2003"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1" l="1"/>
  <c r="G8" i="1"/>
  <c r="H8" i="1"/>
  <c r="I8" i="1"/>
  <c r="J8" i="1"/>
  <c r="F9" i="1"/>
  <c r="G9" i="1"/>
  <c r="H9" i="1"/>
  <c r="I9" i="1"/>
  <c r="J9" i="1"/>
  <c r="F10" i="1"/>
  <c r="G10" i="1"/>
  <c r="H10" i="1"/>
  <c r="I10" i="1"/>
  <c r="J10" i="1"/>
  <c r="F11" i="1"/>
  <c r="G11" i="1"/>
  <c r="H11" i="1"/>
  <c r="I11" i="1"/>
  <c r="J11" i="1"/>
  <c r="F12" i="1"/>
  <c r="G12" i="1"/>
  <c r="H12" i="1" s="1"/>
  <c r="F13" i="1"/>
  <c r="G13" i="1"/>
  <c r="H13" i="1"/>
  <c r="I13" i="1"/>
  <c r="J13" i="1"/>
  <c r="F14" i="1"/>
  <c r="G14" i="1"/>
  <c r="H14" i="1"/>
  <c r="I14" i="1"/>
  <c r="J14" i="1"/>
  <c r="F15" i="1"/>
  <c r="G15" i="1"/>
  <c r="H15" i="1"/>
  <c r="I15" i="1"/>
  <c r="J15" i="1"/>
  <c r="F16" i="1"/>
  <c r="G16" i="1"/>
  <c r="H16" i="1"/>
  <c r="J16" i="1" s="1"/>
  <c r="I16" i="1"/>
  <c r="F17" i="1"/>
  <c r="G17" i="1"/>
  <c r="H17" i="1" s="1"/>
  <c r="J17" i="1" s="1"/>
  <c r="I17" i="1"/>
  <c r="F18" i="1"/>
  <c r="G18" i="1"/>
  <c r="H18" i="1"/>
  <c r="I18" i="1"/>
  <c r="J18" i="1"/>
  <c r="F19" i="1"/>
  <c r="G19" i="1"/>
  <c r="H19" i="1"/>
  <c r="I19" i="1"/>
  <c r="J19" i="1"/>
  <c r="F20" i="1"/>
  <c r="G20" i="1"/>
  <c r="H20" i="1"/>
  <c r="I20" i="1"/>
  <c r="J20" i="1"/>
  <c r="F21" i="1"/>
  <c r="G21" i="1"/>
  <c r="H21" i="1"/>
  <c r="I21" i="1"/>
  <c r="J21" i="1" s="1"/>
  <c r="F22" i="1"/>
  <c r="G22" i="1"/>
  <c r="H22" i="1"/>
  <c r="I22" i="1"/>
  <c r="J22" i="1"/>
  <c r="F23" i="1"/>
  <c r="G23" i="1"/>
  <c r="H23" i="1"/>
  <c r="I23" i="1"/>
  <c r="J23" i="1"/>
  <c r="F24" i="1"/>
  <c r="G24" i="1"/>
  <c r="H24" i="1"/>
  <c r="I24" i="1"/>
  <c r="J24" i="1"/>
  <c r="F25" i="1"/>
  <c r="G25" i="1"/>
  <c r="I25" i="1" s="1"/>
  <c r="H25" i="1"/>
  <c r="J25" i="1" s="1"/>
  <c r="F26" i="1"/>
  <c r="G26" i="1"/>
  <c r="H26" i="1"/>
  <c r="I26" i="1"/>
  <c r="J26" i="1"/>
  <c r="F27" i="1"/>
  <c r="G27" i="1"/>
  <c r="H27" i="1"/>
  <c r="I27" i="1"/>
  <c r="J27" i="1"/>
  <c r="F28" i="1"/>
  <c r="G28" i="1"/>
  <c r="H28" i="1"/>
  <c r="I28" i="1"/>
  <c r="J28" i="1"/>
  <c r="F29" i="1"/>
  <c r="G29" i="1"/>
  <c r="H29" i="1"/>
  <c r="I29" i="1"/>
  <c r="J29" i="1"/>
  <c r="F30" i="1"/>
  <c r="G30" i="1"/>
  <c r="H30" i="1"/>
  <c r="I30" i="1"/>
  <c r="J30" i="1"/>
  <c r="F31" i="1"/>
  <c r="G31" i="1"/>
  <c r="H31" i="1"/>
  <c r="I31" i="1"/>
  <c r="J31" i="1"/>
  <c r="F32" i="1"/>
  <c r="G32" i="1"/>
  <c r="H32" i="1"/>
  <c r="I32" i="1"/>
  <c r="J32" i="1"/>
  <c r="F33" i="1"/>
  <c r="G33" i="1"/>
  <c r="H33" i="1"/>
  <c r="I33" i="1"/>
  <c r="J33" i="1"/>
  <c r="F34" i="1"/>
  <c r="G34" i="1"/>
  <c r="H34" i="1" s="1"/>
  <c r="F35" i="1"/>
  <c r="G35" i="1"/>
  <c r="H35" i="1"/>
  <c r="I35" i="1"/>
  <c r="J35" i="1"/>
  <c r="F37" i="1"/>
  <c r="G37" i="1"/>
  <c r="H37" i="1"/>
  <c r="I37" i="1"/>
  <c r="J37" i="1"/>
  <c r="F38" i="1"/>
  <c r="G38" i="1"/>
  <c r="H38" i="1"/>
  <c r="I38" i="1"/>
  <c r="J38" i="1"/>
  <c r="F39" i="1"/>
  <c r="G39" i="1"/>
  <c r="H39" i="1"/>
  <c r="J39" i="1" s="1"/>
  <c r="I39" i="1"/>
  <c r="F40" i="1"/>
  <c r="G40" i="1"/>
  <c r="H40" i="1" s="1"/>
  <c r="J40" i="1" s="1"/>
  <c r="I40" i="1"/>
  <c r="F41" i="1"/>
  <c r="G41" i="1"/>
  <c r="H41" i="1"/>
  <c r="I41" i="1"/>
  <c r="J41" i="1"/>
  <c r="F45" i="1"/>
  <c r="G45" i="1"/>
  <c r="H45" i="1"/>
  <c r="I45" i="1"/>
  <c r="J45" i="1"/>
  <c r="F46" i="1"/>
  <c r="G46" i="1"/>
  <c r="H46" i="1"/>
  <c r="I46" i="1"/>
  <c r="J46" i="1"/>
  <c r="F47" i="1"/>
  <c r="G47" i="1"/>
  <c r="H47" i="1" s="1"/>
  <c r="J47" i="1" s="1"/>
  <c r="I47" i="1"/>
  <c r="F49" i="1"/>
  <c r="G49" i="1"/>
  <c r="H49" i="1"/>
  <c r="I49" i="1"/>
  <c r="J49" i="1"/>
  <c r="F50" i="1"/>
  <c r="G50" i="1"/>
  <c r="H50" i="1"/>
  <c r="I50" i="1"/>
  <c r="J50" i="1"/>
  <c r="F51" i="1"/>
  <c r="G51" i="1"/>
  <c r="H51" i="1"/>
  <c r="I51" i="1"/>
  <c r="J51" i="1"/>
  <c r="F52" i="1"/>
  <c r="G52" i="1"/>
  <c r="I52" i="1" s="1"/>
  <c r="H52" i="1"/>
  <c r="J52" i="1" s="1"/>
  <c r="F55" i="1"/>
  <c r="G55" i="1"/>
  <c r="H55" i="1"/>
  <c r="I55" i="1"/>
  <c r="J55" i="1"/>
  <c r="F56" i="1"/>
  <c r="G56" i="1"/>
  <c r="H56" i="1"/>
  <c r="I56" i="1"/>
  <c r="J56" i="1"/>
  <c r="F57" i="1"/>
  <c r="G57" i="1"/>
  <c r="H57" i="1"/>
  <c r="I57" i="1"/>
  <c r="J57" i="1"/>
  <c r="F58" i="1"/>
  <c r="G58" i="1"/>
  <c r="H58" i="1"/>
  <c r="I58" i="1"/>
  <c r="J58" i="1"/>
  <c r="F59" i="1"/>
  <c r="G59" i="1"/>
  <c r="H59" i="1"/>
  <c r="I59" i="1"/>
  <c r="J59" i="1"/>
  <c r="F62" i="1"/>
  <c r="G62" i="1"/>
  <c r="H62" i="1"/>
  <c r="I62" i="1"/>
  <c r="J62" i="1"/>
  <c r="F63" i="1"/>
  <c r="G63" i="1"/>
  <c r="H63" i="1"/>
  <c r="I63" i="1"/>
  <c r="J63" i="1"/>
  <c r="F64" i="1"/>
  <c r="G64" i="1"/>
  <c r="H64" i="1"/>
  <c r="I64" i="1"/>
  <c r="J64" i="1"/>
  <c r="F65" i="1"/>
  <c r="G65" i="1"/>
  <c r="H65" i="1" s="1"/>
  <c r="G66" i="1"/>
  <c r="H66" i="1"/>
  <c r="I66" i="1"/>
  <c r="J66" i="1"/>
  <c r="F68" i="1"/>
  <c r="G68" i="1"/>
  <c r="H68" i="1"/>
  <c r="I68" i="1"/>
  <c r="J68" i="1"/>
  <c r="F69" i="1"/>
  <c r="G69" i="1"/>
  <c r="H69" i="1"/>
  <c r="I69" i="1"/>
  <c r="J69" i="1"/>
  <c r="F70" i="1"/>
  <c r="G70" i="1"/>
  <c r="H70" i="1"/>
  <c r="I70" i="1"/>
  <c r="J70" i="1"/>
  <c r="F71" i="1"/>
  <c r="G71" i="1"/>
  <c r="H71" i="1"/>
  <c r="I71" i="1"/>
  <c r="J71" i="1"/>
  <c r="F72" i="1"/>
  <c r="G72" i="1"/>
  <c r="H72" i="1"/>
  <c r="I72" i="1"/>
  <c r="J72" i="1"/>
  <c r="F73" i="1"/>
  <c r="G73" i="1"/>
  <c r="H73" i="1"/>
  <c r="I73" i="1"/>
  <c r="J73" i="1"/>
  <c r="G75" i="1"/>
  <c r="H75" i="1"/>
  <c r="I75" i="1"/>
  <c r="J75" i="1"/>
  <c r="F78" i="1"/>
  <c r="G78" i="1"/>
  <c r="I78" i="1" s="1"/>
  <c r="H78" i="1"/>
  <c r="J78" i="1" s="1"/>
  <c r="F79" i="1"/>
  <c r="G79" i="1"/>
  <c r="H79" i="1"/>
  <c r="I79" i="1"/>
  <c r="J79" i="1"/>
  <c r="F80" i="1"/>
  <c r="G80" i="1"/>
  <c r="H80" i="1"/>
  <c r="I80" i="1"/>
  <c r="J80" i="1"/>
  <c r="F83" i="1"/>
  <c r="G83" i="1"/>
  <c r="H83" i="1"/>
  <c r="I83" i="1"/>
  <c r="J83" i="1"/>
  <c r="G84" i="1"/>
  <c r="H84" i="1"/>
  <c r="I84" i="1"/>
  <c r="J84" i="1"/>
  <c r="G85" i="1"/>
  <c r="H85" i="1" s="1"/>
  <c r="G86" i="1"/>
  <c r="H86" i="1"/>
  <c r="I86" i="1"/>
  <c r="J86" i="1"/>
  <c r="G87" i="1"/>
  <c r="H87" i="1"/>
  <c r="I87" i="1"/>
  <c r="J87" i="1"/>
  <c r="G88" i="1"/>
  <c r="H88" i="1"/>
  <c r="I88" i="1"/>
  <c r="J88" i="1"/>
  <c r="G89" i="1"/>
  <c r="H89" i="1"/>
  <c r="I89" i="1"/>
  <c r="J89" i="1"/>
  <c r="G91" i="1"/>
  <c r="H91" i="1"/>
  <c r="J91" i="1" s="1"/>
  <c r="I91" i="1"/>
  <c r="G92" i="1"/>
  <c r="H92" i="1"/>
  <c r="I92" i="1"/>
  <c r="J92" i="1"/>
  <c r="G93" i="1"/>
  <c r="H93" i="1"/>
  <c r="I93" i="1"/>
  <c r="J93" i="1"/>
  <c r="G95" i="1"/>
  <c r="H95" i="1"/>
  <c r="I95" i="1"/>
  <c r="J95" i="1"/>
  <c r="G96" i="1"/>
  <c r="H96" i="1"/>
  <c r="I96" i="1"/>
  <c r="J96" i="1"/>
  <c r="G97" i="1"/>
  <c r="H97" i="1"/>
  <c r="I97" i="1"/>
  <c r="J97" i="1"/>
  <c r="G98" i="1"/>
  <c r="H98" i="1" s="1"/>
  <c r="G100" i="1"/>
  <c r="H100" i="1"/>
  <c r="I100" i="1"/>
  <c r="J100" i="1"/>
  <c r="G101" i="1"/>
  <c r="H101" i="1"/>
  <c r="I101" i="1"/>
  <c r="J101" i="1"/>
  <c r="G102" i="1"/>
  <c r="H102" i="1"/>
  <c r="I102" i="1"/>
  <c r="J102" i="1"/>
  <c r="G103" i="1"/>
  <c r="H103" i="1"/>
  <c r="I103" i="1"/>
  <c r="J103" i="1"/>
  <c r="G104" i="1"/>
  <c r="H104" i="1"/>
  <c r="J104" i="1" s="1"/>
  <c r="I104" i="1"/>
  <c r="G105" i="1"/>
  <c r="H105" i="1"/>
  <c r="I105" i="1"/>
  <c r="J105" i="1"/>
  <c r="G106" i="1"/>
  <c r="H106" i="1"/>
  <c r="I106" i="1"/>
  <c r="J106" i="1"/>
  <c r="G107" i="1"/>
  <c r="H107" i="1"/>
  <c r="I107" i="1"/>
  <c r="J107" i="1"/>
  <c r="G108" i="1"/>
  <c r="H108" i="1"/>
  <c r="I108" i="1"/>
  <c r="J108" i="1"/>
  <c r="G111" i="1"/>
  <c r="H111" i="1"/>
  <c r="I111" i="1"/>
  <c r="J111" i="1"/>
  <c r="G112" i="1"/>
  <c r="H112" i="1" s="1"/>
  <c r="G113" i="1"/>
  <c r="H113" i="1"/>
  <c r="I113" i="1"/>
  <c r="J113" i="1"/>
  <c r="G114" i="1"/>
  <c r="H114" i="1"/>
  <c r="I114" i="1"/>
  <c r="J114" i="1"/>
  <c r="G116" i="1"/>
  <c r="H116" i="1"/>
  <c r="I116" i="1"/>
  <c r="J116" i="1"/>
  <c r="G117" i="1"/>
  <c r="H117" i="1"/>
  <c r="I117" i="1"/>
  <c r="J117" i="1"/>
  <c r="G118" i="1"/>
  <c r="H118" i="1"/>
  <c r="J118" i="1" s="1"/>
  <c r="I118" i="1"/>
  <c r="G119" i="1"/>
  <c r="H119" i="1"/>
  <c r="I119" i="1"/>
  <c r="J119" i="1"/>
  <c r="G120" i="1"/>
  <c r="H120" i="1"/>
  <c r="I120" i="1"/>
  <c r="J120" i="1"/>
  <c r="G121" i="1"/>
  <c r="H121" i="1"/>
  <c r="I121" i="1"/>
  <c r="J121" i="1"/>
  <c r="G122" i="1"/>
  <c r="H122" i="1"/>
  <c r="I122" i="1"/>
  <c r="J122" i="1"/>
  <c r="G124" i="1"/>
  <c r="H124" i="1"/>
  <c r="I124" i="1"/>
  <c r="J124" i="1"/>
  <c r="G125" i="1"/>
  <c r="H125" i="1" s="1"/>
  <c r="G126" i="1"/>
  <c r="H126" i="1"/>
  <c r="I126" i="1"/>
  <c r="J126" i="1"/>
  <c r="G127" i="1"/>
  <c r="H127" i="1"/>
  <c r="I127" i="1"/>
  <c r="J127" i="1"/>
  <c r="G128" i="1"/>
  <c r="H128" i="1"/>
  <c r="I128" i="1"/>
  <c r="J128" i="1"/>
  <c r="I125" i="1" l="1"/>
  <c r="J125" i="1" s="1"/>
  <c r="I112" i="1"/>
  <c r="J112" i="1" s="1"/>
  <c r="I98" i="1"/>
  <c r="J98" i="1" s="1"/>
  <c r="I85" i="1"/>
  <c r="J85" i="1" s="1"/>
  <c r="I65" i="1"/>
  <c r="J65" i="1" s="1"/>
  <c r="I34" i="1"/>
  <c r="J34" i="1" s="1"/>
  <c r="I12" i="1"/>
  <c r="J12" i="1" s="1"/>
</calcChain>
</file>

<file path=xl/sharedStrings.xml><?xml version="1.0" encoding="utf-8"?>
<sst xmlns="http://schemas.openxmlformats.org/spreadsheetml/2006/main" count="465" uniqueCount="187">
  <si>
    <t>Exhibit A-1: Additional Programs (Revised July 21 2003)</t>
  </si>
  <si>
    <t>Department of Health and Human Services</t>
  </si>
  <si>
    <t/>
  </si>
  <si>
    <t>Product</t>
  </si>
  <si>
    <t>DHHS</t>
  </si>
  <si>
    <t>DHHS 1 Year</t>
  </si>
  <si>
    <t>Oracle</t>
  </si>
  <si>
    <t xml:space="preserve"> Support</t>
  </si>
  <si>
    <t>1 Year</t>
  </si>
  <si>
    <t>Total Updates</t>
  </si>
  <si>
    <t>Licensing</t>
  </si>
  <si>
    <t>License</t>
  </si>
  <si>
    <t>With Updates</t>
  </si>
  <si>
    <t xml:space="preserve">Updates </t>
  </si>
  <si>
    <t xml:space="preserve">Product </t>
  </si>
  <si>
    <t>and Product</t>
  </si>
  <si>
    <t>Notes/</t>
  </si>
  <si>
    <t>Program</t>
  </si>
  <si>
    <t>Qty</t>
  </si>
  <si>
    <t>Term</t>
  </si>
  <si>
    <t>Type</t>
  </si>
  <si>
    <t>List Price</t>
  </si>
  <si>
    <t>Fee</t>
  </si>
  <si>
    <t xml:space="preserve"> Only</t>
  </si>
  <si>
    <t>Support</t>
  </si>
  <si>
    <t>Minimums</t>
  </si>
  <si>
    <t>**PLEASE NOTE: PRICE FROM WORLD WIDE TECHNOLOGY TO THE DEPT OF HEALTH AND HUMAN SERVICES</t>
  </si>
  <si>
    <t>Oracle Database</t>
  </si>
  <si>
    <t>Oracle Database Enterprise Edition</t>
  </si>
  <si>
    <t>Perpetual</t>
  </si>
  <si>
    <t>Named User - Multi-Server</t>
  </si>
  <si>
    <t>Note 1</t>
  </si>
  <si>
    <t xml:space="preserve">Universal Power Unit </t>
  </si>
  <si>
    <t>Note 2</t>
  </si>
  <si>
    <t>Processor</t>
  </si>
  <si>
    <t>Oracle Database Personal Edition</t>
  </si>
  <si>
    <t>Named User - Single Server</t>
  </si>
  <si>
    <t>Oracle Database Lite</t>
  </si>
  <si>
    <t>Label Security</t>
  </si>
  <si>
    <t>Note 3</t>
  </si>
  <si>
    <t>Advanced Security</t>
  </si>
  <si>
    <t>Real Application Clusters</t>
  </si>
  <si>
    <t>Named User</t>
  </si>
  <si>
    <t>OLAP</t>
  </si>
  <si>
    <t xml:space="preserve">Partitioning </t>
  </si>
  <si>
    <t>Spatial</t>
  </si>
  <si>
    <t>Diagnostics Management Pack</t>
  </si>
  <si>
    <t>Diagnostics  Pack</t>
  </si>
  <si>
    <t>Tuning Management Pack</t>
  </si>
  <si>
    <t>Tuning  Pack</t>
  </si>
  <si>
    <t>Change Management Pack</t>
  </si>
  <si>
    <t>Change Management  Pack</t>
  </si>
  <si>
    <t>Application Servers</t>
  </si>
  <si>
    <t>Internet Application Server Enterprise Edition</t>
  </si>
  <si>
    <t>Internet Application Server Wireless Edition</t>
  </si>
  <si>
    <t>Tools</t>
  </si>
  <si>
    <t>Internet Developer Suite (iDS)</t>
  </si>
  <si>
    <t>1 min.</t>
  </si>
  <si>
    <t>Discoverer Desktop Edition</t>
  </si>
  <si>
    <t xml:space="preserve">Programmer </t>
  </si>
  <si>
    <t>Integration Products</t>
  </si>
  <si>
    <t>Open Systems Gateway</t>
  </si>
  <si>
    <t>Computer</t>
  </si>
  <si>
    <t>Note 4</t>
  </si>
  <si>
    <t>Enterprise Integration Gateway</t>
  </si>
  <si>
    <t>Note 6</t>
  </si>
  <si>
    <t>EDA/SQL Gateway</t>
  </si>
  <si>
    <t>Mainframe Integration Gateways</t>
  </si>
  <si>
    <t>Note 5</t>
  </si>
  <si>
    <t>Data Warehousing Products</t>
  </si>
  <si>
    <t>Oracle Pure Name &amp; Address (US)</t>
  </si>
  <si>
    <t>Express Server</t>
  </si>
  <si>
    <t>Express Analyzer</t>
  </si>
  <si>
    <t>Express Objects</t>
  </si>
  <si>
    <t xml:space="preserve"> Applications</t>
  </si>
  <si>
    <t>Procurement Applications</t>
  </si>
  <si>
    <t>Purchasing</t>
  </si>
  <si>
    <t>Application User</t>
  </si>
  <si>
    <t>Note 7, 5 min.</t>
  </si>
  <si>
    <t>iProcurement</t>
  </si>
  <si>
    <t>Purchase Line</t>
  </si>
  <si>
    <t>5000 min.</t>
  </si>
  <si>
    <t>Purchasing Intelligence</t>
  </si>
  <si>
    <t>iSupplier Portal</t>
  </si>
  <si>
    <t>Exchange Marketplace</t>
  </si>
  <si>
    <t>$M Annual Transaction Volume</t>
  </si>
  <si>
    <t>300 min.Note 10</t>
  </si>
  <si>
    <t>Financial  Applications</t>
  </si>
  <si>
    <t>Financials</t>
  </si>
  <si>
    <t>Treasury</t>
  </si>
  <si>
    <t>5 min.</t>
  </si>
  <si>
    <t>Financials &amp; Sales Analyzers</t>
  </si>
  <si>
    <t>Financials Intelligence</t>
  </si>
  <si>
    <t>Employee</t>
  </si>
  <si>
    <t>100 min.</t>
  </si>
  <si>
    <t xml:space="preserve">Activity Based Management </t>
  </si>
  <si>
    <t>Balanced Scorecard</t>
  </si>
  <si>
    <t>Human Resources</t>
  </si>
  <si>
    <t>TIme and Labor</t>
  </si>
  <si>
    <t>Person</t>
  </si>
  <si>
    <t>Health Care Applications</t>
  </si>
  <si>
    <t>Clinical</t>
  </si>
  <si>
    <t>Thesaurus Management System</t>
  </si>
  <si>
    <t>Note 8</t>
  </si>
  <si>
    <t>Thesaurus Management System R/O</t>
  </si>
  <si>
    <t>Application Read Only User</t>
  </si>
  <si>
    <t>Note 8, 5 min</t>
  </si>
  <si>
    <t>Education Subscription</t>
  </si>
  <si>
    <t>Sales Applications</t>
  </si>
  <si>
    <t xml:space="preserve">iStore </t>
  </si>
  <si>
    <t>200 min.</t>
  </si>
  <si>
    <t>iPayment</t>
  </si>
  <si>
    <t>200 minimum</t>
  </si>
  <si>
    <t xml:space="preserve">TeleSales </t>
  </si>
  <si>
    <t>Sales Online</t>
  </si>
  <si>
    <t>Mobile Sales</t>
  </si>
  <si>
    <t>Sales Intelligence</t>
  </si>
  <si>
    <t>Incentive Compensation</t>
  </si>
  <si>
    <t>Compensated Individual</t>
  </si>
  <si>
    <t>Order Management Applications</t>
  </si>
  <si>
    <t>Order Management</t>
  </si>
  <si>
    <t>Order Line</t>
  </si>
  <si>
    <t>50,000 min.</t>
  </si>
  <si>
    <t>Configurator</t>
  </si>
  <si>
    <t>SellingPoint Mobile Configurator</t>
  </si>
  <si>
    <t>10 min.</t>
  </si>
  <si>
    <t>Supply Chain Planning Applications</t>
  </si>
  <si>
    <t>Advanced Supply Chain Planning</t>
  </si>
  <si>
    <t>$M Cost of Goods Sold</t>
  </si>
  <si>
    <t>30 min.</t>
  </si>
  <si>
    <t xml:space="preserve">Global ATP Server </t>
  </si>
  <si>
    <t xml:space="preserve">Demand Planning </t>
  </si>
  <si>
    <t>Warehouse Management</t>
  </si>
  <si>
    <t>15 min.</t>
  </si>
  <si>
    <t>Service Applications</t>
  </si>
  <si>
    <t>iSupport</t>
  </si>
  <si>
    <t>TeleService</t>
  </si>
  <si>
    <t>Service Online</t>
  </si>
  <si>
    <t>Depot Repair Option</t>
  </si>
  <si>
    <t>Spares Management Option</t>
  </si>
  <si>
    <t>Advanced Scheduler</t>
  </si>
  <si>
    <t>Field Technician</t>
  </si>
  <si>
    <t>Mobile Field Service</t>
  </si>
  <si>
    <t>Contracts</t>
  </si>
  <si>
    <t>Customer Intelligence</t>
  </si>
  <si>
    <t>Projects Applications</t>
  </si>
  <si>
    <t>Project Costing</t>
  </si>
  <si>
    <t>Projects Billing</t>
  </si>
  <si>
    <t>Internet Time</t>
  </si>
  <si>
    <t>50 min.</t>
  </si>
  <si>
    <t>Product Development Exchange</t>
  </si>
  <si>
    <t>250 min. Note 10</t>
  </si>
  <si>
    <t>Other Applications</t>
  </si>
  <si>
    <t>Tutor for Applications</t>
  </si>
  <si>
    <t>Note 11, 5 min.</t>
  </si>
  <si>
    <t>Self-Service Tutor for Applications</t>
  </si>
  <si>
    <t>EDI Gateway</t>
  </si>
  <si>
    <t>Learning Network</t>
  </si>
  <si>
    <t>Applications Read-Only User</t>
  </si>
  <si>
    <t>Maintenance, Repair, and Overhaul (MRO) Bundle</t>
  </si>
  <si>
    <t>MRO Bundle (Read-Only)</t>
  </si>
  <si>
    <t>Call Center Applications</t>
  </si>
  <si>
    <t>Advanced Inbound</t>
  </si>
  <si>
    <t>Workstation</t>
  </si>
  <si>
    <t>Advanced Outbound</t>
  </si>
  <si>
    <t>Scripting</t>
  </si>
  <si>
    <t>eMail Center</t>
  </si>
  <si>
    <t>Call Center Intelligence</t>
  </si>
  <si>
    <t>GENERAL LICENSING RULES</t>
  </si>
  <si>
    <t>Notes: Standard Oracle Pricing Guidelines:</t>
  </si>
  <si>
    <t>1.  If licensing by Named User, Customer must determine the number of Universal Power Units (UPU) on each server. The required minimum is 1 Named User for every 30 UPUs.</t>
  </si>
  <si>
    <t>2.  If licensing by UPU, the minimum is 200 UPUs.</t>
  </si>
  <si>
    <t>3.  Options must match the number of licenses of the associated database.</t>
  </si>
  <si>
    <t>4.  Open System Gateways include Oracle Transparent Gateways for MS SQL Server, Sybase, Rdb, Ingres, Informix, Teradata, and RMS.</t>
  </si>
  <si>
    <t>5.  Mainframe Integration Gateways include Oracle Transparent Gateways for DB2, Pure Extract, Replication Services.</t>
  </si>
  <si>
    <t>6.  Enterprise Integration Gateways include Access Manager for AS/400, Procedural Gateway for MQ Series, APPC, Transparent Gateway for DB2/400 and IBM DRDA.</t>
  </si>
  <si>
    <t xml:space="preserve">7.  Primary Usage: is defined as each Application User of the following applications: Financials, Discrete Manufacturing, Project Costing and Purchasing. Each such User is counted </t>
  </si>
  <si>
    <t xml:space="preserve">     only once based on primary usage. You must specify how many Application Users you are licensing for each application. Primary Usage of one of the applications listed above </t>
  </si>
  <si>
    <t xml:space="preserve">     provides the Application User with the right to use any or all of the other application programs listed above for which you are licensed. Primary Usage does not provide you with the</t>
  </si>
  <si>
    <t xml:space="preserve">     right to use other application programs including the extensions or options</t>
  </si>
  <si>
    <t xml:space="preserve">8.  If licensed with Clinical, the total number of application users and application read-only users of Thesaurus Management System must match the number of application users of Clinical. </t>
  </si>
  <si>
    <t xml:space="preserve">     If licensed separately, the minimum of application users for Thesaurus Management System is 1, the minimum of application read-only users is 5.</t>
  </si>
  <si>
    <t>9.  Must match the number of licenses of the associated database.</t>
  </si>
  <si>
    <t>10.  This product requires Oracle approval.</t>
  </si>
  <si>
    <t xml:space="preserve">11.  The number of Application Users of Tutor for Applications must match the number of Application Users of each Applications for which the customer is using Tutor. </t>
  </si>
  <si>
    <t>Additions</t>
  </si>
  <si>
    <t>OLAP, Change Management Pack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</si>
</sst>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6" formatCode="&quot;$&quot;#,##0.00_);\(&quot;$&quot;#,##0.00\)"/>
    <numFmt numFmtId="169" formatCode="_(* #,##0_);_(* \(#,##0\);_(* &quot;-&quot;_);_(@_)"/>
    <numFmt numFmtId="170" formatCode="_(&quot;$&quot;* #,##0.00_);_(&quot;$&quot;* \(#,##0.00\);_(&quot;$&quot;* &quot;-&quot;??_);_(@_)"/>
    <numFmt numFmtId="171" formatCode="_(* #,##0.00_);_(* \(#,##0.00\);_(* &quot;-&quot;??_);_(@_)"/>
    <numFmt numFmtId="172" formatCode="_(&quot;$&quot;* #,##0.000_);_(&quot;$&quot;* \(#,##0.000\);_(&quot;$&quot;* &quot;-&quot;???_);_(@_)"/>
    <numFmt numFmtId="173" formatCode="_(&quot;$&quot;* #,##0_);_(&quot;$&quot;* \(#,##0\);_(&quot;$&quot;* &quot;-&quot;??_);_(@_)"/>
  </numFmts>
  <fonts count="16" x14ac:knownFonts="1">
    <font>
      <sz val="10"/>
      <name val="Arial"/>
    </font>
    <font>
      <sz val="10"/>
      <name val="Arial"/>
    </font>
    <font>
      <b/>
      <sz val="18"/>
      <name val="Arial"/>
    </font>
    <font>
      <sz val="8"/>
      <name val="Arial"/>
      <family val="2"/>
    </font>
    <font>
      <b/>
      <sz val="8"/>
      <color indexed="8"/>
      <name val="Arial"/>
      <family val="2"/>
    </font>
    <font>
      <sz val="8"/>
      <color indexed="8"/>
      <name val="Arial"/>
      <family val="2"/>
    </font>
    <font>
      <sz val="10"/>
      <color indexed="8"/>
      <name val="Arial"/>
      <family val="2"/>
    </font>
    <font>
      <b/>
      <sz val="12"/>
      <color indexed="8"/>
      <name val="Arial"/>
      <family val="2"/>
    </font>
    <font>
      <b/>
      <i/>
      <sz val="8"/>
      <name val="Arial"/>
      <family val="2"/>
    </font>
    <font>
      <i/>
      <sz val="8"/>
      <name val="Arial"/>
      <family val="2"/>
    </font>
    <font>
      <b/>
      <sz val="8"/>
      <name val="Arial"/>
      <family val="2"/>
    </font>
    <font>
      <b/>
      <sz val="8"/>
      <color indexed="20"/>
      <name val="Arial"/>
      <family val="2"/>
    </font>
    <font>
      <sz val="8"/>
      <color indexed="20"/>
      <name val="Arial"/>
      <family val="2"/>
    </font>
    <font>
      <sz val="10"/>
      <name val="Arial"/>
      <family val="2"/>
    </font>
    <font>
      <b/>
      <sz val="8"/>
      <name val="Arial"/>
    </font>
    <font>
      <b/>
      <sz val="10"/>
      <name val="Arial"/>
      <family val="2"/>
    </font>
  </fonts>
  <fills count="3">
    <fill>
      <patternFill patternType="none"/>
    </fill>
    <fill>
      <patternFill patternType="gray125"/>
    </fill>
    <fill>
      <patternFill patternType="solid">
        <fgColor indexed="9"/>
        <bgColor indexed="64"/>
      </patternFill>
    </fill>
  </fills>
  <borders count="2">
    <border>
      <left/>
      <right/>
      <top/>
      <bottom/>
      <diagonal/>
    </border>
    <border>
      <left/>
      <right/>
      <top/>
      <bottom style="medium">
        <color indexed="64"/>
      </bottom>
      <diagonal/>
    </border>
  </borders>
  <cellStyleXfs count="4">
    <xf numFmtId="0" fontId="0" fillId="0" borderId="0"/>
    <xf numFmtId="171" fontId="1" fillId="0" borderId="0" applyFont="0" applyFill="0" applyBorder="0" applyAlignment="0" applyProtection="0"/>
    <xf numFmtId="169" fontId="1" fillId="0" borderId="0" applyFont="0" applyFill="0" applyBorder="0" applyAlignment="0" applyProtection="0"/>
    <xf numFmtId="170"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applyAlignment="1"/>
    <xf numFmtId="0" fontId="3" fillId="0" borderId="0" xfId="0" applyFont="1"/>
    <xf numFmtId="170" fontId="3" fillId="0" borderId="0" xfId="0" applyNumberFormat="1" applyFont="1"/>
    <xf numFmtId="0" fontId="3" fillId="0" borderId="0" xfId="0" applyFont="1" applyAlignment="1">
      <alignment horizontal="right"/>
    </xf>
    <xf numFmtId="0" fontId="4" fillId="2" borderId="0" xfId="0" applyFont="1" applyFill="1"/>
    <xf numFmtId="0" fontId="5" fillId="2" borderId="0" xfId="0" applyFont="1" applyFill="1" applyAlignment="1"/>
    <xf numFmtId="0" fontId="5" fillId="2" borderId="0" xfId="0" applyFont="1" applyFill="1"/>
    <xf numFmtId="0" fontId="4" fillId="2" borderId="0" xfId="0" applyFont="1" applyFill="1" applyAlignment="1">
      <alignment horizontal="right"/>
    </xf>
    <xf numFmtId="170" fontId="5" fillId="2" borderId="0" xfId="3" applyNumberFormat="1" applyFont="1" applyFill="1"/>
    <xf numFmtId="170" fontId="4" fillId="2" borderId="0" xfId="3" applyNumberFormat="1" applyFont="1" applyFill="1" applyAlignment="1">
      <alignment horizontal="center"/>
    </xf>
    <xf numFmtId="170" fontId="4" fillId="2" borderId="0" xfId="3" applyFont="1" applyFill="1"/>
    <xf numFmtId="170" fontId="4" fillId="2" borderId="0" xfId="3" applyFont="1" applyFill="1" applyAlignment="1" applyProtection="1">
      <alignment horizontal="center"/>
    </xf>
    <xf numFmtId="0" fontId="5" fillId="2" borderId="0" xfId="0" applyFont="1" applyFill="1" applyAlignment="1">
      <alignment horizontal="right"/>
    </xf>
    <xf numFmtId="0" fontId="5" fillId="2" borderId="0" xfId="0" applyFont="1" applyFill="1" applyAlignment="1">
      <alignment horizontal="left"/>
    </xf>
    <xf numFmtId="0" fontId="6" fillId="2" borderId="0" xfId="0" applyFont="1" applyFill="1"/>
    <xf numFmtId="0" fontId="4" fillId="2" borderId="0" xfId="0" applyFont="1" applyFill="1" applyAlignment="1">
      <alignment horizontal="left"/>
    </xf>
    <xf numFmtId="169" fontId="4" fillId="2" borderId="0" xfId="2" applyFont="1" applyFill="1" applyAlignment="1"/>
    <xf numFmtId="170" fontId="4" fillId="2" borderId="0" xfId="3" applyFont="1" applyFill="1" applyAlignment="1">
      <alignment horizontal="center"/>
    </xf>
    <xf numFmtId="170" fontId="4" fillId="2" borderId="0" xfId="3" applyFont="1" applyFill="1" applyBorder="1" applyAlignment="1" applyProtection="1">
      <alignment horizontal="center"/>
    </xf>
    <xf numFmtId="0" fontId="4" fillId="2" borderId="0" xfId="0" applyFont="1" applyFill="1" applyAlignment="1" applyProtection="1">
      <alignment horizontal="right"/>
    </xf>
    <xf numFmtId="0" fontId="4" fillId="2" borderId="0" xfId="0" applyFont="1" applyFill="1" applyAlignment="1" applyProtection="1">
      <alignment horizontal="center"/>
    </xf>
    <xf numFmtId="0" fontId="4" fillId="2" borderId="0" xfId="0" applyFont="1" applyFill="1" applyAlignment="1" applyProtection="1"/>
    <xf numFmtId="170" fontId="4" fillId="2" borderId="0" xfId="3" applyNumberFormat="1" applyFont="1" applyFill="1" applyAlignment="1" applyProtection="1">
      <alignment horizontal="center"/>
    </xf>
    <xf numFmtId="170" fontId="4" fillId="2" borderId="0" xfId="3" applyFont="1" applyFill="1" applyBorder="1" applyAlignment="1" applyProtection="1">
      <alignment horizontal="right"/>
    </xf>
    <xf numFmtId="0" fontId="4" fillId="2" borderId="1" xfId="0" applyFont="1" applyFill="1" applyBorder="1" applyAlignment="1" applyProtection="1">
      <alignment horizontal="center"/>
    </xf>
    <xf numFmtId="0" fontId="4" fillId="2" borderId="1" xfId="0" applyFont="1" applyFill="1" applyBorder="1" applyAlignment="1" applyProtection="1"/>
    <xf numFmtId="170" fontId="4" fillId="2" borderId="1" xfId="3" applyNumberFormat="1" applyFont="1" applyFill="1" applyBorder="1" applyAlignment="1" applyProtection="1">
      <alignment horizontal="center"/>
    </xf>
    <xf numFmtId="170" fontId="4" fillId="2" borderId="1" xfId="3" applyFont="1" applyFill="1" applyBorder="1" applyAlignment="1" applyProtection="1">
      <alignment horizontal="center"/>
    </xf>
    <xf numFmtId="0" fontId="4" fillId="2" borderId="1" xfId="0" applyFont="1" applyFill="1" applyBorder="1" applyAlignment="1" applyProtection="1">
      <alignment horizontal="right"/>
    </xf>
    <xf numFmtId="0" fontId="5" fillId="2" borderId="1" xfId="0" applyFont="1" applyFill="1" applyBorder="1" applyAlignment="1">
      <alignment horizontal="left"/>
    </xf>
    <xf numFmtId="0" fontId="7" fillId="2" borderId="0" xfId="0" applyFont="1" applyFill="1" applyBorder="1" applyAlignment="1" applyProtection="1">
      <alignment horizontal="left"/>
    </xf>
    <xf numFmtId="0" fontId="4" fillId="2" borderId="0" xfId="0" applyFont="1" applyFill="1" applyBorder="1" applyAlignment="1" applyProtection="1"/>
    <xf numFmtId="0" fontId="4" fillId="2" borderId="0" xfId="0" applyFont="1" applyFill="1" applyBorder="1" applyAlignment="1" applyProtection="1">
      <alignment horizontal="center"/>
    </xf>
    <xf numFmtId="170" fontId="4" fillId="2" borderId="0" xfId="3" applyNumberFormat="1" applyFont="1" applyFill="1" applyBorder="1" applyAlignment="1" applyProtection="1">
      <alignment horizontal="center"/>
    </xf>
    <xf numFmtId="0" fontId="4" fillId="2" borderId="0" xfId="0" applyFont="1" applyFill="1" applyBorder="1" applyAlignment="1" applyProtection="1">
      <alignment horizontal="right"/>
    </xf>
    <xf numFmtId="0" fontId="8" fillId="0" borderId="0" xfId="0" applyFont="1" applyBorder="1" applyAlignment="1" applyProtection="1">
      <alignment horizontal="left"/>
    </xf>
    <xf numFmtId="0" fontId="9" fillId="0" borderId="0" xfId="0" applyFont="1" applyBorder="1" applyAlignment="1" applyProtection="1"/>
    <xf numFmtId="0" fontId="10" fillId="0" borderId="0" xfId="0" applyFont="1" applyBorder="1" applyAlignment="1" applyProtection="1">
      <alignment horizontal="center"/>
    </xf>
    <xf numFmtId="170" fontId="10" fillId="0" borderId="0" xfId="3" applyNumberFormat="1" applyFont="1" applyBorder="1" applyAlignment="1" applyProtection="1">
      <alignment horizontal="center"/>
    </xf>
    <xf numFmtId="170" fontId="10" fillId="0" borderId="0" xfId="3" applyFont="1" applyBorder="1" applyAlignment="1" applyProtection="1">
      <alignment horizontal="center"/>
    </xf>
    <xf numFmtId="170" fontId="11" fillId="0" borderId="0" xfId="3" applyFont="1" applyBorder="1" applyAlignment="1" applyProtection="1">
      <alignment horizontal="center"/>
    </xf>
    <xf numFmtId="0" fontId="10" fillId="0" borderId="0" xfId="0" applyFont="1" applyBorder="1" applyAlignment="1" applyProtection="1">
      <alignment horizontal="right"/>
    </xf>
    <xf numFmtId="0" fontId="3" fillId="0" borderId="0" xfId="0" applyFont="1" applyBorder="1" applyProtection="1"/>
    <xf numFmtId="169" fontId="3" fillId="0" borderId="0" xfId="2" applyFont="1" applyBorder="1" applyAlignment="1" applyProtection="1"/>
    <xf numFmtId="0" fontId="3" fillId="0" borderId="0" xfId="0" applyFont="1" applyBorder="1" applyAlignment="1" applyProtection="1">
      <alignment horizontal="center"/>
    </xf>
    <xf numFmtId="171" fontId="3" fillId="0" borderId="0" xfId="1" applyFont="1" applyFill="1" applyAlignment="1" applyProtection="1">
      <alignment horizontal="center"/>
    </xf>
    <xf numFmtId="170" fontId="3" fillId="0" borderId="0" xfId="3" applyNumberFormat="1" applyFont="1" applyProtection="1"/>
    <xf numFmtId="170" fontId="3" fillId="0" borderId="0" xfId="3" applyFont="1"/>
    <xf numFmtId="170" fontId="5" fillId="0" borderId="0" xfId="3" applyFont="1" applyProtection="1"/>
    <xf numFmtId="170" fontId="3" fillId="0" borderId="0" xfId="3" applyFont="1" applyProtection="1"/>
    <xf numFmtId="0" fontId="3" fillId="0" borderId="0" xfId="0" applyFont="1" applyBorder="1" applyAlignment="1" applyProtection="1">
      <alignment horizontal="right"/>
    </xf>
    <xf numFmtId="0" fontId="3" fillId="0" borderId="0" xfId="0" applyFont="1" applyFill="1" applyBorder="1" applyProtection="1"/>
    <xf numFmtId="169" fontId="3" fillId="0" borderId="0" xfId="2" applyFont="1" applyFill="1" applyBorder="1" applyProtection="1"/>
    <xf numFmtId="0" fontId="3" fillId="0" borderId="0" xfId="0" applyFont="1" applyFill="1" applyBorder="1" applyAlignment="1" applyProtection="1">
      <alignment horizontal="center"/>
    </xf>
    <xf numFmtId="170" fontId="3" fillId="0" borderId="0" xfId="3" applyNumberFormat="1" applyFont="1" applyFill="1" applyProtection="1"/>
    <xf numFmtId="0" fontId="3" fillId="0" borderId="0" xfId="0" applyFont="1" applyFill="1" applyBorder="1" applyAlignment="1" applyProtection="1">
      <alignment horizontal="left"/>
    </xf>
    <xf numFmtId="0" fontId="3" fillId="0" borderId="0" xfId="0" applyFont="1" applyBorder="1" applyAlignment="1" applyProtection="1">
      <alignment horizontal="left"/>
    </xf>
    <xf numFmtId="0" fontId="8" fillId="0" borderId="0" xfId="0" applyFont="1" applyBorder="1" applyProtection="1"/>
    <xf numFmtId="170" fontId="12" fillId="0" borderId="0" xfId="3" applyFont="1" applyProtection="1"/>
    <xf numFmtId="0" fontId="8" fillId="0" borderId="0" xfId="0" applyFont="1" applyProtection="1"/>
    <xf numFmtId="0" fontId="3" fillId="0" borderId="0" xfId="0" applyFont="1" applyProtection="1"/>
    <xf numFmtId="0" fontId="3" fillId="2" borderId="0" xfId="0" applyFont="1" applyFill="1" applyBorder="1" applyProtection="1"/>
    <xf numFmtId="169" fontId="3" fillId="2" borderId="0" xfId="2" applyFont="1" applyFill="1" applyBorder="1" applyProtection="1"/>
    <xf numFmtId="0" fontId="3" fillId="2" borderId="0" xfId="0" applyFont="1" applyFill="1" applyBorder="1" applyAlignment="1" applyProtection="1">
      <alignment horizontal="center"/>
    </xf>
    <xf numFmtId="171" fontId="3" fillId="2" borderId="0" xfId="1" applyFont="1" applyFill="1" applyAlignment="1" applyProtection="1">
      <alignment horizontal="center"/>
    </xf>
    <xf numFmtId="170" fontId="3" fillId="2" borderId="0" xfId="3" applyNumberFormat="1" applyFont="1" applyFill="1" applyProtection="1"/>
    <xf numFmtId="166" fontId="3" fillId="2" borderId="0" xfId="3" applyNumberFormat="1" applyFont="1" applyFill="1" applyProtection="1"/>
    <xf numFmtId="0" fontId="8" fillId="0" borderId="0" xfId="0" applyFont="1" applyFill="1"/>
    <xf numFmtId="169" fontId="3" fillId="0" borderId="0" xfId="0" applyNumberFormat="1" applyFont="1" applyFill="1"/>
    <xf numFmtId="0" fontId="3" fillId="0" borderId="0" xfId="0" applyFont="1" applyFill="1" applyAlignment="1">
      <alignment horizontal="center"/>
    </xf>
    <xf numFmtId="170" fontId="3" fillId="0" borderId="0" xfId="0" applyNumberFormat="1" applyFont="1" applyFill="1"/>
    <xf numFmtId="166" fontId="3" fillId="0" borderId="0" xfId="0" applyNumberFormat="1" applyFont="1" applyFill="1"/>
    <xf numFmtId="166" fontId="12" fillId="0" borderId="0" xfId="0" applyNumberFormat="1" applyFont="1" applyFill="1"/>
    <xf numFmtId="0" fontId="3" fillId="0" borderId="0" xfId="0" applyFont="1" applyFill="1"/>
    <xf numFmtId="170" fontId="3" fillId="0" borderId="0" xfId="3" applyNumberFormat="1" applyFont="1" applyBorder="1" applyProtection="1"/>
    <xf numFmtId="170" fontId="3" fillId="0" borderId="0" xfId="3" applyNumberFormat="1" applyFont="1"/>
    <xf numFmtId="0" fontId="3" fillId="0" borderId="0" xfId="0" applyNumberFormat="1" applyFont="1" applyBorder="1" applyAlignment="1" applyProtection="1"/>
    <xf numFmtId="170" fontId="13" fillId="0" borderId="0" xfId="0" applyNumberFormat="1" applyFont="1" applyProtection="1"/>
    <xf numFmtId="172" fontId="3" fillId="0" borderId="0" xfId="3" applyNumberFormat="1" applyFont="1"/>
    <xf numFmtId="166" fontId="3" fillId="0" borderId="0" xfId="3" applyNumberFormat="1" applyFont="1" applyFill="1" applyProtection="1"/>
    <xf numFmtId="0" fontId="3" fillId="0" borderId="0" xfId="0" applyNumberFormat="1" applyFont="1" applyAlignment="1"/>
    <xf numFmtId="170" fontId="3" fillId="2" borderId="0" xfId="3" applyFont="1" applyFill="1" applyProtection="1"/>
    <xf numFmtId="0" fontId="10" fillId="0" borderId="0" xfId="0" applyFont="1" applyBorder="1" applyProtection="1"/>
    <xf numFmtId="0" fontId="14" fillId="0" borderId="0" xfId="0" applyFont="1"/>
    <xf numFmtId="173" fontId="3" fillId="0" borderId="0" xfId="3" applyNumberFormat="1" applyFont="1"/>
    <xf numFmtId="170" fontId="0" fillId="0" borderId="0" xfId="0" applyNumberFormat="1"/>
    <xf numFmtId="0" fontId="0" fillId="0" borderId="0" xfId="0" applyAlignment="1">
      <alignment horizontal="right"/>
    </xf>
    <xf numFmtId="0" fontId="15" fillId="0" borderId="0" xfId="0" applyFont="1"/>
  </cellXfs>
  <cellStyles count="4">
    <cellStyle name="Dezimal [0]" xfId="2" builtinId="6"/>
    <cellStyle name="Komma" xfId="1" builtinId="3"/>
    <cellStyle name="Standard" xfId="0" builtinId="0"/>
    <cellStyle name="Währung" xfId="3"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88CB1-5652-46E5-B9B1-C8235AE7365F}">
  <dimension ref="A1:S150"/>
  <sheetViews>
    <sheetView tabSelected="1" workbookViewId="0">
      <selection activeCell="G22" sqref="G22"/>
    </sheetView>
  </sheetViews>
  <sheetFormatPr baseColWidth="10" defaultRowHeight="12.75" x14ac:dyDescent="0.2"/>
  <cols>
    <col min="1" max="1" width="34.5703125" customWidth="1"/>
    <col min="2" max="2" width="2.85546875" customWidth="1"/>
    <col min="3" max="3" width="8" customWidth="1"/>
    <col min="4" max="4" width="20.28515625" customWidth="1"/>
    <col min="5" max="5" width="10.7109375" style="87" customWidth="1"/>
    <col min="6" max="6" width="10.42578125" customWidth="1"/>
    <col min="7" max="7" width="9.7109375" style="87" customWidth="1"/>
    <col min="8" max="8" width="8.7109375" customWidth="1"/>
    <col min="9" max="9" width="9.140625" customWidth="1"/>
    <col min="10" max="10" width="10.140625" customWidth="1"/>
    <col min="11" max="11" width="12" style="88" customWidth="1"/>
    <col min="12" max="256" width="9.140625" customWidth="1"/>
  </cols>
  <sheetData>
    <row r="1" spans="1:18" ht="23.25" x14ac:dyDescent="0.35">
      <c r="A1" s="1" t="s">
        <v>0</v>
      </c>
      <c r="B1" s="2"/>
      <c r="C1" s="3"/>
      <c r="D1" s="3"/>
      <c r="E1" s="4"/>
      <c r="F1" s="3"/>
      <c r="G1" s="4"/>
      <c r="H1" s="3"/>
      <c r="I1" s="3"/>
      <c r="J1" s="3"/>
      <c r="K1" s="5"/>
    </row>
    <row r="2" spans="1:18" x14ac:dyDescent="0.2">
      <c r="A2" s="6" t="s">
        <v>1</v>
      </c>
      <c r="B2" s="7"/>
      <c r="C2" s="8"/>
      <c r="D2" s="9" t="s">
        <v>2</v>
      </c>
      <c r="E2" s="10"/>
      <c r="F2" s="11" t="s">
        <v>3</v>
      </c>
      <c r="G2" s="10"/>
      <c r="H2" s="12" t="s">
        <v>4</v>
      </c>
      <c r="I2" s="12" t="s">
        <v>4</v>
      </c>
      <c r="J2" s="13" t="s">
        <v>5</v>
      </c>
      <c r="K2" s="14"/>
      <c r="L2" s="15"/>
      <c r="M2" s="16"/>
      <c r="N2" s="16"/>
      <c r="O2" s="16"/>
      <c r="P2" s="16"/>
      <c r="Q2" s="16"/>
      <c r="R2" s="16"/>
    </row>
    <row r="3" spans="1:18" x14ac:dyDescent="0.2">
      <c r="A3" s="17"/>
      <c r="B3" s="18"/>
      <c r="C3" s="8"/>
      <c r="D3" s="8"/>
      <c r="E3" s="11" t="s">
        <v>6</v>
      </c>
      <c r="F3" s="11" t="s">
        <v>7</v>
      </c>
      <c r="G3" s="10"/>
      <c r="H3" s="19" t="s">
        <v>8</v>
      </c>
      <c r="I3" s="13" t="s">
        <v>8</v>
      </c>
      <c r="J3" s="20" t="s">
        <v>9</v>
      </c>
      <c r="K3" s="21" t="s">
        <v>10</v>
      </c>
      <c r="L3" s="15"/>
      <c r="M3" s="16"/>
      <c r="N3" s="16"/>
      <c r="O3" s="16"/>
      <c r="P3" s="16"/>
      <c r="Q3" s="16"/>
      <c r="R3" s="16"/>
    </row>
    <row r="4" spans="1:18" x14ac:dyDescent="0.2">
      <c r="A4" s="22"/>
      <c r="B4" s="23"/>
      <c r="C4" s="22" t="s">
        <v>11</v>
      </c>
      <c r="D4" s="22" t="s">
        <v>11</v>
      </c>
      <c r="E4" s="24" t="s">
        <v>11</v>
      </c>
      <c r="F4" s="11" t="s">
        <v>12</v>
      </c>
      <c r="G4" s="11" t="s">
        <v>4</v>
      </c>
      <c r="H4" s="13" t="s">
        <v>13</v>
      </c>
      <c r="I4" s="19" t="s">
        <v>14</v>
      </c>
      <c r="J4" s="20" t="s">
        <v>15</v>
      </c>
      <c r="K4" s="25" t="s">
        <v>16</v>
      </c>
      <c r="L4" s="15"/>
      <c r="M4" s="16"/>
      <c r="N4" s="16"/>
      <c r="O4" s="16"/>
      <c r="P4" s="16"/>
      <c r="Q4" s="16"/>
      <c r="R4" s="16"/>
    </row>
    <row r="5" spans="1:18" ht="13.5" thickBot="1" x14ac:dyDescent="0.25">
      <c r="A5" s="26" t="s">
        <v>17</v>
      </c>
      <c r="B5" s="27" t="s">
        <v>18</v>
      </c>
      <c r="C5" s="26" t="s">
        <v>19</v>
      </c>
      <c r="D5" s="26" t="s">
        <v>20</v>
      </c>
      <c r="E5" s="28" t="s">
        <v>21</v>
      </c>
      <c r="F5" s="28" t="s">
        <v>21</v>
      </c>
      <c r="G5" s="28" t="s">
        <v>22</v>
      </c>
      <c r="H5" s="29" t="s">
        <v>23</v>
      </c>
      <c r="I5" s="29" t="s">
        <v>24</v>
      </c>
      <c r="J5" s="29" t="s">
        <v>24</v>
      </c>
      <c r="K5" s="30" t="s">
        <v>25</v>
      </c>
      <c r="L5" s="31"/>
      <c r="M5" s="16"/>
      <c r="N5" s="16"/>
      <c r="O5" s="16"/>
      <c r="P5" s="16"/>
      <c r="Q5" s="16"/>
      <c r="R5" s="16"/>
    </row>
    <row r="6" spans="1:18" ht="15.75" x14ac:dyDescent="0.25">
      <c r="A6" s="32" t="s">
        <v>26</v>
      </c>
      <c r="B6" s="33"/>
      <c r="C6" s="34"/>
      <c r="D6" s="34"/>
      <c r="E6" s="35"/>
      <c r="F6" s="35"/>
      <c r="G6" s="35"/>
      <c r="H6" s="20"/>
      <c r="I6" s="20"/>
      <c r="J6" s="20"/>
      <c r="K6" s="36"/>
      <c r="L6" s="16"/>
      <c r="M6" s="16"/>
      <c r="N6" s="16"/>
      <c r="O6" s="16"/>
      <c r="P6" s="16"/>
      <c r="Q6" s="16"/>
      <c r="R6" s="16"/>
    </row>
    <row r="7" spans="1:18" x14ac:dyDescent="0.2">
      <c r="A7" s="37" t="s">
        <v>27</v>
      </c>
      <c r="B7" s="38"/>
      <c r="C7" s="39"/>
      <c r="D7" s="39"/>
      <c r="E7" s="40"/>
      <c r="F7" s="40"/>
      <c r="G7" s="40"/>
      <c r="H7" s="41"/>
      <c r="I7" s="42"/>
      <c r="J7" s="41"/>
      <c r="K7" s="43"/>
    </row>
    <row r="8" spans="1:18" x14ac:dyDescent="0.2">
      <c r="A8" s="44" t="s">
        <v>28</v>
      </c>
      <c r="B8" s="45">
        <v>1</v>
      </c>
      <c r="C8" s="46" t="s">
        <v>29</v>
      </c>
      <c r="D8" s="47" t="s">
        <v>30</v>
      </c>
      <c r="E8" s="48">
        <v>750</v>
      </c>
      <c r="F8" s="48">
        <f t="shared" ref="F8:F35" si="0">E8*22%</f>
        <v>165</v>
      </c>
      <c r="G8" s="48">
        <f>E8*0.2</f>
        <v>150</v>
      </c>
      <c r="H8" s="49">
        <f>G8*0.15</f>
        <v>22.5</v>
      </c>
      <c r="I8" s="50">
        <f t="shared" ref="I8:I34" si="1">G8*7%</f>
        <v>10.500000000000002</v>
      </c>
      <c r="J8" s="51">
        <f t="shared" ref="J8:J34" si="2">H8+I8</f>
        <v>33</v>
      </c>
      <c r="K8" s="52" t="s">
        <v>31</v>
      </c>
    </row>
    <row r="9" spans="1:18" x14ac:dyDescent="0.2">
      <c r="A9" s="44" t="s">
        <v>28</v>
      </c>
      <c r="B9" s="45">
        <v>1</v>
      </c>
      <c r="C9" s="46" t="s">
        <v>29</v>
      </c>
      <c r="D9" s="47" t="s">
        <v>32</v>
      </c>
      <c r="E9" s="48">
        <v>100</v>
      </c>
      <c r="F9" s="48">
        <f t="shared" si="0"/>
        <v>22</v>
      </c>
      <c r="G9" s="48">
        <f t="shared" ref="G9:G27" si="3">E9*0.2</f>
        <v>20</v>
      </c>
      <c r="H9" s="49">
        <f t="shared" ref="H9:H35" si="4">G9*15%</f>
        <v>3</v>
      </c>
      <c r="I9" s="50">
        <f t="shared" si="1"/>
        <v>1.4000000000000001</v>
      </c>
      <c r="J9" s="51">
        <f t="shared" si="2"/>
        <v>4.4000000000000004</v>
      </c>
      <c r="K9" s="52" t="s">
        <v>33</v>
      </c>
    </row>
    <row r="10" spans="1:18" x14ac:dyDescent="0.2">
      <c r="A10" s="44" t="s">
        <v>28</v>
      </c>
      <c r="B10" s="45">
        <v>1</v>
      </c>
      <c r="C10" s="46" t="s">
        <v>29</v>
      </c>
      <c r="D10" s="47" t="s">
        <v>34</v>
      </c>
      <c r="E10" s="48">
        <v>40000</v>
      </c>
      <c r="F10" s="48">
        <f t="shared" si="0"/>
        <v>8800</v>
      </c>
      <c r="G10" s="48">
        <f>E10*0.5</f>
        <v>20000</v>
      </c>
      <c r="H10" s="49">
        <f t="shared" si="4"/>
        <v>3000</v>
      </c>
      <c r="I10" s="50">
        <f>G10*7%</f>
        <v>1400.0000000000002</v>
      </c>
      <c r="J10" s="51">
        <f>H10+I10</f>
        <v>4400</v>
      </c>
      <c r="K10" s="52" t="s">
        <v>33</v>
      </c>
    </row>
    <row r="11" spans="1:18" x14ac:dyDescent="0.2">
      <c r="A11" s="44" t="s">
        <v>35</v>
      </c>
      <c r="B11" s="45">
        <v>1</v>
      </c>
      <c r="C11" s="46" t="s">
        <v>29</v>
      </c>
      <c r="D11" s="47" t="s">
        <v>36</v>
      </c>
      <c r="E11" s="48">
        <v>395</v>
      </c>
      <c r="F11" s="48">
        <f t="shared" si="0"/>
        <v>86.9</v>
      </c>
      <c r="G11" s="48">
        <f t="shared" si="3"/>
        <v>79</v>
      </c>
      <c r="H11" s="49">
        <f t="shared" si="4"/>
        <v>11.85</v>
      </c>
      <c r="I11" s="50">
        <f t="shared" si="1"/>
        <v>5.53</v>
      </c>
      <c r="J11" s="51">
        <f t="shared" si="2"/>
        <v>17.38</v>
      </c>
      <c r="K11" s="52" t="s">
        <v>31</v>
      </c>
    </row>
    <row r="12" spans="1:18" x14ac:dyDescent="0.2">
      <c r="A12" s="44" t="s">
        <v>37</v>
      </c>
      <c r="B12" s="45">
        <v>1</v>
      </c>
      <c r="C12" s="46" t="s">
        <v>29</v>
      </c>
      <c r="D12" s="47" t="s">
        <v>36</v>
      </c>
      <c r="E12" s="48">
        <v>295</v>
      </c>
      <c r="F12" s="48">
        <f t="shared" si="0"/>
        <v>64.900000000000006</v>
      </c>
      <c r="G12" s="48">
        <f t="shared" si="3"/>
        <v>59</v>
      </c>
      <c r="H12" s="49">
        <f t="shared" si="4"/>
        <v>8.85</v>
      </c>
      <c r="I12" s="50">
        <f t="shared" si="1"/>
        <v>4.1300000000000008</v>
      </c>
      <c r="J12" s="51">
        <f t="shared" si="2"/>
        <v>12.98</v>
      </c>
      <c r="K12" s="52" t="s">
        <v>31</v>
      </c>
    </row>
    <row r="13" spans="1:18" x14ac:dyDescent="0.2">
      <c r="A13" s="44" t="s">
        <v>38</v>
      </c>
      <c r="B13" s="45">
        <v>1</v>
      </c>
      <c r="C13" s="46" t="s">
        <v>29</v>
      </c>
      <c r="D13" s="47" t="s">
        <v>30</v>
      </c>
      <c r="E13" s="48">
        <v>150</v>
      </c>
      <c r="F13" s="48">
        <f t="shared" si="0"/>
        <v>33</v>
      </c>
      <c r="G13" s="48">
        <f t="shared" si="3"/>
        <v>30</v>
      </c>
      <c r="H13" s="49">
        <f t="shared" si="4"/>
        <v>4.5</v>
      </c>
      <c r="I13" s="50">
        <f t="shared" si="1"/>
        <v>2.1</v>
      </c>
      <c r="J13" s="51">
        <f t="shared" si="2"/>
        <v>6.6</v>
      </c>
      <c r="K13" s="52" t="s">
        <v>39</v>
      </c>
    </row>
    <row r="14" spans="1:18" x14ac:dyDescent="0.2">
      <c r="A14" s="44" t="s">
        <v>38</v>
      </c>
      <c r="B14" s="45">
        <v>1</v>
      </c>
      <c r="C14" s="46" t="s">
        <v>29</v>
      </c>
      <c r="D14" s="47" t="s">
        <v>32</v>
      </c>
      <c r="E14" s="48">
        <v>15</v>
      </c>
      <c r="F14" s="48">
        <f t="shared" si="0"/>
        <v>3.3</v>
      </c>
      <c r="G14" s="48">
        <f t="shared" si="3"/>
        <v>3</v>
      </c>
      <c r="H14" s="49">
        <f t="shared" si="4"/>
        <v>0.44999999999999996</v>
      </c>
      <c r="I14" s="50">
        <f t="shared" si="1"/>
        <v>0.21000000000000002</v>
      </c>
      <c r="J14" s="51">
        <f t="shared" si="2"/>
        <v>0.65999999999999992</v>
      </c>
      <c r="K14" s="52" t="s">
        <v>39</v>
      </c>
    </row>
    <row r="15" spans="1:18" x14ac:dyDescent="0.2">
      <c r="A15" s="44" t="s">
        <v>40</v>
      </c>
      <c r="B15" s="45">
        <v>1</v>
      </c>
      <c r="C15" s="46" t="s">
        <v>29</v>
      </c>
      <c r="D15" s="47" t="s">
        <v>30</v>
      </c>
      <c r="E15" s="48">
        <v>150</v>
      </c>
      <c r="F15" s="48">
        <f t="shared" si="0"/>
        <v>33</v>
      </c>
      <c r="G15" s="48">
        <f t="shared" si="3"/>
        <v>30</v>
      </c>
      <c r="H15" s="49">
        <f t="shared" si="4"/>
        <v>4.5</v>
      </c>
      <c r="I15" s="50">
        <f t="shared" si="1"/>
        <v>2.1</v>
      </c>
      <c r="J15" s="51">
        <f t="shared" si="2"/>
        <v>6.6</v>
      </c>
      <c r="K15" s="52" t="s">
        <v>39</v>
      </c>
    </row>
    <row r="16" spans="1:18" x14ac:dyDescent="0.2">
      <c r="A16" s="44" t="s">
        <v>40</v>
      </c>
      <c r="B16" s="45">
        <v>1</v>
      </c>
      <c r="C16" s="46" t="s">
        <v>29</v>
      </c>
      <c r="D16" s="47" t="s">
        <v>32</v>
      </c>
      <c r="E16" s="48">
        <v>15</v>
      </c>
      <c r="F16" s="48">
        <f t="shared" si="0"/>
        <v>3.3</v>
      </c>
      <c r="G16" s="48">
        <f t="shared" si="3"/>
        <v>3</v>
      </c>
      <c r="H16" s="49">
        <f t="shared" si="4"/>
        <v>0.44999999999999996</v>
      </c>
      <c r="I16" s="50">
        <f t="shared" si="1"/>
        <v>0.21000000000000002</v>
      </c>
      <c r="J16" s="51">
        <f t="shared" si="2"/>
        <v>0.65999999999999992</v>
      </c>
      <c r="K16" s="52" t="s">
        <v>39</v>
      </c>
    </row>
    <row r="17" spans="1:11" x14ac:dyDescent="0.2">
      <c r="A17" s="44" t="s">
        <v>40</v>
      </c>
      <c r="B17" s="45">
        <v>1</v>
      </c>
      <c r="C17" s="46" t="s">
        <v>29</v>
      </c>
      <c r="D17" s="47" t="s">
        <v>34</v>
      </c>
      <c r="E17" s="48">
        <v>10000</v>
      </c>
      <c r="F17" s="48">
        <f t="shared" si="0"/>
        <v>2200</v>
      </c>
      <c r="G17" s="48">
        <f>E17*0.5</f>
        <v>5000</v>
      </c>
      <c r="H17" s="49">
        <f t="shared" si="4"/>
        <v>750</v>
      </c>
      <c r="I17" s="50">
        <f>G17*7%</f>
        <v>350.00000000000006</v>
      </c>
      <c r="J17" s="51">
        <f>H17+I17</f>
        <v>1100</v>
      </c>
      <c r="K17" s="52" t="s">
        <v>39</v>
      </c>
    </row>
    <row r="18" spans="1:11" s="3" customFormat="1" ht="11.25" x14ac:dyDescent="0.2">
      <c r="A18" s="53" t="s">
        <v>41</v>
      </c>
      <c r="B18" s="54">
        <v>1</v>
      </c>
      <c r="C18" s="55" t="s">
        <v>29</v>
      </c>
      <c r="D18" s="47" t="s">
        <v>42</v>
      </c>
      <c r="E18" s="56">
        <v>400</v>
      </c>
      <c r="F18" s="48">
        <f t="shared" si="0"/>
        <v>88</v>
      </c>
      <c r="G18" s="48">
        <f t="shared" si="3"/>
        <v>80</v>
      </c>
      <c r="H18" s="49">
        <f t="shared" si="4"/>
        <v>12</v>
      </c>
      <c r="I18" s="50">
        <f t="shared" si="1"/>
        <v>5.6000000000000005</v>
      </c>
      <c r="J18" s="51">
        <f t="shared" si="2"/>
        <v>17.600000000000001</v>
      </c>
      <c r="K18" s="5" t="s">
        <v>39</v>
      </c>
    </row>
    <row r="19" spans="1:11" s="3" customFormat="1" ht="11.25" x14ac:dyDescent="0.2">
      <c r="A19" s="53" t="s">
        <v>41</v>
      </c>
      <c r="B19" s="54">
        <v>1</v>
      </c>
      <c r="C19" s="55" t="s">
        <v>29</v>
      </c>
      <c r="D19" s="47" t="s">
        <v>34</v>
      </c>
      <c r="E19" s="56">
        <v>20000</v>
      </c>
      <c r="F19" s="48">
        <f t="shared" si="0"/>
        <v>4400</v>
      </c>
      <c r="G19" s="48">
        <f>E19*0.5</f>
        <v>10000</v>
      </c>
      <c r="H19" s="49">
        <f t="shared" si="4"/>
        <v>1500</v>
      </c>
      <c r="I19" s="50">
        <f>G19*7%</f>
        <v>700.00000000000011</v>
      </c>
      <c r="J19" s="51">
        <f>H19+I19</f>
        <v>2200</v>
      </c>
      <c r="K19" s="5" t="s">
        <v>39</v>
      </c>
    </row>
    <row r="20" spans="1:11" s="3" customFormat="1" ht="11.25" x14ac:dyDescent="0.2">
      <c r="A20" s="53" t="s">
        <v>43</v>
      </c>
      <c r="B20" s="54">
        <v>1</v>
      </c>
      <c r="C20" s="55" t="s">
        <v>29</v>
      </c>
      <c r="D20" s="47" t="s">
        <v>42</v>
      </c>
      <c r="E20" s="56">
        <v>400</v>
      </c>
      <c r="F20" s="48">
        <f t="shared" si="0"/>
        <v>88</v>
      </c>
      <c r="G20" s="48">
        <f>E20*0.2</f>
        <v>80</v>
      </c>
      <c r="H20" s="49">
        <f t="shared" si="4"/>
        <v>12</v>
      </c>
      <c r="I20" s="50">
        <f>G20*7%</f>
        <v>5.6000000000000005</v>
      </c>
      <c r="J20" s="51">
        <f>H20+I20</f>
        <v>17.600000000000001</v>
      </c>
      <c r="K20" s="5" t="s">
        <v>39</v>
      </c>
    </row>
    <row r="21" spans="1:11" s="3" customFormat="1" ht="11.25" x14ac:dyDescent="0.2">
      <c r="A21" s="53" t="s">
        <v>43</v>
      </c>
      <c r="B21" s="54">
        <v>1</v>
      </c>
      <c r="C21" s="55" t="s">
        <v>29</v>
      </c>
      <c r="D21" s="47" t="s">
        <v>34</v>
      </c>
      <c r="E21" s="56">
        <v>20000</v>
      </c>
      <c r="F21" s="48">
        <f t="shared" si="0"/>
        <v>4400</v>
      </c>
      <c r="G21" s="48">
        <f>E21/0.5</f>
        <v>40000</v>
      </c>
      <c r="H21" s="49">
        <f t="shared" si="4"/>
        <v>6000</v>
      </c>
      <c r="I21" s="50">
        <f>G21*7%</f>
        <v>2800.0000000000005</v>
      </c>
      <c r="J21" s="51">
        <f>H21+I21</f>
        <v>8800</v>
      </c>
      <c r="K21" s="5" t="s">
        <v>39</v>
      </c>
    </row>
    <row r="22" spans="1:11" x14ac:dyDescent="0.2">
      <c r="A22" s="44" t="s">
        <v>44</v>
      </c>
      <c r="B22" s="45">
        <v>1</v>
      </c>
      <c r="C22" s="46" t="s">
        <v>29</v>
      </c>
      <c r="D22" s="47" t="s">
        <v>30</v>
      </c>
      <c r="E22" s="48">
        <v>300</v>
      </c>
      <c r="F22" s="48">
        <f t="shared" si="0"/>
        <v>66</v>
      </c>
      <c r="G22" s="48">
        <f t="shared" si="3"/>
        <v>60</v>
      </c>
      <c r="H22" s="49">
        <f t="shared" si="4"/>
        <v>9</v>
      </c>
      <c r="I22" s="50">
        <f t="shared" si="1"/>
        <v>4.2</v>
      </c>
      <c r="J22" s="51">
        <f t="shared" si="2"/>
        <v>13.2</v>
      </c>
      <c r="K22" s="52" t="s">
        <v>39</v>
      </c>
    </row>
    <row r="23" spans="1:11" x14ac:dyDescent="0.2">
      <c r="A23" s="44" t="s">
        <v>44</v>
      </c>
      <c r="B23" s="45">
        <v>1</v>
      </c>
      <c r="C23" s="46" t="s">
        <v>29</v>
      </c>
      <c r="D23" s="47" t="s">
        <v>32</v>
      </c>
      <c r="E23" s="48">
        <v>30</v>
      </c>
      <c r="F23" s="48">
        <f t="shared" si="0"/>
        <v>6.6</v>
      </c>
      <c r="G23" s="48">
        <f t="shared" si="3"/>
        <v>6</v>
      </c>
      <c r="H23" s="49">
        <f t="shared" si="4"/>
        <v>0.89999999999999991</v>
      </c>
      <c r="I23" s="50">
        <f t="shared" si="1"/>
        <v>0.42000000000000004</v>
      </c>
      <c r="J23" s="51">
        <f t="shared" si="2"/>
        <v>1.3199999999999998</v>
      </c>
      <c r="K23" s="52" t="s">
        <v>39</v>
      </c>
    </row>
    <row r="24" spans="1:11" x14ac:dyDescent="0.2">
      <c r="A24" s="44" t="s">
        <v>44</v>
      </c>
      <c r="B24" s="45">
        <v>1</v>
      </c>
      <c r="C24" s="46" t="s">
        <v>29</v>
      </c>
      <c r="D24" s="47" t="s">
        <v>34</v>
      </c>
      <c r="E24" s="48">
        <v>10000</v>
      </c>
      <c r="F24" s="48">
        <f t="shared" si="0"/>
        <v>2200</v>
      </c>
      <c r="G24" s="48">
        <f>E24*0.5</f>
        <v>5000</v>
      </c>
      <c r="H24" s="49">
        <f t="shared" si="4"/>
        <v>750</v>
      </c>
      <c r="I24" s="50">
        <f>G24*7%</f>
        <v>350.00000000000006</v>
      </c>
      <c r="J24" s="51">
        <f>H24+I24</f>
        <v>1100</v>
      </c>
      <c r="K24" s="52" t="s">
        <v>39</v>
      </c>
    </row>
    <row r="25" spans="1:11" x14ac:dyDescent="0.2">
      <c r="A25" s="44" t="s">
        <v>45</v>
      </c>
      <c r="B25" s="45">
        <v>1</v>
      </c>
      <c r="C25" s="46" t="s">
        <v>29</v>
      </c>
      <c r="D25" s="47" t="s">
        <v>30</v>
      </c>
      <c r="E25" s="48">
        <v>450</v>
      </c>
      <c r="F25" s="48">
        <f t="shared" si="0"/>
        <v>99</v>
      </c>
      <c r="G25" s="48">
        <f t="shared" si="3"/>
        <v>90</v>
      </c>
      <c r="H25" s="49">
        <f t="shared" si="4"/>
        <v>13.5</v>
      </c>
      <c r="I25" s="50">
        <f t="shared" si="1"/>
        <v>6.3000000000000007</v>
      </c>
      <c r="J25" s="51">
        <f t="shared" si="2"/>
        <v>19.8</v>
      </c>
      <c r="K25" s="52" t="s">
        <v>39</v>
      </c>
    </row>
    <row r="26" spans="1:11" x14ac:dyDescent="0.2">
      <c r="A26" s="44" t="s">
        <v>45</v>
      </c>
      <c r="B26" s="45">
        <v>1</v>
      </c>
      <c r="C26" s="46" t="s">
        <v>29</v>
      </c>
      <c r="D26" s="47" t="s">
        <v>32</v>
      </c>
      <c r="E26" s="48">
        <v>40</v>
      </c>
      <c r="F26" s="48">
        <f t="shared" si="0"/>
        <v>8.8000000000000007</v>
      </c>
      <c r="G26" s="48">
        <f t="shared" si="3"/>
        <v>8</v>
      </c>
      <c r="H26" s="49">
        <f t="shared" si="4"/>
        <v>1.2</v>
      </c>
      <c r="I26" s="50">
        <f t="shared" si="1"/>
        <v>0.56000000000000005</v>
      </c>
      <c r="J26" s="51">
        <f t="shared" si="2"/>
        <v>1.76</v>
      </c>
      <c r="K26" s="52" t="s">
        <v>39</v>
      </c>
    </row>
    <row r="27" spans="1:11" x14ac:dyDescent="0.2">
      <c r="A27" s="44" t="s">
        <v>46</v>
      </c>
      <c r="B27" s="45">
        <v>1</v>
      </c>
      <c r="C27" s="46" t="s">
        <v>29</v>
      </c>
      <c r="D27" s="47" t="s">
        <v>30</v>
      </c>
      <c r="E27" s="48">
        <v>50</v>
      </c>
      <c r="F27" s="48">
        <f t="shared" si="0"/>
        <v>11</v>
      </c>
      <c r="G27" s="48">
        <f t="shared" si="3"/>
        <v>10</v>
      </c>
      <c r="H27" s="49">
        <f t="shared" si="4"/>
        <v>1.5</v>
      </c>
      <c r="I27" s="50">
        <f t="shared" si="1"/>
        <v>0.70000000000000007</v>
      </c>
      <c r="J27" s="51">
        <f t="shared" si="2"/>
        <v>2.2000000000000002</v>
      </c>
      <c r="K27" s="52" t="s">
        <v>39</v>
      </c>
    </row>
    <row r="28" spans="1:11" x14ac:dyDescent="0.2">
      <c r="A28" s="44" t="s">
        <v>46</v>
      </c>
      <c r="B28" s="45">
        <v>1</v>
      </c>
      <c r="C28" s="46" t="s">
        <v>29</v>
      </c>
      <c r="D28" s="47" t="s">
        <v>32</v>
      </c>
      <c r="E28" s="48">
        <v>10</v>
      </c>
      <c r="F28" s="48">
        <f t="shared" si="0"/>
        <v>2.2000000000000002</v>
      </c>
      <c r="G28" s="48">
        <f>E28*0.2</f>
        <v>2</v>
      </c>
      <c r="H28" s="49">
        <f t="shared" si="4"/>
        <v>0.3</v>
      </c>
      <c r="I28" s="50">
        <f t="shared" si="1"/>
        <v>0.14000000000000001</v>
      </c>
      <c r="J28" s="51">
        <f t="shared" si="2"/>
        <v>0.44</v>
      </c>
      <c r="K28" s="52" t="s">
        <v>39</v>
      </c>
    </row>
    <row r="29" spans="1:11" x14ac:dyDescent="0.2">
      <c r="A29" s="44" t="s">
        <v>47</v>
      </c>
      <c r="B29" s="45">
        <v>1</v>
      </c>
      <c r="C29" s="46" t="s">
        <v>29</v>
      </c>
      <c r="D29" s="47" t="s">
        <v>34</v>
      </c>
      <c r="E29" s="48">
        <v>3000</v>
      </c>
      <c r="F29" s="48">
        <f t="shared" si="0"/>
        <v>660</v>
      </c>
      <c r="G29" s="48">
        <f>E29*0.5</f>
        <v>1500</v>
      </c>
      <c r="H29" s="49">
        <f t="shared" si="4"/>
        <v>225</v>
      </c>
      <c r="I29" s="50">
        <f>G29*7%</f>
        <v>105.00000000000001</v>
      </c>
      <c r="J29" s="51">
        <f>H29+I29</f>
        <v>330</v>
      </c>
      <c r="K29" s="52" t="s">
        <v>39</v>
      </c>
    </row>
    <row r="30" spans="1:11" x14ac:dyDescent="0.2">
      <c r="A30" s="44" t="s">
        <v>48</v>
      </c>
      <c r="B30" s="45">
        <v>1</v>
      </c>
      <c r="C30" s="46" t="s">
        <v>29</v>
      </c>
      <c r="D30" s="47" t="s">
        <v>30</v>
      </c>
      <c r="E30" s="48">
        <v>50</v>
      </c>
      <c r="F30" s="48">
        <f t="shared" si="0"/>
        <v>11</v>
      </c>
      <c r="G30" s="48">
        <f>E30*0.2</f>
        <v>10</v>
      </c>
      <c r="H30" s="49">
        <f t="shared" si="4"/>
        <v>1.5</v>
      </c>
      <c r="I30" s="50">
        <f t="shared" si="1"/>
        <v>0.70000000000000007</v>
      </c>
      <c r="J30" s="51">
        <f t="shared" si="2"/>
        <v>2.2000000000000002</v>
      </c>
      <c r="K30" s="52" t="s">
        <v>39</v>
      </c>
    </row>
    <row r="31" spans="1:11" x14ac:dyDescent="0.2">
      <c r="A31" s="44" t="s">
        <v>48</v>
      </c>
      <c r="B31" s="45">
        <v>1</v>
      </c>
      <c r="C31" s="46" t="s">
        <v>29</v>
      </c>
      <c r="D31" s="47" t="s">
        <v>32</v>
      </c>
      <c r="E31" s="48">
        <v>10</v>
      </c>
      <c r="F31" s="48">
        <f t="shared" si="0"/>
        <v>2.2000000000000002</v>
      </c>
      <c r="G31" s="48">
        <f>E31*0.2</f>
        <v>2</v>
      </c>
      <c r="H31" s="49">
        <f t="shared" si="4"/>
        <v>0.3</v>
      </c>
      <c r="I31" s="50">
        <f t="shared" si="1"/>
        <v>0.14000000000000001</v>
      </c>
      <c r="J31" s="51">
        <f t="shared" si="2"/>
        <v>0.44</v>
      </c>
      <c r="K31" s="52" t="s">
        <v>39</v>
      </c>
    </row>
    <row r="32" spans="1:11" x14ac:dyDescent="0.2">
      <c r="A32" s="44" t="s">
        <v>49</v>
      </c>
      <c r="B32" s="45">
        <v>1</v>
      </c>
      <c r="C32" s="46" t="s">
        <v>29</v>
      </c>
      <c r="D32" s="47" t="s">
        <v>34</v>
      </c>
      <c r="E32" s="48">
        <v>3000</v>
      </c>
      <c r="F32" s="48">
        <f t="shared" si="0"/>
        <v>660</v>
      </c>
      <c r="G32" s="48">
        <f>E32*0.5</f>
        <v>1500</v>
      </c>
      <c r="H32" s="49">
        <f t="shared" si="4"/>
        <v>225</v>
      </c>
      <c r="I32" s="50">
        <f>G32*7%</f>
        <v>105.00000000000001</v>
      </c>
      <c r="J32" s="51">
        <f>H32+I32</f>
        <v>330</v>
      </c>
      <c r="K32" s="52" t="s">
        <v>39</v>
      </c>
    </row>
    <row r="33" spans="1:19" s="3" customFormat="1" ht="11.25" x14ac:dyDescent="0.2">
      <c r="A33" s="44" t="s">
        <v>50</v>
      </c>
      <c r="B33" s="45">
        <v>1</v>
      </c>
      <c r="C33" s="46" t="s">
        <v>29</v>
      </c>
      <c r="D33" s="47" t="s">
        <v>30</v>
      </c>
      <c r="E33" s="48">
        <v>50</v>
      </c>
      <c r="F33" s="48">
        <f t="shared" si="0"/>
        <v>11</v>
      </c>
      <c r="G33" s="48">
        <f>E33*0.2</f>
        <v>10</v>
      </c>
      <c r="H33" s="49">
        <f t="shared" si="4"/>
        <v>1.5</v>
      </c>
      <c r="I33" s="50">
        <f t="shared" si="1"/>
        <v>0.70000000000000007</v>
      </c>
      <c r="J33" s="51">
        <f t="shared" si="2"/>
        <v>2.2000000000000002</v>
      </c>
      <c r="K33" s="52" t="s">
        <v>39</v>
      </c>
      <c r="L33" s="57"/>
      <c r="M33" s="49"/>
      <c r="N33" s="49"/>
      <c r="O33" s="49"/>
      <c r="P33" s="49"/>
      <c r="Q33" s="49"/>
      <c r="R33" s="49"/>
      <c r="S33" s="58"/>
    </row>
    <row r="34" spans="1:19" s="3" customFormat="1" ht="11.25" x14ac:dyDescent="0.2">
      <c r="A34" s="44" t="s">
        <v>50</v>
      </c>
      <c r="B34" s="45">
        <v>1</v>
      </c>
      <c r="C34" s="46" t="s">
        <v>29</v>
      </c>
      <c r="D34" s="47" t="s">
        <v>32</v>
      </c>
      <c r="E34" s="48">
        <v>10</v>
      </c>
      <c r="F34" s="48">
        <f t="shared" si="0"/>
        <v>2.2000000000000002</v>
      </c>
      <c r="G34" s="48">
        <f>E34*0.2</f>
        <v>2</v>
      </c>
      <c r="H34" s="49">
        <f t="shared" si="4"/>
        <v>0.3</v>
      </c>
      <c r="I34" s="50">
        <f t="shared" si="1"/>
        <v>0.14000000000000001</v>
      </c>
      <c r="J34" s="51">
        <f t="shared" si="2"/>
        <v>0.44</v>
      </c>
      <c r="K34" s="52" t="s">
        <v>39</v>
      </c>
      <c r="L34" s="57"/>
      <c r="M34" s="49"/>
      <c r="N34" s="49"/>
      <c r="O34" s="49"/>
      <c r="P34" s="49"/>
      <c r="Q34" s="49"/>
      <c r="R34" s="49"/>
      <c r="S34" s="58"/>
    </row>
    <row r="35" spans="1:19" x14ac:dyDescent="0.2">
      <c r="A35" s="44" t="s">
        <v>51</v>
      </c>
      <c r="B35" s="45">
        <v>1</v>
      </c>
      <c r="C35" s="46" t="s">
        <v>29</v>
      </c>
      <c r="D35" s="47" t="s">
        <v>34</v>
      </c>
      <c r="E35" s="48">
        <v>3000</v>
      </c>
      <c r="F35" s="48">
        <f t="shared" si="0"/>
        <v>660</v>
      </c>
      <c r="G35" s="48">
        <f>E35*0.5</f>
        <v>1500</v>
      </c>
      <c r="H35" s="49">
        <f t="shared" si="4"/>
        <v>225</v>
      </c>
      <c r="I35" s="50">
        <f>G35*7%</f>
        <v>105.00000000000001</v>
      </c>
      <c r="J35" s="51">
        <f>H35+I35</f>
        <v>330</v>
      </c>
      <c r="K35" s="52" t="s">
        <v>39</v>
      </c>
    </row>
    <row r="36" spans="1:19" x14ac:dyDescent="0.2">
      <c r="A36" s="59" t="s">
        <v>52</v>
      </c>
      <c r="B36" s="45"/>
      <c r="C36" s="46"/>
      <c r="D36" s="46"/>
      <c r="E36" s="48"/>
      <c r="F36" s="48"/>
      <c r="G36" s="48"/>
      <c r="H36" s="49"/>
      <c r="I36" s="50"/>
      <c r="J36" s="51"/>
      <c r="K36" s="52"/>
    </row>
    <row r="37" spans="1:19" x14ac:dyDescent="0.2">
      <c r="A37" s="44" t="s">
        <v>53</v>
      </c>
      <c r="B37" s="45">
        <v>1</v>
      </c>
      <c r="C37" s="46" t="s">
        <v>29</v>
      </c>
      <c r="D37" s="47" t="s">
        <v>30</v>
      </c>
      <c r="E37" s="48">
        <v>250</v>
      </c>
      <c r="F37" s="48">
        <f>E37*22%</f>
        <v>55</v>
      </c>
      <c r="G37" s="48">
        <f>E37*0.2</f>
        <v>50</v>
      </c>
      <c r="H37" s="49">
        <f>G37*15%</f>
        <v>7.5</v>
      </c>
      <c r="I37" s="50">
        <f>G37*7%</f>
        <v>3.5000000000000004</v>
      </c>
      <c r="J37" s="51">
        <f>H37+I37</f>
        <v>11</v>
      </c>
      <c r="K37" s="52" t="s">
        <v>31</v>
      </c>
    </row>
    <row r="38" spans="1:19" x14ac:dyDescent="0.2">
      <c r="A38" s="44" t="s">
        <v>53</v>
      </c>
      <c r="B38" s="45">
        <v>1</v>
      </c>
      <c r="C38" s="46" t="s">
        <v>29</v>
      </c>
      <c r="D38" s="47" t="s">
        <v>32</v>
      </c>
      <c r="E38" s="48">
        <v>30</v>
      </c>
      <c r="F38" s="48">
        <f>E38*22%</f>
        <v>6.6</v>
      </c>
      <c r="G38" s="48">
        <f>E38*0.2</f>
        <v>6</v>
      </c>
      <c r="H38" s="49">
        <f>G38*15%</f>
        <v>0.89999999999999991</v>
      </c>
      <c r="I38" s="50">
        <f>G38*7%</f>
        <v>0.42000000000000004</v>
      </c>
      <c r="J38" s="51">
        <f>H38+I38</f>
        <v>1.3199999999999998</v>
      </c>
      <c r="K38" s="52" t="s">
        <v>33</v>
      </c>
    </row>
    <row r="39" spans="1:19" x14ac:dyDescent="0.2">
      <c r="A39" s="44" t="s">
        <v>53</v>
      </c>
      <c r="B39" s="45">
        <v>1</v>
      </c>
      <c r="C39" s="46" t="s">
        <v>29</v>
      </c>
      <c r="D39" s="47" t="s">
        <v>34</v>
      </c>
      <c r="E39" s="48">
        <v>20000</v>
      </c>
      <c r="F39" s="48">
        <f>E39*22%</f>
        <v>4400</v>
      </c>
      <c r="G39" s="48">
        <f>E39*0.3</f>
        <v>6000</v>
      </c>
      <c r="H39" s="49">
        <f>G39*15%</f>
        <v>900</v>
      </c>
      <c r="I39" s="50">
        <f>G39*7%</f>
        <v>420.00000000000006</v>
      </c>
      <c r="J39" s="51">
        <f>H39+I39</f>
        <v>1320</v>
      </c>
      <c r="K39" s="52" t="s">
        <v>33</v>
      </c>
    </row>
    <row r="40" spans="1:19" x14ac:dyDescent="0.2">
      <c r="A40" s="44" t="s">
        <v>54</v>
      </c>
      <c r="B40" s="45">
        <v>1</v>
      </c>
      <c r="C40" s="46" t="s">
        <v>29</v>
      </c>
      <c r="D40" s="47" t="s">
        <v>30</v>
      </c>
      <c r="E40" s="48">
        <v>120</v>
      </c>
      <c r="F40" s="48">
        <f>E40*22%</f>
        <v>26.4</v>
      </c>
      <c r="G40" s="48">
        <f>E40*0.2</f>
        <v>24</v>
      </c>
      <c r="H40" s="49">
        <f>G40*15%</f>
        <v>3.5999999999999996</v>
      </c>
      <c r="I40" s="50">
        <f>G40*7%</f>
        <v>1.6800000000000002</v>
      </c>
      <c r="J40" s="51">
        <f>H40+I40</f>
        <v>5.2799999999999994</v>
      </c>
      <c r="K40" s="52" t="s">
        <v>31</v>
      </c>
    </row>
    <row r="41" spans="1:19" x14ac:dyDescent="0.2">
      <c r="A41" s="44" t="s">
        <v>54</v>
      </c>
      <c r="B41" s="45">
        <v>1</v>
      </c>
      <c r="C41" s="46" t="s">
        <v>29</v>
      </c>
      <c r="D41" s="47" t="s">
        <v>32</v>
      </c>
      <c r="E41" s="48">
        <v>150</v>
      </c>
      <c r="F41" s="48">
        <f>E41*22%</f>
        <v>33</v>
      </c>
      <c r="G41" s="48">
        <f>E41*0.2</f>
        <v>30</v>
      </c>
      <c r="H41" s="49">
        <f>G41*15%</f>
        <v>4.5</v>
      </c>
      <c r="I41" s="50">
        <f>G41*7%</f>
        <v>2.1</v>
      </c>
      <c r="J41" s="51">
        <f>H41+I41</f>
        <v>6.6</v>
      </c>
      <c r="K41" s="52" t="s">
        <v>33</v>
      </c>
    </row>
    <row r="42" spans="1:19" x14ac:dyDescent="0.2">
      <c r="A42" s="44"/>
      <c r="B42" s="45"/>
      <c r="C42" s="46"/>
      <c r="D42" s="47"/>
      <c r="E42" s="48"/>
      <c r="F42" s="48"/>
      <c r="G42" s="48"/>
      <c r="H42" s="49"/>
      <c r="I42" s="50"/>
      <c r="J42" s="51"/>
      <c r="K42" s="52"/>
    </row>
    <row r="43" spans="1:19" x14ac:dyDescent="0.2">
      <c r="A43" s="44"/>
      <c r="B43" s="45"/>
      <c r="C43" s="46"/>
      <c r="D43" s="47"/>
      <c r="E43" s="48"/>
      <c r="F43" s="48"/>
      <c r="G43" s="48"/>
      <c r="H43" s="49"/>
      <c r="I43" s="50"/>
      <c r="J43" s="51"/>
      <c r="K43" s="52"/>
    </row>
    <row r="44" spans="1:19" x14ac:dyDescent="0.2">
      <c r="A44" s="59" t="s">
        <v>55</v>
      </c>
      <c r="B44" s="45"/>
      <c r="C44" s="46"/>
      <c r="D44" s="46"/>
      <c r="E44" s="48"/>
      <c r="F44" s="48"/>
      <c r="G44" s="48"/>
      <c r="H44" s="49"/>
      <c r="I44" s="50"/>
      <c r="J44" s="51"/>
      <c r="K44" s="52"/>
    </row>
    <row r="45" spans="1:19" x14ac:dyDescent="0.2">
      <c r="A45" s="44" t="s">
        <v>56</v>
      </c>
      <c r="B45" s="45">
        <v>1</v>
      </c>
      <c r="C45" s="46" t="s">
        <v>29</v>
      </c>
      <c r="D45" s="47" t="s">
        <v>30</v>
      </c>
      <c r="E45" s="48">
        <v>4995</v>
      </c>
      <c r="F45" s="48">
        <f>E45*22%</f>
        <v>1098.9000000000001</v>
      </c>
      <c r="G45" s="48">
        <f>E45*0.2</f>
        <v>999</v>
      </c>
      <c r="H45" s="49">
        <f>G45*15%</f>
        <v>149.85</v>
      </c>
      <c r="I45" s="50">
        <f>G45*7%</f>
        <v>69.930000000000007</v>
      </c>
      <c r="J45" s="51">
        <f>H45+I45</f>
        <v>219.78</v>
      </c>
      <c r="K45" s="52" t="s">
        <v>57</v>
      </c>
    </row>
    <row r="46" spans="1:19" x14ac:dyDescent="0.2">
      <c r="A46" s="44" t="s">
        <v>58</v>
      </c>
      <c r="B46" s="45">
        <v>1</v>
      </c>
      <c r="C46" s="46" t="s">
        <v>29</v>
      </c>
      <c r="D46" s="47" t="s">
        <v>30</v>
      </c>
      <c r="E46" s="48">
        <v>995</v>
      </c>
      <c r="F46" s="48">
        <f>E46*22%</f>
        <v>218.9</v>
      </c>
      <c r="G46" s="48">
        <f>E46*0.2</f>
        <v>199</v>
      </c>
      <c r="H46" s="49">
        <f>G46*15%</f>
        <v>29.849999999999998</v>
      </c>
      <c r="I46" s="50">
        <f>G46*7%</f>
        <v>13.930000000000001</v>
      </c>
      <c r="J46" s="51">
        <f>H46+I46</f>
        <v>43.78</v>
      </c>
      <c r="K46" s="52" t="s">
        <v>57</v>
      </c>
    </row>
    <row r="47" spans="1:19" s="3" customFormat="1" ht="11.25" x14ac:dyDescent="0.2">
      <c r="A47" s="44" t="s">
        <v>59</v>
      </c>
      <c r="B47" s="45">
        <v>1</v>
      </c>
      <c r="C47" s="46" t="s">
        <v>29</v>
      </c>
      <c r="D47" s="47" t="s">
        <v>30</v>
      </c>
      <c r="E47" s="48">
        <v>1245</v>
      </c>
      <c r="F47" s="48">
        <f>E47*22%</f>
        <v>273.89999999999998</v>
      </c>
      <c r="G47" s="48">
        <f>E47*0.2</f>
        <v>249</v>
      </c>
      <c r="H47" s="49">
        <f>G47*15%</f>
        <v>37.35</v>
      </c>
      <c r="I47" s="50">
        <f>G47*7%</f>
        <v>17.430000000000003</v>
      </c>
      <c r="J47" s="51">
        <f>H47+I47</f>
        <v>54.78</v>
      </c>
      <c r="K47" s="52" t="s">
        <v>57</v>
      </c>
    </row>
    <row r="48" spans="1:19" x14ac:dyDescent="0.2">
      <c r="A48" s="59" t="s">
        <v>60</v>
      </c>
      <c r="B48" s="45"/>
      <c r="C48" s="46"/>
      <c r="D48" s="46"/>
      <c r="E48" s="48"/>
      <c r="F48" s="48"/>
      <c r="G48" s="48"/>
      <c r="H48" s="49"/>
      <c r="I48" s="60"/>
      <c r="J48" s="51"/>
      <c r="K48" s="52"/>
    </row>
    <row r="49" spans="1:11" x14ac:dyDescent="0.2">
      <c r="A49" s="44" t="s">
        <v>61</v>
      </c>
      <c r="B49" s="45">
        <v>1</v>
      </c>
      <c r="C49" s="46" t="s">
        <v>29</v>
      </c>
      <c r="D49" s="47" t="s">
        <v>62</v>
      </c>
      <c r="E49" s="48">
        <v>15000</v>
      </c>
      <c r="F49" s="48">
        <f>E49*22%</f>
        <v>3300</v>
      </c>
      <c r="G49" s="48">
        <f>E49*0.2</f>
        <v>3000</v>
      </c>
      <c r="H49" s="49">
        <f t="shared" ref="H49:H59" si="5">G49*15%</f>
        <v>450</v>
      </c>
      <c r="I49" s="50">
        <f t="shared" ref="I49:I59" si="6">G49*7%</f>
        <v>210.00000000000003</v>
      </c>
      <c r="J49" s="51">
        <f t="shared" ref="J49:J59" si="7">H49+I49</f>
        <v>660</v>
      </c>
      <c r="K49" s="52" t="s">
        <v>63</v>
      </c>
    </row>
    <row r="50" spans="1:11" x14ac:dyDescent="0.2">
      <c r="A50" s="44" t="s">
        <v>64</v>
      </c>
      <c r="B50" s="45">
        <v>1</v>
      </c>
      <c r="C50" s="46" t="s">
        <v>29</v>
      </c>
      <c r="D50" s="47" t="s">
        <v>62</v>
      </c>
      <c r="E50" s="48">
        <v>95000</v>
      </c>
      <c r="F50" s="48">
        <f>E50*22%</f>
        <v>20900</v>
      </c>
      <c r="G50" s="48">
        <f>E50*0.2</f>
        <v>19000</v>
      </c>
      <c r="H50" s="49">
        <f t="shared" si="5"/>
        <v>2850</v>
      </c>
      <c r="I50" s="50">
        <f t="shared" si="6"/>
        <v>1330.0000000000002</v>
      </c>
      <c r="J50" s="51">
        <f t="shared" si="7"/>
        <v>4180</v>
      </c>
      <c r="K50" s="52" t="s">
        <v>65</v>
      </c>
    </row>
    <row r="51" spans="1:11" x14ac:dyDescent="0.2">
      <c r="A51" s="44" t="s">
        <v>66</v>
      </c>
      <c r="B51" s="45">
        <v>1</v>
      </c>
      <c r="C51" s="46" t="s">
        <v>29</v>
      </c>
      <c r="D51" s="47" t="s">
        <v>62</v>
      </c>
      <c r="E51" s="48">
        <v>120000</v>
      </c>
      <c r="F51" s="48">
        <f>E51*22%</f>
        <v>26400</v>
      </c>
      <c r="G51" s="48">
        <f>E51*0.2</f>
        <v>24000</v>
      </c>
      <c r="H51" s="49">
        <f t="shared" si="5"/>
        <v>3600</v>
      </c>
      <c r="I51" s="50">
        <f t="shared" si="6"/>
        <v>1680.0000000000002</v>
      </c>
      <c r="J51" s="51">
        <f t="shared" si="7"/>
        <v>5280</v>
      </c>
      <c r="K51" s="52" t="s">
        <v>57</v>
      </c>
    </row>
    <row r="52" spans="1:11" x14ac:dyDescent="0.2">
      <c r="A52" s="44" t="s">
        <v>67</v>
      </c>
      <c r="B52" s="45">
        <v>1</v>
      </c>
      <c r="C52" s="46" t="s">
        <v>29</v>
      </c>
      <c r="D52" s="47" t="s">
        <v>62</v>
      </c>
      <c r="E52" s="48">
        <v>95000</v>
      </c>
      <c r="F52" s="48">
        <f>E52*22%</f>
        <v>20900</v>
      </c>
      <c r="G52" s="48">
        <f>E52*0.2</f>
        <v>19000</v>
      </c>
      <c r="H52" s="49">
        <f t="shared" si="5"/>
        <v>2850</v>
      </c>
      <c r="I52" s="50">
        <f t="shared" si="6"/>
        <v>1330.0000000000002</v>
      </c>
      <c r="J52" s="51">
        <f t="shared" si="7"/>
        <v>4180</v>
      </c>
      <c r="K52" s="52" t="s">
        <v>68</v>
      </c>
    </row>
    <row r="53" spans="1:11" x14ac:dyDescent="0.2">
      <c r="A53" s="44"/>
      <c r="B53" s="45"/>
      <c r="C53" s="46"/>
      <c r="D53" s="47"/>
      <c r="E53" s="48"/>
      <c r="F53" s="48"/>
      <c r="G53" s="48"/>
      <c r="H53" s="49"/>
      <c r="I53" s="50"/>
      <c r="J53" s="51"/>
      <c r="K53" s="52"/>
    </row>
    <row r="54" spans="1:11" x14ac:dyDescent="0.2">
      <c r="A54" s="61" t="s">
        <v>69</v>
      </c>
      <c r="B54" s="45"/>
      <c r="C54" s="46"/>
      <c r="D54" s="46"/>
      <c r="E54" s="48"/>
      <c r="F54" s="48"/>
      <c r="G54" s="48"/>
      <c r="H54" s="49"/>
      <c r="I54" s="50"/>
      <c r="J54" s="51"/>
      <c r="K54" s="52"/>
    </row>
    <row r="55" spans="1:11" x14ac:dyDescent="0.2">
      <c r="A55" s="44" t="s">
        <v>70</v>
      </c>
      <c r="B55" s="45">
        <v>1</v>
      </c>
      <c r="C55" s="46" t="s">
        <v>29</v>
      </c>
      <c r="D55" s="47" t="s">
        <v>32</v>
      </c>
      <c r="E55" s="48">
        <v>30</v>
      </c>
      <c r="F55" s="48">
        <f>E55*22%</f>
        <v>6.6</v>
      </c>
      <c r="G55" s="48">
        <f>E55*0.2</f>
        <v>6</v>
      </c>
      <c r="H55" s="49">
        <f t="shared" si="5"/>
        <v>0.89999999999999991</v>
      </c>
      <c r="I55" s="50">
        <f t="shared" si="6"/>
        <v>0.42000000000000004</v>
      </c>
      <c r="J55" s="51">
        <f t="shared" si="7"/>
        <v>1.3199999999999998</v>
      </c>
      <c r="K55" s="52" t="s">
        <v>33</v>
      </c>
    </row>
    <row r="56" spans="1:11" x14ac:dyDescent="0.2">
      <c r="A56" s="62" t="s">
        <v>71</v>
      </c>
      <c r="B56" s="45">
        <v>1</v>
      </c>
      <c r="C56" s="46" t="s">
        <v>29</v>
      </c>
      <c r="D56" s="47" t="s">
        <v>32</v>
      </c>
      <c r="E56" s="48">
        <v>200</v>
      </c>
      <c r="F56" s="48">
        <f>E56*22%</f>
        <v>44</v>
      </c>
      <c r="G56" s="48">
        <f>E56*0.2</f>
        <v>40</v>
      </c>
      <c r="H56" s="49">
        <f t="shared" si="5"/>
        <v>6</v>
      </c>
      <c r="I56" s="50">
        <f t="shared" si="6"/>
        <v>2.8000000000000003</v>
      </c>
      <c r="J56" s="51">
        <f t="shared" si="7"/>
        <v>8.8000000000000007</v>
      </c>
      <c r="K56" s="52" t="s">
        <v>33</v>
      </c>
    </row>
    <row r="57" spans="1:11" x14ac:dyDescent="0.2">
      <c r="A57" s="62" t="s">
        <v>71</v>
      </c>
      <c r="B57" s="45">
        <v>1</v>
      </c>
      <c r="C57" s="46" t="s">
        <v>29</v>
      </c>
      <c r="D57" s="47" t="s">
        <v>30</v>
      </c>
      <c r="E57" s="48">
        <v>1995</v>
      </c>
      <c r="F57" s="48">
        <f>E57*22%</f>
        <v>438.9</v>
      </c>
      <c r="G57" s="48">
        <f>E57*0.2</f>
        <v>399</v>
      </c>
      <c r="H57" s="49">
        <f t="shared" si="5"/>
        <v>59.849999999999994</v>
      </c>
      <c r="I57" s="50">
        <f t="shared" si="6"/>
        <v>27.930000000000003</v>
      </c>
      <c r="J57" s="51">
        <f t="shared" si="7"/>
        <v>87.78</v>
      </c>
      <c r="K57" s="52" t="s">
        <v>57</v>
      </c>
    </row>
    <row r="58" spans="1:11" x14ac:dyDescent="0.2">
      <c r="A58" s="62" t="s">
        <v>72</v>
      </c>
      <c r="B58" s="45">
        <v>1</v>
      </c>
      <c r="C58" s="46" t="s">
        <v>29</v>
      </c>
      <c r="D58" s="47" t="s">
        <v>30</v>
      </c>
      <c r="E58" s="48">
        <v>745</v>
      </c>
      <c r="F58" s="48">
        <f>E58*22%</f>
        <v>163.9</v>
      </c>
      <c r="G58" s="48">
        <f>E58*0.2</f>
        <v>149</v>
      </c>
      <c r="H58" s="49">
        <f t="shared" si="5"/>
        <v>22.349999999999998</v>
      </c>
      <c r="I58" s="50">
        <f t="shared" si="6"/>
        <v>10.430000000000001</v>
      </c>
      <c r="J58" s="51">
        <f t="shared" si="7"/>
        <v>32.78</v>
      </c>
      <c r="K58" s="52" t="s">
        <v>57</v>
      </c>
    </row>
    <row r="59" spans="1:11" x14ac:dyDescent="0.2">
      <c r="A59" s="62" t="s">
        <v>73</v>
      </c>
      <c r="B59" s="45">
        <v>1</v>
      </c>
      <c r="C59" s="46" t="s">
        <v>29</v>
      </c>
      <c r="D59" s="47" t="s">
        <v>30</v>
      </c>
      <c r="E59" s="48">
        <v>4995</v>
      </c>
      <c r="F59" s="48">
        <f>E59*22%</f>
        <v>1098.9000000000001</v>
      </c>
      <c r="G59" s="48">
        <f>E59*0.2</f>
        <v>999</v>
      </c>
      <c r="H59" s="49">
        <f t="shared" si="5"/>
        <v>149.85</v>
      </c>
      <c r="I59" s="50">
        <f t="shared" si="6"/>
        <v>69.930000000000007</v>
      </c>
      <c r="J59" s="51">
        <f t="shared" si="7"/>
        <v>219.78</v>
      </c>
      <c r="K59" s="52" t="s">
        <v>57</v>
      </c>
    </row>
    <row r="60" spans="1:11" x14ac:dyDescent="0.2">
      <c r="A60" s="59" t="s">
        <v>74</v>
      </c>
      <c r="B60" s="45"/>
      <c r="C60" s="46"/>
      <c r="D60" s="46"/>
      <c r="E60" s="48"/>
      <c r="F60" s="48"/>
      <c r="G60" s="48"/>
      <c r="H60" s="49"/>
      <c r="I60" s="50"/>
      <c r="J60" s="51"/>
      <c r="K60" s="52"/>
    </row>
    <row r="61" spans="1:11" x14ac:dyDescent="0.2">
      <c r="A61" s="59" t="s">
        <v>75</v>
      </c>
      <c r="B61" s="45"/>
      <c r="C61" s="46"/>
      <c r="D61" s="46"/>
      <c r="E61" s="48"/>
      <c r="F61" s="48"/>
      <c r="G61" s="48"/>
      <c r="H61" s="49"/>
      <c r="I61" s="50"/>
      <c r="J61" s="51"/>
      <c r="K61" s="52"/>
    </row>
    <row r="62" spans="1:11" x14ac:dyDescent="0.2">
      <c r="A62" s="44" t="s">
        <v>76</v>
      </c>
      <c r="B62" s="45">
        <v>1</v>
      </c>
      <c r="C62" s="46" t="s">
        <v>29</v>
      </c>
      <c r="D62" s="47" t="s">
        <v>77</v>
      </c>
      <c r="E62" s="48">
        <v>3995</v>
      </c>
      <c r="F62" s="48">
        <f>E62*22%</f>
        <v>878.9</v>
      </c>
      <c r="G62" s="48">
        <f>E62*0.2</f>
        <v>799</v>
      </c>
      <c r="H62" s="49">
        <f>G62*15%</f>
        <v>119.85</v>
      </c>
      <c r="I62" s="50">
        <f>G62*7%</f>
        <v>55.930000000000007</v>
      </c>
      <c r="J62" s="51">
        <f>H62+I62</f>
        <v>175.78</v>
      </c>
      <c r="K62" s="52" t="s">
        <v>78</v>
      </c>
    </row>
    <row r="63" spans="1:11" x14ac:dyDescent="0.2">
      <c r="A63" s="44" t="s">
        <v>79</v>
      </c>
      <c r="B63" s="45">
        <v>1</v>
      </c>
      <c r="C63" s="46" t="s">
        <v>29</v>
      </c>
      <c r="D63" s="46" t="s">
        <v>80</v>
      </c>
      <c r="E63" s="48">
        <v>5</v>
      </c>
      <c r="F63" s="48">
        <f>E63*22%</f>
        <v>1.1000000000000001</v>
      </c>
      <c r="G63" s="48">
        <f>E63*0.2</f>
        <v>1</v>
      </c>
      <c r="H63" s="49">
        <f>G63*15%</f>
        <v>0.15</v>
      </c>
      <c r="I63" s="50">
        <f>G63*7%</f>
        <v>7.0000000000000007E-2</v>
      </c>
      <c r="J63" s="51">
        <f>H63+I63</f>
        <v>0.22</v>
      </c>
      <c r="K63" s="52" t="s">
        <v>81</v>
      </c>
    </row>
    <row r="64" spans="1:11" x14ac:dyDescent="0.2">
      <c r="A64" s="44" t="s">
        <v>82</v>
      </c>
      <c r="B64" s="45">
        <v>1</v>
      </c>
      <c r="C64" s="46" t="s">
        <v>29</v>
      </c>
      <c r="D64" s="46" t="s">
        <v>80</v>
      </c>
      <c r="E64" s="48">
        <v>3</v>
      </c>
      <c r="F64" s="48">
        <f>E64*22%</f>
        <v>0.66</v>
      </c>
      <c r="G64" s="48">
        <f>E64*0.2</f>
        <v>0.60000000000000009</v>
      </c>
      <c r="H64" s="49">
        <f>G64*15%</f>
        <v>9.0000000000000011E-2</v>
      </c>
      <c r="I64" s="50">
        <f>G64*7%</f>
        <v>4.200000000000001E-2</v>
      </c>
      <c r="J64" s="51">
        <f>H64+I64</f>
        <v>0.13200000000000001</v>
      </c>
      <c r="K64" s="52" t="s">
        <v>81</v>
      </c>
    </row>
    <row r="65" spans="1:11" x14ac:dyDescent="0.2">
      <c r="A65" s="44" t="s">
        <v>83</v>
      </c>
      <c r="B65" s="45">
        <v>1</v>
      </c>
      <c r="C65" s="46" t="s">
        <v>29</v>
      </c>
      <c r="D65" s="47" t="s">
        <v>80</v>
      </c>
      <c r="E65" s="48">
        <v>1</v>
      </c>
      <c r="F65" s="48">
        <f>E65*22%</f>
        <v>0.22</v>
      </c>
      <c r="G65" s="48">
        <f>E65*0.2</f>
        <v>0.2</v>
      </c>
      <c r="H65" s="49">
        <f>G65*15%</f>
        <v>0.03</v>
      </c>
      <c r="I65" s="50">
        <f>G65*7%</f>
        <v>1.4000000000000002E-2</v>
      </c>
      <c r="J65" s="51">
        <f>H65+I65</f>
        <v>4.3999999999999997E-2</v>
      </c>
      <c r="K65" s="52" t="s">
        <v>81</v>
      </c>
    </row>
    <row r="66" spans="1:11" x14ac:dyDescent="0.2">
      <c r="A66" s="63" t="s">
        <v>84</v>
      </c>
      <c r="B66" s="64">
        <v>1</v>
      </c>
      <c r="C66" s="65" t="s">
        <v>29</v>
      </c>
      <c r="D66" s="66" t="s">
        <v>85</v>
      </c>
      <c r="E66" s="67">
        <v>5000</v>
      </c>
      <c r="F66" s="68">
        <v>1100</v>
      </c>
      <c r="G66" s="48">
        <f>E66*0.2</f>
        <v>1000</v>
      </c>
      <c r="H66" s="49">
        <f>G66*15%</f>
        <v>150</v>
      </c>
      <c r="I66" s="50">
        <f>G66*7%</f>
        <v>70</v>
      </c>
      <c r="J66" s="51">
        <f>H66+I66</f>
        <v>220</v>
      </c>
      <c r="K66" s="52" t="s">
        <v>86</v>
      </c>
    </row>
    <row r="67" spans="1:11" x14ac:dyDescent="0.2">
      <c r="A67" s="59" t="s">
        <v>87</v>
      </c>
      <c r="B67" s="45"/>
      <c r="C67" s="46"/>
      <c r="D67" s="46"/>
      <c r="E67" s="48"/>
      <c r="F67" s="48"/>
      <c r="G67" s="48"/>
      <c r="H67" s="49"/>
      <c r="I67" s="50"/>
      <c r="J67" s="51"/>
      <c r="K67" s="52"/>
    </row>
    <row r="68" spans="1:11" x14ac:dyDescent="0.2">
      <c r="A68" s="44" t="s">
        <v>88</v>
      </c>
      <c r="B68" s="45">
        <v>1</v>
      </c>
      <c r="C68" s="46" t="s">
        <v>29</v>
      </c>
      <c r="D68" s="47" t="s">
        <v>77</v>
      </c>
      <c r="E68" s="48">
        <v>3995</v>
      </c>
      <c r="F68" s="48">
        <f t="shared" ref="F68:F73" si="8">E68*22%</f>
        <v>878.9</v>
      </c>
      <c r="G68" s="48">
        <f t="shared" ref="G68:G73" si="9">E68*0.2</f>
        <v>799</v>
      </c>
      <c r="H68" s="49">
        <f t="shared" ref="H68:H73" si="10">G68*15%</f>
        <v>119.85</v>
      </c>
      <c r="I68" s="50">
        <f t="shared" ref="I68:I73" si="11">G68*7%</f>
        <v>55.930000000000007</v>
      </c>
      <c r="J68" s="51">
        <f t="shared" ref="J68:J73" si="12">H68+I68</f>
        <v>175.78</v>
      </c>
      <c r="K68" s="52" t="s">
        <v>78</v>
      </c>
    </row>
    <row r="69" spans="1:11" x14ac:dyDescent="0.2">
      <c r="A69" s="44" t="s">
        <v>89</v>
      </c>
      <c r="B69" s="45">
        <v>1</v>
      </c>
      <c r="C69" s="46" t="s">
        <v>29</v>
      </c>
      <c r="D69" s="47" t="s">
        <v>77</v>
      </c>
      <c r="E69" s="48">
        <v>39995</v>
      </c>
      <c r="F69" s="48">
        <f t="shared" si="8"/>
        <v>8798.9</v>
      </c>
      <c r="G69" s="48">
        <f t="shared" si="9"/>
        <v>7999</v>
      </c>
      <c r="H69" s="49">
        <f t="shared" si="10"/>
        <v>1199.8499999999999</v>
      </c>
      <c r="I69" s="50">
        <f t="shared" si="11"/>
        <v>559.93000000000006</v>
      </c>
      <c r="J69" s="51">
        <f t="shared" si="12"/>
        <v>1759.78</v>
      </c>
      <c r="K69" s="52" t="s">
        <v>90</v>
      </c>
    </row>
    <row r="70" spans="1:11" x14ac:dyDescent="0.2">
      <c r="A70" s="62" t="s">
        <v>91</v>
      </c>
      <c r="B70" s="45">
        <v>1</v>
      </c>
      <c r="C70" s="46" t="s">
        <v>29</v>
      </c>
      <c r="D70" s="47" t="s">
        <v>77</v>
      </c>
      <c r="E70" s="48">
        <v>1495</v>
      </c>
      <c r="F70" s="48">
        <f t="shared" si="8"/>
        <v>328.9</v>
      </c>
      <c r="G70" s="48">
        <f t="shared" si="9"/>
        <v>299</v>
      </c>
      <c r="H70" s="49">
        <f t="shared" si="10"/>
        <v>44.85</v>
      </c>
      <c r="I70" s="50">
        <f t="shared" si="11"/>
        <v>20.930000000000003</v>
      </c>
      <c r="J70" s="51">
        <f t="shared" si="12"/>
        <v>65.78</v>
      </c>
      <c r="K70" s="52" t="s">
        <v>90</v>
      </c>
    </row>
    <row r="71" spans="1:11" x14ac:dyDescent="0.2">
      <c r="A71" s="44" t="s">
        <v>92</v>
      </c>
      <c r="B71" s="45">
        <v>1</v>
      </c>
      <c r="C71" s="46" t="s">
        <v>29</v>
      </c>
      <c r="D71" s="46" t="s">
        <v>93</v>
      </c>
      <c r="E71" s="48">
        <v>50</v>
      </c>
      <c r="F71" s="48">
        <f t="shared" si="8"/>
        <v>11</v>
      </c>
      <c r="G71" s="48">
        <f t="shared" si="9"/>
        <v>10</v>
      </c>
      <c r="H71" s="49">
        <f t="shared" si="10"/>
        <v>1.5</v>
      </c>
      <c r="I71" s="50">
        <f t="shared" si="11"/>
        <v>0.70000000000000007</v>
      </c>
      <c r="J71" s="51">
        <f t="shared" si="12"/>
        <v>2.2000000000000002</v>
      </c>
      <c r="K71" s="52" t="s">
        <v>94</v>
      </c>
    </row>
    <row r="72" spans="1:11" x14ac:dyDescent="0.2">
      <c r="A72" s="44" t="s">
        <v>95</v>
      </c>
      <c r="B72" s="45">
        <v>1</v>
      </c>
      <c r="C72" s="46" t="s">
        <v>29</v>
      </c>
      <c r="D72" s="46" t="s">
        <v>93</v>
      </c>
      <c r="E72" s="48">
        <v>95</v>
      </c>
      <c r="F72" s="48">
        <f t="shared" si="8"/>
        <v>20.9</v>
      </c>
      <c r="G72" s="48">
        <f t="shared" si="9"/>
        <v>19</v>
      </c>
      <c r="H72" s="49">
        <f t="shared" si="10"/>
        <v>2.85</v>
      </c>
      <c r="I72" s="50">
        <f t="shared" si="11"/>
        <v>1.33</v>
      </c>
      <c r="J72" s="51">
        <f t="shared" si="12"/>
        <v>4.18</v>
      </c>
      <c r="K72" s="52" t="s">
        <v>94</v>
      </c>
    </row>
    <row r="73" spans="1:11" x14ac:dyDescent="0.2">
      <c r="A73" s="44" t="s">
        <v>96</v>
      </c>
      <c r="B73" s="45">
        <v>1</v>
      </c>
      <c r="C73" s="46" t="s">
        <v>29</v>
      </c>
      <c r="D73" s="46" t="s">
        <v>93</v>
      </c>
      <c r="E73" s="48">
        <v>95</v>
      </c>
      <c r="F73" s="48">
        <f t="shared" si="8"/>
        <v>20.9</v>
      </c>
      <c r="G73" s="48">
        <f t="shared" si="9"/>
        <v>19</v>
      </c>
      <c r="H73" s="49">
        <f t="shared" si="10"/>
        <v>2.85</v>
      </c>
      <c r="I73" s="50">
        <f t="shared" si="11"/>
        <v>1.33</v>
      </c>
      <c r="J73" s="51">
        <f t="shared" si="12"/>
        <v>4.18</v>
      </c>
      <c r="K73" s="52" t="s">
        <v>94</v>
      </c>
    </row>
    <row r="74" spans="1:11" x14ac:dyDescent="0.2">
      <c r="A74" s="69" t="s">
        <v>97</v>
      </c>
      <c r="B74" s="70"/>
      <c r="C74" s="71"/>
      <c r="D74" s="71"/>
      <c r="E74" s="72"/>
      <c r="F74" s="73"/>
      <c r="G74" s="72"/>
      <c r="H74" s="74"/>
      <c r="I74" s="73"/>
      <c r="J74" s="73"/>
      <c r="K74" s="52"/>
    </row>
    <row r="75" spans="1:11" x14ac:dyDescent="0.2">
      <c r="A75" s="75" t="s">
        <v>98</v>
      </c>
      <c r="B75" s="70">
        <v>1</v>
      </c>
      <c r="C75" s="71" t="s">
        <v>29</v>
      </c>
      <c r="D75" s="71" t="s">
        <v>99</v>
      </c>
      <c r="E75" s="72">
        <v>35</v>
      </c>
      <c r="F75" s="73">
        <v>7.7</v>
      </c>
      <c r="G75" s="48">
        <f>E75*0.2</f>
        <v>7</v>
      </c>
      <c r="H75" s="49">
        <f>G75*15%</f>
        <v>1.05</v>
      </c>
      <c r="I75" s="50">
        <f>G75*7%</f>
        <v>0.49000000000000005</v>
      </c>
      <c r="J75" s="51">
        <f>H75+I75</f>
        <v>1.54</v>
      </c>
      <c r="K75" s="52" t="s">
        <v>94</v>
      </c>
    </row>
    <row r="76" spans="1:11" x14ac:dyDescent="0.2">
      <c r="A76" s="75"/>
      <c r="B76" s="70"/>
      <c r="C76" s="71"/>
      <c r="D76" s="71"/>
      <c r="E76" s="72"/>
      <c r="F76" s="73"/>
      <c r="G76" s="48"/>
      <c r="H76" s="49"/>
      <c r="I76" s="50"/>
      <c r="J76" s="51"/>
      <c r="K76" s="52"/>
    </row>
    <row r="77" spans="1:11" x14ac:dyDescent="0.2">
      <c r="A77" s="59" t="s">
        <v>100</v>
      </c>
      <c r="B77" s="45"/>
      <c r="C77" s="46"/>
      <c r="D77" s="46"/>
      <c r="E77" s="48"/>
      <c r="F77" s="48"/>
      <c r="G77" s="48"/>
      <c r="H77" s="49"/>
      <c r="I77" s="50"/>
      <c r="J77" s="51"/>
      <c r="K77" s="52"/>
    </row>
    <row r="78" spans="1:11" x14ac:dyDescent="0.2">
      <c r="A78" s="44" t="s">
        <v>101</v>
      </c>
      <c r="B78" s="45">
        <v>1</v>
      </c>
      <c r="C78" s="46" t="s">
        <v>29</v>
      </c>
      <c r="D78" s="47" t="s">
        <v>77</v>
      </c>
      <c r="E78" s="48">
        <v>15000</v>
      </c>
      <c r="F78" s="48">
        <f>E78*22%</f>
        <v>3300</v>
      </c>
      <c r="G78" s="48">
        <f>E78*0.2</f>
        <v>3000</v>
      </c>
      <c r="H78" s="49">
        <f>G78*15%</f>
        <v>450</v>
      </c>
      <c r="I78" s="50">
        <f>G78*7%</f>
        <v>210.00000000000003</v>
      </c>
      <c r="J78" s="51">
        <f>H78+I78</f>
        <v>660</v>
      </c>
      <c r="K78" s="52" t="s">
        <v>90</v>
      </c>
    </row>
    <row r="79" spans="1:11" x14ac:dyDescent="0.2">
      <c r="A79" s="44" t="s">
        <v>102</v>
      </c>
      <c r="B79" s="45">
        <v>1</v>
      </c>
      <c r="C79" s="46" t="s">
        <v>29</v>
      </c>
      <c r="D79" s="47" t="s">
        <v>77</v>
      </c>
      <c r="E79" s="48">
        <v>9000</v>
      </c>
      <c r="F79" s="48">
        <f>E79*22%</f>
        <v>1980</v>
      </c>
      <c r="G79" s="48">
        <f>E79*0.2</f>
        <v>1800</v>
      </c>
      <c r="H79" s="49">
        <f>G79*15%</f>
        <v>270</v>
      </c>
      <c r="I79" s="50">
        <f>G79*7%</f>
        <v>126.00000000000001</v>
      </c>
      <c r="J79" s="51">
        <f>H79+I79</f>
        <v>396</v>
      </c>
      <c r="K79" s="52" t="s">
        <v>103</v>
      </c>
    </row>
    <row r="80" spans="1:11" x14ac:dyDescent="0.2">
      <c r="A80" s="44" t="s">
        <v>104</v>
      </c>
      <c r="B80" s="45">
        <v>1</v>
      </c>
      <c r="C80" s="46" t="s">
        <v>29</v>
      </c>
      <c r="D80" s="46" t="s">
        <v>105</v>
      </c>
      <c r="E80" s="48">
        <v>1000</v>
      </c>
      <c r="F80" s="48">
        <f>E80*22%</f>
        <v>220</v>
      </c>
      <c r="G80" s="48">
        <f>E80*0.2</f>
        <v>200</v>
      </c>
      <c r="H80" s="49">
        <f>G80*15%</f>
        <v>30</v>
      </c>
      <c r="I80" s="50">
        <f>G80*7%</f>
        <v>14.000000000000002</v>
      </c>
      <c r="J80" s="51">
        <f>H80+I80</f>
        <v>44</v>
      </c>
      <c r="K80" s="52" t="s">
        <v>106</v>
      </c>
    </row>
    <row r="81" spans="1:19" x14ac:dyDescent="0.2">
      <c r="A81" s="59" t="s">
        <v>107</v>
      </c>
      <c r="B81" s="45"/>
      <c r="C81" s="46"/>
      <c r="D81" s="46"/>
      <c r="E81" s="76"/>
      <c r="F81" s="76"/>
      <c r="G81" s="76"/>
      <c r="H81" s="49"/>
      <c r="I81" s="50"/>
      <c r="J81" s="51"/>
      <c r="K81" s="52"/>
    </row>
    <row r="82" spans="1:19" x14ac:dyDescent="0.2">
      <c r="A82" s="59" t="s">
        <v>108</v>
      </c>
      <c r="B82" s="2"/>
      <c r="C82" s="3"/>
      <c r="D82" s="3"/>
      <c r="E82" s="77"/>
      <c r="F82" s="77"/>
      <c r="G82" s="77"/>
      <c r="H82" s="49"/>
      <c r="I82" s="50"/>
      <c r="J82" s="51"/>
      <c r="K82" s="5"/>
    </row>
    <row r="83" spans="1:19" x14ac:dyDescent="0.2">
      <c r="A83" s="44" t="s">
        <v>109</v>
      </c>
      <c r="B83" s="78">
        <v>1</v>
      </c>
      <c r="C83" s="47" t="s">
        <v>29</v>
      </c>
      <c r="D83" s="47" t="s">
        <v>32</v>
      </c>
      <c r="E83" s="48">
        <v>100</v>
      </c>
      <c r="F83" s="48">
        <f>E83*22%</f>
        <v>22</v>
      </c>
      <c r="G83" s="48">
        <f>E83*0.2</f>
        <v>20</v>
      </c>
      <c r="H83" s="49">
        <f t="shared" ref="H83:H89" si="13">G83*15%</f>
        <v>3</v>
      </c>
      <c r="I83" s="50">
        <f t="shared" ref="I83:I89" si="14">G83*7%</f>
        <v>1.4000000000000001</v>
      </c>
      <c r="J83" s="51">
        <f t="shared" ref="J83:J89" si="15">H83+I83</f>
        <v>4.4000000000000004</v>
      </c>
      <c r="K83" s="5" t="s">
        <v>110</v>
      </c>
    </row>
    <row r="84" spans="1:19" x14ac:dyDescent="0.2">
      <c r="A84" s="44" t="s">
        <v>111</v>
      </c>
      <c r="B84" s="78">
        <v>1</v>
      </c>
      <c r="C84" s="47" t="s">
        <v>29</v>
      </c>
      <c r="D84" s="47" t="s">
        <v>32</v>
      </c>
      <c r="E84" s="48">
        <v>100</v>
      </c>
      <c r="F84" s="77">
        <v>22</v>
      </c>
      <c r="G84" s="48">
        <f t="shared" ref="G84:G89" si="16">E84*0.2</f>
        <v>20</v>
      </c>
      <c r="H84" s="49">
        <f t="shared" si="13"/>
        <v>3</v>
      </c>
      <c r="I84" s="50">
        <f t="shared" si="14"/>
        <v>1.4000000000000001</v>
      </c>
      <c r="J84" s="51">
        <f t="shared" si="15"/>
        <v>4.4000000000000004</v>
      </c>
      <c r="K84" s="5" t="s">
        <v>112</v>
      </c>
      <c r="M84" s="16"/>
      <c r="N84" s="16"/>
      <c r="O84" s="16"/>
      <c r="P84" s="16"/>
      <c r="Q84" s="16"/>
      <c r="R84" s="16"/>
      <c r="S84" s="16"/>
    </row>
    <row r="85" spans="1:19" x14ac:dyDescent="0.2">
      <c r="A85" s="44" t="s">
        <v>113</v>
      </c>
      <c r="B85" s="78">
        <v>1</v>
      </c>
      <c r="C85" s="47" t="s">
        <v>29</v>
      </c>
      <c r="D85" s="47" t="s">
        <v>77</v>
      </c>
      <c r="E85" s="48">
        <v>2995</v>
      </c>
      <c r="F85" s="77">
        <v>659</v>
      </c>
      <c r="G85" s="48">
        <f t="shared" si="16"/>
        <v>599</v>
      </c>
      <c r="H85" s="49">
        <f t="shared" si="13"/>
        <v>89.85</v>
      </c>
      <c r="I85" s="50">
        <f t="shared" si="14"/>
        <v>41.930000000000007</v>
      </c>
      <c r="J85" s="51">
        <f t="shared" si="15"/>
        <v>131.78</v>
      </c>
      <c r="K85" s="5" t="s">
        <v>57</v>
      </c>
      <c r="M85" s="16"/>
      <c r="N85" s="16"/>
      <c r="O85" s="16"/>
      <c r="P85" s="16"/>
      <c r="Q85" s="16"/>
      <c r="R85" s="16"/>
      <c r="S85" s="16"/>
    </row>
    <row r="86" spans="1:19" x14ac:dyDescent="0.2">
      <c r="A86" s="44" t="s">
        <v>114</v>
      </c>
      <c r="B86" s="78">
        <v>1</v>
      </c>
      <c r="C86" s="47" t="s">
        <v>29</v>
      </c>
      <c r="D86" s="47" t="s">
        <v>77</v>
      </c>
      <c r="E86" s="48">
        <v>3995</v>
      </c>
      <c r="F86" s="77">
        <v>879</v>
      </c>
      <c r="G86" s="48">
        <f t="shared" si="16"/>
        <v>799</v>
      </c>
      <c r="H86" s="49">
        <f t="shared" si="13"/>
        <v>119.85</v>
      </c>
      <c r="I86" s="50">
        <f t="shared" si="14"/>
        <v>55.930000000000007</v>
      </c>
      <c r="J86" s="51">
        <f t="shared" si="15"/>
        <v>175.78</v>
      </c>
      <c r="K86" s="5" t="s">
        <v>57</v>
      </c>
      <c r="M86" s="16"/>
      <c r="N86" s="16"/>
      <c r="O86" s="16"/>
      <c r="P86" s="16"/>
      <c r="Q86" s="16"/>
      <c r="R86" s="16"/>
      <c r="S86" s="16"/>
    </row>
    <row r="87" spans="1:19" x14ac:dyDescent="0.2">
      <c r="A87" s="44" t="s">
        <v>115</v>
      </c>
      <c r="B87" s="78">
        <v>1</v>
      </c>
      <c r="C87" s="47" t="s">
        <v>29</v>
      </c>
      <c r="D87" s="47" t="s">
        <v>77</v>
      </c>
      <c r="E87" s="48">
        <v>995</v>
      </c>
      <c r="F87" s="77">
        <v>219</v>
      </c>
      <c r="G87" s="48">
        <f t="shared" si="16"/>
        <v>199</v>
      </c>
      <c r="H87" s="49">
        <f t="shared" si="13"/>
        <v>29.849999999999998</v>
      </c>
      <c r="I87" s="50">
        <f t="shared" si="14"/>
        <v>13.930000000000001</v>
      </c>
      <c r="J87" s="51">
        <f t="shared" si="15"/>
        <v>43.78</v>
      </c>
      <c r="K87" s="5" t="s">
        <v>57</v>
      </c>
      <c r="M87" s="16"/>
      <c r="N87" s="16"/>
      <c r="O87" s="16"/>
      <c r="P87" s="16"/>
      <c r="Q87" s="16"/>
      <c r="R87" s="16"/>
      <c r="S87" s="16"/>
    </row>
    <row r="88" spans="1:19" x14ac:dyDescent="0.2">
      <c r="A88" s="44" t="s">
        <v>116</v>
      </c>
      <c r="B88" s="78">
        <v>1</v>
      </c>
      <c r="C88" s="47" t="s">
        <v>29</v>
      </c>
      <c r="D88" s="47" t="s">
        <v>77</v>
      </c>
      <c r="E88" s="48">
        <v>295</v>
      </c>
      <c r="F88" s="77">
        <v>65</v>
      </c>
      <c r="G88" s="48">
        <f t="shared" si="16"/>
        <v>59</v>
      </c>
      <c r="H88" s="49">
        <f t="shared" si="13"/>
        <v>8.85</v>
      </c>
      <c r="I88" s="50">
        <f t="shared" si="14"/>
        <v>4.1300000000000008</v>
      </c>
      <c r="J88" s="51">
        <f t="shared" si="15"/>
        <v>12.98</v>
      </c>
      <c r="K88" s="5" t="s">
        <v>57</v>
      </c>
      <c r="M88" s="16"/>
      <c r="N88" s="16"/>
      <c r="O88" s="16"/>
      <c r="P88" s="16"/>
      <c r="Q88" s="16"/>
      <c r="R88" s="16"/>
      <c r="S88" s="16"/>
    </row>
    <row r="89" spans="1:19" x14ac:dyDescent="0.2">
      <c r="A89" s="44" t="s">
        <v>117</v>
      </c>
      <c r="B89" s="78">
        <v>1</v>
      </c>
      <c r="C89" s="47" t="s">
        <v>29</v>
      </c>
      <c r="D89" s="47" t="s">
        <v>118</v>
      </c>
      <c r="E89" s="48">
        <v>495</v>
      </c>
      <c r="F89" s="77">
        <v>109</v>
      </c>
      <c r="G89" s="48">
        <f t="shared" si="16"/>
        <v>99</v>
      </c>
      <c r="H89" s="49">
        <f t="shared" si="13"/>
        <v>14.85</v>
      </c>
      <c r="I89" s="50">
        <f t="shared" si="14"/>
        <v>6.9300000000000006</v>
      </c>
      <c r="J89" s="51">
        <f t="shared" si="15"/>
        <v>21.78</v>
      </c>
      <c r="K89" s="5" t="s">
        <v>57</v>
      </c>
    </row>
    <row r="90" spans="1:19" x14ac:dyDescent="0.2">
      <c r="A90" s="59" t="s">
        <v>119</v>
      </c>
      <c r="B90" s="78"/>
      <c r="C90" s="46"/>
      <c r="D90" s="46"/>
      <c r="E90" s="79"/>
      <c r="F90" s="77"/>
      <c r="G90" s="77"/>
      <c r="H90" s="49"/>
      <c r="I90" s="50"/>
      <c r="J90" s="51"/>
      <c r="K90" s="5"/>
    </row>
    <row r="91" spans="1:19" x14ac:dyDescent="0.2">
      <c r="A91" s="44" t="s">
        <v>120</v>
      </c>
      <c r="B91" s="78">
        <v>1</v>
      </c>
      <c r="C91" s="47" t="s">
        <v>29</v>
      </c>
      <c r="D91" s="47" t="s">
        <v>121</v>
      </c>
      <c r="E91" s="48">
        <v>0.6</v>
      </c>
      <c r="F91" s="80">
        <v>0.13200000000000001</v>
      </c>
      <c r="G91" s="48">
        <f>E91*0.2</f>
        <v>0.12</v>
      </c>
      <c r="H91" s="49">
        <f>G91*15%</f>
        <v>1.7999999999999999E-2</v>
      </c>
      <c r="I91" s="50">
        <f>G91*7%</f>
        <v>8.4000000000000012E-3</v>
      </c>
      <c r="J91" s="51">
        <f>H91+I91</f>
        <v>2.64E-2</v>
      </c>
      <c r="K91" s="5" t="s">
        <v>122</v>
      </c>
    </row>
    <row r="92" spans="1:19" x14ac:dyDescent="0.2">
      <c r="A92" s="62" t="s">
        <v>123</v>
      </c>
      <c r="B92" s="78">
        <v>1</v>
      </c>
      <c r="C92" s="47" t="s">
        <v>29</v>
      </c>
      <c r="D92" s="47" t="s">
        <v>32</v>
      </c>
      <c r="E92" s="48">
        <v>350</v>
      </c>
      <c r="F92" s="77">
        <v>77</v>
      </c>
      <c r="G92" s="48">
        <f>E92*0.2</f>
        <v>70</v>
      </c>
      <c r="H92" s="49">
        <f>G92*15%</f>
        <v>10.5</v>
      </c>
      <c r="I92" s="50">
        <f>G92*7%</f>
        <v>4.9000000000000004</v>
      </c>
      <c r="J92" s="51">
        <f>H92+I92</f>
        <v>15.4</v>
      </c>
      <c r="K92" s="5" t="s">
        <v>110</v>
      </c>
    </row>
    <row r="93" spans="1:19" x14ac:dyDescent="0.2">
      <c r="A93" s="44" t="s">
        <v>124</v>
      </c>
      <c r="B93" s="78">
        <v>1</v>
      </c>
      <c r="C93" s="47" t="s">
        <v>29</v>
      </c>
      <c r="D93" s="47" t="s">
        <v>77</v>
      </c>
      <c r="E93" s="48">
        <v>4500</v>
      </c>
      <c r="F93" s="77">
        <v>990</v>
      </c>
      <c r="G93" s="48">
        <f>E93*0.2</f>
        <v>900</v>
      </c>
      <c r="H93" s="49">
        <f>G93*15%</f>
        <v>135</v>
      </c>
      <c r="I93" s="50">
        <f>G93*7%</f>
        <v>63.000000000000007</v>
      </c>
      <c r="J93" s="51">
        <f>H93+I93</f>
        <v>198</v>
      </c>
      <c r="K93" s="5" t="s">
        <v>125</v>
      </c>
    </row>
    <row r="94" spans="1:19" x14ac:dyDescent="0.2">
      <c r="A94" s="59" t="s">
        <v>126</v>
      </c>
      <c r="B94" s="78"/>
      <c r="C94" s="46"/>
      <c r="D94" s="46"/>
      <c r="E94" s="48"/>
      <c r="F94" s="77"/>
      <c r="G94" s="77"/>
      <c r="H94" s="49"/>
      <c r="I94" s="50"/>
      <c r="J94" s="51"/>
      <c r="K94" s="5"/>
    </row>
    <row r="95" spans="1:19" x14ac:dyDescent="0.2">
      <c r="A95" s="44" t="s">
        <v>127</v>
      </c>
      <c r="B95" s="78">
        <v>1</v>
      </c>
      <c r="C95" s="46" t="s">
        <v>29</v>
      </c>
      <c r="D95" s="46" t="s">
        <v>128</v>
      </c>
      <c r="E95" s="48">
        <v>1000</v>
      </c>
      <c r="F95" s="77">
        <v>220</v>
      </c>
      <c r="G95" s="48">
        <f>E95*0.2</f>
        <v>200</v>
      </c>
      <c r="H95" s="49">
        <f>G95*15%</f>
        <v>30</v>
      </c>
      <c r="I95" s="50">
        <f>G95*7%</f>
        <v>14.000000000000002</v>
      </c>
      <c r="J95" s="51">
        <f>H95+I95</f>
        <v>44</v>
      </c>
      <c r="K95" s="5" t="s">
        <v>129</v>
      </c>
    </row>
    <row r="96" spans="1:19" x14ac:dyDescent="0.2">
      <c r="A96" s="44" t="s">
        <v>130</v>
      </c>
      <c r="B96" s="78">
        <v>1</v>
      </c>
      <c r="C96" s="46" t="s">
        <v>29</v>
      </c>
      <c r="D96" s="46" t="s">
        <v>128</v>
      </c>
      <c r="E96" s="48">
        <v>250</v>
      </c>
      <c r="F96" s="77">
        <v>55</v>
      </c>
      <c r="G96" s="48">
        <f>E96*0.2</f>
        <v>50</v>
      </c>
      <c r="H96" s="49">
        <f>G96*15%</f>
        <v>7.5</v>
      </c>
      <c r="I96" s="50">
        <f>G96*7%</f>
        <v>3.5000000000000004</v>
      </c>
      <c r="J96" s="51">
        <f>H96+I96</f>
        <v>11</v>
      </c>
      <c r="K96" s="5" t="s">
        <v>129</v>
      </c>
    </row>
    <row r="97" spans="1:11" x14ac:dyDescent="0.2">
      <c r="A97" s="44" t="s">
        <v>131</v>
      </c>
      <c r="B97" s="78">
        <v>1</v>
      </c>
      <c r="C97" s="46" t="s">
        <v>29</v>
      </c>
      <c r="D97" s="46" t="s">
        <v>128</v>
      </c>
      <c r="E97" s="48">
        <v>500</v>
      </c>
      <c r="F97" s="77">
        <v>110</v>
      </c>
      <c r="G97" s="48">
        <f>E97*0.2</f>
        <v>100</v>
      </c>
      <c r="H97" s="49">
        <f>G97*15%</f>
        <v>15</v>
      </c>
      <c r="I97" s="50">
        <f>G97*7%</f>
        <v>7.0000000000000009</v>
      </c>
      <c r="J97" s="51">
        <f>H97+I97</f>
        <v>22</v>
      </c>
      <c r="K97" s="5" t="s">
        <v>129</v>
      </c>
    </row>
    <row r="98" spans="1:11" x14ac:dyDescent="0.2">
      <c r="A98" s="53" t="s">
        <v>132</v>
      </c>
      <c r="B98" s="54">
        <v>1</v>
      </c>
      <c r="C98" s="55" t="s">
        <v>29</v>
      </c>
      <c r="D98" s="47" t="s">
        <v>77</v>
      </c>
      <c r="E98" s="56">
        <v>6995</v>
      </c>
      <c r="F98" s="81">
        <v>1538.9</v>
      </c>
      <c r="G98" s="48">
        <f>E98*0.2</f>
        <v>1399</v>
      </c>
      <c r="H98" s="49">
        <f>G98*15%</f>
        <v>209.85</v>
      </c>
      <c r="I98" s="50">
        <f>G98*7%</f>
        <v>97.93</v>
      </c>
      <c r="J98" s="51">
        <f>H98+I98</f>
        <v>307.77999999999997</v>
      </c>
      <c r="K98" s="5" t="s">
        <v>133</v>
      </c>
    </row>
    <row r="99" spans="1:11" x14ac:dyDescent="0.2">
      <c r="A99" s="59" t="s">
        <v>134</v>
      </c>
      <c r="B99" s="82"/>
      <c r="C99" s="3"/>
      <c r="D99" s="3"/>
      <c r="E99" s="77"/>
      <c r="F99" s="77"/>
      <c r="G99" s="77"/>
      <c r="H99" s="49"/>
      <c r="I99" s="50"/>
      <c r="J99" s="51"/>
      <c r="K99" s="5"/>
    </row>
    <row r="100" spans="1:11" x14ac:dyDescent="0.2">
      <c r="A100" s="44" t="s">
        <v>135</v>
      </c>
      <c r="B100" s="78">
        <v>1</v>
      </c>
      <c r="C100" s="46" t="s">
        <v>29</v>
      </c>
      <c r="D100" s="47" t="s">
        <v>32</v>
      </c>
      <c r="E100" s="77">
        <v>100</v>
      </c>
      <c r="F100" s="77">
        <v>22</v>
      </c>
      <c r="G100" s="48">
        <f t="shared" ref="G100:G108" si="17">E100*0.2</f>
        <v>20</v>
      </c>
      <c r="H100" s="49">
        <f>G100*15%</f>
        <v>3</v>
      </c>
      <c r="I100" s="50">
        <f>G100*7%</f>
        <v>1.4000000000000001</v>
      </c>
      <c r="J100" s="51">
        <f t="shared" ref="J100:J108" si="18">H100+I100</f>
        <v>4.4000000000000004</v>
      </c>
      <c r="K100" s="5" t="s">
        <v>110</v>
      </c>
    </row>
    <row r="101" spans="1:11" x14ac:dyDescent="0.2">
      <c r="A101" s="44" t="s">
        <v>136</v>
      </c>
      <c r="B101" s="78">
        <v>1</v>
      </c>
      <c r="C101" s="46" t="s">
        <v>29</v>
      </c>
      <c r="D101" s="47" t="s">
        <v>77</v>
      </c>
      <c r="E101" s="77">
        <v>2995</v>
      </c>
      <c r="F101" s="77">
        <v>659</v>
      </c>
      <c r="G101" s="48">
        <f t="shared" si="17"/>
        <v>599</v>
      </c>
      <c r="H101" s="49">
        <f t="shared" ref="H101:H118" si="19">G101*15%</f>
        <v>89.85</v>
      </c>
      <c r="I101" s="50">
        <f t="shared" ref="I101:I118" si="20">G101*7%</f>
        <v>41.930000000000007</v>
      </c>
      <c r="J101" s="51">
        <f t="shared" si="18"/>
        <v>131.78</v>
      </c>
      <c r="K101" s="5" t="s">
        <v>57</v>
      </c>
    </row>
    <row r="102" spans="1:11" x14ac:dyDescent="0.2">
      <c r="A102" s="44" t="s">
        <v>137</v>
      </c>
      <c r="B102" s="78">
        <v>1</v>
      </c>
      <c r="C102" s="46" t="s">
        <v>29</v>
      </c>
      <c r="D102" s="47" t="s">
        <v>77</v>
      </c>
      <c r="E102" s="77">
        <v>2995</v>
      </c>
      <c r="F102" s="77">
        <v>659</v>
      </c>
      <c r="G102" s="48">
        <f t="shared" si="17"/>
        <v>599</v>
      </c>
      <c r="H102" s="49">
        <f t="shared" si="19"/>
        <v>89.85</v>
      </c>
      <c r="I102" s="50">
        <f t="shared" si="20"/>
        <v>41.930000000000007</v>
      </c>
      <c r="J102" s="51">
        <f t="shared" si="18"/>
        <v>131.78</v>
      </c>
      <c r="K102" s="5" t="s">
        <v>57</v>
      </c>
    </row>
    <row r="103" spans="1:11" x14ac:dyDescent="0.2">
      <c r="A103" s="44" t="s">
        <v>138</v>
      </c>
      <c r="B103" s="78">
        <v>1</v>
      </c>
      <c r="C103" s="46" t="s">
        <v>29</v>
      </c>
      <c r="D103" s="47" t="s">
        <v>77</v>
      </c>
      <c r="E103" s="77">
        <v>995</v>
      </c>
      <c r="F103" s="77">
        <v>219</v>
      </c>
      <c r="G103" s="48">
        <f t="shared" si="17"/>
        <v>199</v>
      </c>
      <c r="H103" s="49">
        <f t="shared" si="19"/>
        <v>29.849999999999998</v>
      </c>
      <c r="I103" s="50">
        <f t="shared" si="20"/>
        <v>13.930000000000001</v>
      </c>
      <c r="J103" s="51">
        <f t="shared" si="18"/>
        <v>43.78</v>
      </c>
      <c r="K103" s="5" t="s">
        <v>57</v>
      </c>
    </row>
    <row r="104" spans="1:11" x14ac:dyDescent="0.2">
      <c r="A104" s="44" t="s">
        <v>139</v>
      </c>
      <c r="B104" s="78">
        <v>1</v>
      </c>
      <c r="C104" s="46" t="s">
        <v>29</v>
      </c>
      <c r="D104" s="47" t="s">
        <v>77</v>
      </c>
      <c r="E104" s="77">
        <v>995</v>
      </c>
      <c r="F104" s="77">
        <v>219</v>
      </c>
      <c r="G104" s="48">
        <f t="shared" si="17"/>
        <v>199</v>
      </c>
      <c r="H104" s="49">
        <f t="shared" si="19"/>
        <v>29.849999999999998</v>
      </c>
      <c r="I104" s="50">
        <f t="shared" si="20"/>
        <v>13.930000000000001</v>
      </c>
      <c r="J104" s="51">
        <f t="shared" si="18"/>
        <v>43.78</v>
      </c>
      <c r="K104" s="5" t="s">
        <v>57</v>
      </c>
    </row>
    <row r="105" spans="1:11" x14ac:dyDescent="0.2">
      <c r="A105" s="62" t="s">
        <v>140</v>
      </c>
      <c r="B105" s="78">
        <v>1</v>
      </c>
      <c r="C105" s="46" t="s">
        <v>29</v>
      </c>
      <c r="D105" s="46" t="s">
        <v>141</v>
      </c>
      <c r="E105" s="77">
        <v>695</v>
      </c>
      <c r="F105" s="77">
        <v>153</v>
      </c>
      <c r="G105" s="48">
        <f t="shared" si="17"/>
        <v>139</v>
      </c>
      <c r="H105" s="49">
        <f t="shared" si="19"/>
        <v>20.849999999999998</v>
      </c>
      <c r="I105" s="50">
        <f t="shared" si="20"/>
        <v>9.73</v>
      </c>
      <c r="J105" s="51">
        <f t="shared" si="18"/>
        <v>30.58</v>
      </c>
      <c r="K105" s="5" t="s">
        <v>57</v>
      </c>
    </row>
    <row r="106" spans="1:11" x14ac:dyDescent="0.2">
      <c r="A106" s="62" t="s">
        <v>142</v>
      </c>
      <c r="B106" s="78">
        <v>1</v>
      </c>
      <c r="C106" s="46" t="s">
        <v>29</v>
      </c>
      <c r="D106" s="46" t="s">
        <v>141</v>
      </c>
      <c r="E106" s="77">
        <v>1995</v>
      </c>
      <c r="F106" s="77">
        <v>439</v>
      </c>
      <c r="G106" s="48">
        <f t="shared" si="17"/>
        <v>399</v>
      </c>
      <c r="H106" s="49">
        <f t="shared" si="19"/>
        <v>59.849999999999994</v>
      </c>
      <c r="I106" s="50">
        <f t="shared" si="20"/>
        <v>27.930000000000003</v>
      </c>
      <c r="J106" s="51">
        <f t="shared" si="18"/>
        <v>87.78</v>
      </c>
      <c r="K106" s="5" t="s">
        <v>57</v>
      </c>
    </row>
    <row r="107" spans="1:11" x14ac:dyDescent="0.2">
      <c r="A107" s="62" t="s">
        <v>143</v>
      </c>
      <c r="B107" s="78">
        <v>1</v>
      </c>
      <c r="C107" s="46" t="s">
        <v>29</v>
      </c>
      <c r="D107" s="46" t="s">
        <v>77</v>
      </c>
      <c r="E107" s="77">
        <v>5995</v>
      </c>
      <c r="F107" s="77">
        <v>1319</v>
      </c>
      <c r="G107" s="48">
        <f t="shared" si="17"/>
        <v>1199</v>
      </c>
      <c r="H107" s="49">
        <f t="shared" si="19"/>
        <v>179.85</v>
      </c>
      <c r="I107" s="50">
        <f t="shared" si="20"/>
        <v>83.93</v>
      </c>
      <c r="J107" s="51">
        <f t="shared" si="18"/>
        <v>263.77999999999997</v>
      </c>
      <c r="K107" s="5" t="s">
        <v>125</v>
      </c>
    </row>
    <row r="108" spans="1:11" x14ac:dyDescent="0.2">
      <c r="A108" s="62" t="s">
        <v>144</v>
      </c>
      <c r="B108" s="78">
        <v>1</v>
      </c>
      <c r="C108" s="46" t="s">
        <v>29</v>
      </c>
      <c r="D108" s="46" t="s">
        <v>93</v>
      </c>
      <c r="E108" s="77">
        <v>50</v>
      </c>
      <c r="F108" s="77">
        <v>11</v>
      </c>
      <c r="G108" s="48">
        <f t="shared" si="17"/>
        <v>10</v>
      </c>
      <c r="H108" s="49">
        <f t="shared" si="19"/>
        <v>1.5</v>
      </c>
      <c r="I108" s="50">
        <f t="shared" si="20"/>
        <v>0.70000000000000007</v>
      </c>
      <c r="J108" s="51">
        <f t="shared" si="18"/>
        <v>2.2000000000000002</v>
      </c>
      <c r="K108" s="5" t="s">
        <v>94</v>
      </c>
    </row>
    <row r="109" spans="1:11" x14ac:dyDescent="0.2">
      <c r="A109" s="62"/>
      <c r="B109" s="78"/>
      <c r="C109" s="46"/>
      <c r="D109" s="46"/>
      <c r="E109" s="77"/>
      <c r="F109" s="77"/>
      <c r="G109" s="48"/>
      <c r="H109" s="49"/>
      <c r="I109" s="50"/>
      <c r="J109" s="51"/>
      <c r="K109" s="5"/>
    </row>
    <row r="110" spans="1:11" x14ac:dyDescent="0.2">
      <c r="A110" s="59" t="s">
        <v>145</v>
      </c>
      <c r="B110" s="82"/>
      <c r="C110" s="3"/>
      <c r="D110" s="46"/>
      <c r="E110" s="77"/>
      <c r="F110" s="77"/>
      <c r="G110" s="77"/>
      <c r="H110" s="49"/>
      <c r="I110" s="50"/>
      <c r="J110" s="51"/>
      <c r="K110" s="5"/>
    </row>
    <row r="111" spans="1:11" x14ac:dyDescent="0.2">
      <c r="A111" s="44" t="s">
        <v>146</v>
      </c>
      <c r="B111" s="78">
        <v>1</v>
      </c>
      <c r="C111" s="46" t="s">
        <v>29</v>
      </c>
      <c r="D111" s="47" t="s">
        <v>77</v>
      </c>
      <c r="E111" s="77">
        <v>3995</v>
      </c>
      <c r="F111" s="77">
        <v>879</v>
      </c>
      <c r="G111" s="48">
        <f>E111*0.2</f>
        <v>799</v>
      </c>
      <c r="H111" s="49">
        <f t="shared" si="19"/>
        <v>119.85</v>
      </c>
      <c r="I111" s="50">
        <f t="shared" si="20"/>
        <v>55.930000000000007</v>
      </c>
      <c r="J111" s="51">
        <f>H111+I111</f>
        <v>175.78</v>
      </c>
      <c r="K111" s="5" t="s">
        <v>78</v>
      </c>
    </row>
    <row r="112" spans="1:11" x14ac:dyDescent="0.2">
      <c r="A112" s="44" t="s">
        <v>147</v>
      </c>
      <c r="B112" s="78">
        <v>1</v>
      </c>
      <c r="C112" s="46" t="s">
        <v>29</v>
      </c>
      <c r="D112" s="47" t="s">
        <v>77</v>
      </c>
      <c r="E112" s="77">
        <v>2995</v>
      </c>
      <c r="F112" s="77">
        <v>659</v>
      </c>
      <c r="G112" s="48">
        <f>E112*0.2</f>
        <v>599</v>
      </c>
      <c r="H112" s="49">
        <f t="shared" si="19"/>
        <v>89.85</v>
      </c>
      <c r="I112" s="50">
        <f t="shared" si="20"/>
        <v>41.930000000000007</v>
      </c>
      <c r="J112" s="51">
        <f>H112+I112</f>
        <v>131.78</v>
      </c>
      <c r="K112" s="5" t="s">
        <v>90</v>
      </c>
    </row>
    <row r="113" spans="1:11" x14ac:dyDescent="0.2">
      <c r="A113" s="44" t="s">
        <v>148</v>
      </c>
      <c r="B113" s="78">
        <v>1</v>
      </c>
      <c r="C113" s="46" t="s">
        <v>29</v>
      </c>
      <c r="D113" s="47" t="s">
        <v>77</v>
      </c>
      <c r="E113" s="77">
        <v>125</v>
      </c>
      <c r="F113" s="77">
        <v>28</v>
      </c>
      <c r="G113" s="48">
        <f>E113*0.2</f>
        <v>25</v>
      </c>
      <c r="H113" s="49">
        <f>G113*15%</f>
        <v>3.75</v>
      </c>
      <c r="I113" s="50">
        <f>G113*7%</f>
        <v>1.7500000000000002</v>
      </c>
      <c r="J113" s="51">
        <f>H113+I113</f>
        <v>5.5</v>
      </c>
      <c r="K113" s="5" t="s">
        <v>149</v>
      </c>
    </row>
    <row r="114" spans="1:11" x14ac:dyDescent="0.2">
      <c r="A114" s="63" t="s">
        <v>150</v>
      </c>
      <c r="B114" s="64">
        <v>1</v>
      </c>
      <c r="C114" s="65" t="s">
        <v>29</v>
      </c>
      <c r="D114" s="66" t="s">
        <v>77</v>
      </c>
      <c r="E114" s="67">
        <v>1995</v>
      </c>
      <c r="F114" s="83">
        <v>438.9</v>
      </c>
      <c r="G114" s="48">
        <f>E114*0.2</f>
        <v>399</v>
      </c>
      <c r="H114" s="49">
        <f>G114*15%</f>
        <v>59.849999999999994</v>
      </c>
      <c r="I114" s="50">
        <f>G114*7%</f>
        <v>27.930000000000003</v>
      </c>
      <c r="J114" s="51">
        <f>H114+I114</f>
        <v>87.78</v>
      </c>
      <c r="K114" s="5" t="s">
        <v>151</v>
      </c>
    </row>
    <row r="115" spans="1:11" x14ac:dyDescent="0.2">
      <c r="A115" s="59" t="s">
        <v>152</v>
      </c>
      <c r="B115" s="78"/>
      <c r="C115" s="46"/>
      <c r="D115" s="47"/>
      <c r="E115" s="77"/>
      <c r="F115" s="77"/>
      <c r="G115" s="77"/>
      <c r="H115" s="49"/>
      <c r="I115" s="50"/>
      <c r="J115" s="51"/>
      <c r="K115" s="5"/>
    </row>
    <row r="116" spans="1:11" x14ac:dyDescent="0.2">
      <c r="A116" s="44" t="s">
        <v>153</v>
      </c>
      <c r="B116" s="78">
        <v>1</v>
      </c>
      <c r="C116" s="46" t="s">
        <v>29</v>
      </c>
      <c r="D116" s="47" t="s">
        <v>77</v>
      </c>
      <c r="E116" s="77">
        <v>495</v>
      </c>
      <c r="F116" s="77">
        <v>109</v>
      </c>
      <c r="G116" s="48">
        <f t="shared" ref="G116:G122" si="21">E116*0.2</f>
        <v>99</v>
      </c>
      <c r="H116" s="49">
        <f t="shared" si="19"/>
        <v>14.85</v>
      </c>
      <c r="I116" s="50">
        <f t="shared" si="20"/>
        <v>6.9300000000000006</v>
      </c>
      <c r="J116" s="51">
        <f>H116+I116</f>
        <v>21.78</v>
      </c>
      <c r="K116" s="5" t="s">
        <v>154</v>
      </c>
    </row>
    <row r="117" spans="1:11" x14ac:dyDescent="0.2">
      <c r="A117" s="44" t="s">
        <v>155</v>
      </c>
      <c r="B117" s="78">
        <v>1</v>
      </c>
      <c r="C117" s="46" t="s">
        <v>29</v>
      </c>
      <c r="D117" s="47" t="s">
        <v>93</v>
      </c>
      <c r="E117" s="77">
        <v>20</v>
      </c>
      <c r="F117" s="77">
        <v>4</v>
      </c>
      <c r="G117" s="48">
        <f t="shared" si="21"/>
        <v>4</v>
      </c>
      <c r="H117" s="49">
        <f t="shared" si="19"/>
        <v>0.6</v>
      </c>
      <c r="I117" s="50">
        <f t="shared" si="20"/>
        <v>0.28000000000000003</v>
      </c>
      <c r="J117" s="51">
        <f>H117+I117</f>
        <v>0.88</v>
      </c>
      <c r="K117" s="5" t="s">
        <v>154</v>
      </c>
    </row>
    <row r="118" spans="1:11" x14ac:dyDescent="0.2">
      <c r="A118" s="44" t="s">
        <v>156</v>
      </c>
      <c r="B118" s="78">
        <v>1</v>
      </c>
      <c r="C118" s="46" t="s">
        <v>29</v>
      </c>
      <c r="D118" s="46" t="s">
        <v>62</v>
      </c>
      <c r="E118" s="77">
        <v>29995</v>
      </c>
      <c r="F118" s="77">
        <v>6599</v>
      </c>
      <c r="G118" s="48">
        <f t="shared" si="21"/>
        <v>5999</v>
      </c>
      <c r="H118" s="49">
        <f t="shared" si="19"/>
        <v>899.85</v>
      </c>
      <c r="I118" s="50">
        <f t="shared" si="20"/>
        <v>419.93000000000006</v>
      </c>
      <c r="J118" s="51">
        <f>H118+I118</f>
        <v>1319.7800000000002</v>
      </c>
      <c r="K118" s="5"/>
    </row>
    <row r="119" spans="1:11" x14ac:dyDescent="0.2">
      <c r="A119" s="44" t="s">
        <v>157</v>
      </c>
      <c r="B119" s="78">
        <v>1</v>
      </c>
      <c r="C119" s="46" t="s">
        <v>29</v>
      </c>
      <c r="D119" s="46" t="s">
        <v>42</v>
      </c>
      <c r="E119" s="77">
        <v>1195</v>
      </c>
      <c r="F119" s="77">
        <v>263</v>
      </c>
      <c r="G119" s="48">
        <f t="shared" si="21"/>
        <v>239</v>
      </c>
      <c r="H119" s="49">
        <f>G119*15%</f>
        <v>35.85</v>
      </c>
      <c r="I119" s="50">
        <f>G119*7%</f>
        <v>16.73</v>
      </c>
      <c r="J119" s="51">
        <f>H119+I119</f>
        <v>52.58</v>
      </c>
      <c r="K119" s="5"/>
    </row>
    <row r="120" spans="1:11" x14ac:dyDescent="0.2">
      <c r="A120" s="84" t="s">
        <v>158</v>
      </c>
      <c r="B120" s="78">
        <v>1</v>
      </c>
      <c r="C120" s="46" t="s">
        <v>29</v>
      </c>
      <c r="D120" s="46" t="s">
        <v>105</v>
      </c>
      <c r="E120" s="77">
        <v>1495</v>
      </c>
      <c r="F120" s="77">
        <v>329</v>
      </c>
      <c r="G120" s="48">
        <f t="shared" si="21"/>
        <v>299</v>
      </c>
      <c r="H120" s="49">
        <f t="shared" ref="H120:H128" si="22">G120*15%</f>
        <v>44.85</v>
      </c>
      <c r="I120" s="50">
        <f t="shared" ref="I120:I128" si="23">G120*7%</f>
        <v>20.930000000000003</v>
      </c>
      <c r="J120" s="51">
        <f t="shared" ref="J120:J128" si="24">H120+I120</f>
        <v>65.78</v>
      </c>
      <c r="K120" s="5" t="s">
        <v>57</v>
      </c>
    </row>
    <row r="121" spans="1:11" x14ac:dyDescent="0.2">
      <c r="A121" s="44" t="s">
        <v>159</v>
      </c>
      <c r="B121" s="78">
        <v>1</v>
      </c>
      <c r="C121" s="46" t="s">
        <v>29</v>
      </c>
      <c r="D121" s="47" t="s">
        <v>77</v>
      </c>
      <c r="E121" s="77">
        <v>9995</v>
      </c>
      <c r="F121" s="77">
        <v>2199</v>
      </c>
      <c r="G121" s="48">
        <f t="shared" si="21"/>
        <v>1999</v>
      </c>
      <c r="H121" s="49">
        <f t="shared" si="22"/>
        <v>299.84999999999997</v>
      </c>
      <c r="I121" s="50">
        <f t="shared" si="23"/>
        <v>139.93</v>
      </c>
      <c r="J121" s="51">
        <f t="shared" si="24"/>
        <v>439.78</v>
      </c>
      <c r="K121" s="5" t="s">
        <v>57</v>
      </c>
    </row>
    <row r="122" spans="1:11" x14ac:dyDescent="0.2">
      <c r="A122" s="44" t="s">
        <v>160</v>
      </c>
      <c r="B122" s="78">
        <v>1</v>
      </c>
      <c r="C122" s="46" t="s">
        <v>29</v>
      </c>
      <c r="D122" s="46" t="s">
        <v>105</v>
      </c>
      <c r="E122" s="77">
        <v>3995</v>
      </c>
      <c r="F122" s="77">
        <v>879</v>
      </c>
      <c r="G122" s="48">
        <f t="shared" si="21"/>
        <v>799</v>
      </c>
      <c r="H122" s="49">
        <f t="shared" si="22"/>
        <v>119.85</v>
      </c>
      <c r="I122" s="50">
        <f t="shared" si="23"/>
        <v>55.930000000000007</v>
      </c>
      <c r="J122" s="51">
        <f t="shared" si="24"/>
        <v>175.78</v>
      </c>
      <c r="K122" s="5" t="s">
        <v>57</v>
      </c>
    </row>
    <row r="123" spans="1:11" x14ac:dyDescent="0.2">
      <c r="A123" s="59" t="s">
        <v>161</v>
      </c>
      <c r="B123" s="78"/>
      <c r="C123" s="46"/>
      <c r="D123" s="46"/>
      <c r="E123" s="77"/>
      <c r="F123" s="77"/>
      <c r="G123" s="77"/>
      <c r="H123" s="49"/>
      <c r="I123" s="50"/>
      <c r="J123" s="51"/>
      <c r="K123" s="5"/>
    </row>
    <row r="124" spans="1:11" x14ac:dyDescent="0.2">
      <c r="A124" s="44" t="s">
        <v>162</v>
      </c>
      <c r="B124" s="78">
        <v>1</v>
      </c>
      <c r="C124" s="46" t="s">
        <v>29</v>
      </c>
      <c r="D124" s="46" t="s">
        <v>163</v>
      </c>
      <c r="E124" s="77">
        <v>995</v>
      </c>
      <c r="F124" s="77">
        <v>219</v>
      </c>
      <c r="G124" s="48">
        <f>E124*0.2</f>
        <v>199</v>
      </c>
      <c r="H124" s="49">
        <f t="shared" si="22"/>
        <v>29.849999999999998</v>
      </c>
      <c r="I124" s="50">
        <f t="shared" si="23"/>
        <v>13.930000000000001</v>
      </c>
      <c r="J124" s="51">
        <f t="shared" si="24"/>
        <v>43.78</v>
      </c>
      <c r="K124" s="5" t="s">
        <v>57</v>
      </c>
    </row>
    <row r="125" spans="1:11" x14ac:dyDescent="0.2">
      <c r="A125" s="44" t="s">
        <v>164</v>
      </c>
      <c r="B125" s="78">
        <v>1</v>
      </c>
      <c r="C125" s="46" t="s">
        <v>29</v>
      </c>
      <c r="D125" s="46" t="s">
        <v>163</v>
      </c>
      <c r="E125" s="77">
        <v>995</v>
      </c>
      <c r="F125" s="77">
        <v>219</v>
      </c>
      <c r="G125" s="48">
        <f>E125*0.2</f>
        <v>199</v>
      </c>
      <c r="H125" s="49">
        <f t="shared" si="22"/>
        <v>29.849999999999998</v>
      </c>
      <c r="I125" s="50">
        <f t="shared" si="23"/>
        <v>13.930000000000001</v>
      </c>
      <c r="J125" s="51">
        <f t="shared" si="24"/>
        <v>43.78</v>
      </c>
      <c r="K125" s="5" t="s">
        <v>57</v>
      </c>
    </row>
    <row r="126" spans="1:11" x14ac:dyDescent="0.2">
      <c r="A126" s="44" t="s">
        <v>165</v>
      </c>
      <c r="B126" s="78">
        <v>1</v>
      </c>
      <c r="C126" s="46" t="s">
        <v>29</v>
      </c>
      <c r="D126" s="46" t="s">
        <v>163</v>
      </c>
      <c r="E126" s="77">
        <v>595</v>
      </c>
      <c r="F126" s="77">
        <v>131</v>
      </c>
      <c r="G126" s="48">
        <f>E126*0.2</f>
        <v>119</v>
      </c>
      <c r="H126" s="49">
        <f t="shared" si="22"/>
        <v>17.849999999999998</v>
      </c>
      <c r="I126" s="50">
        <f t="shared" si="23"/>
        <v>8.33</v>
      </c>
      <c r="J126" s="51">
        <f t="shared" si="24"/>
        <v>26.18</v>
      </c>
      <c r="K126" s="5" t="s">
        <v>57</v>
      </c>
    </row>
    <row r="127" spans="1:11" x14ac:dyDescent="0.2">
      <c r="A127" s="44" t="s">
        <v>166</v>
      </c>
      <c r="B127" s="78">
        <v>1</v>
      </c>
      <c r="C127" s="46" t="s">
        <v>29</v>
      </c>
      <c r="D127" s="46" t="s">
        <v>163</v>
      </c>
      <c r="E127" s="77">
        <v>1995</v>
      </c>
      <c r="F127" s="77">
        <v>439</v>
      </c>
      <c r="G127" s="48">
        <f>E127*0.2</f>
        <v>399</v>
      </c>
      <c r="H127" s="49">
        <f t="shared" si="22"/>
        <v>59.849999999999994</v>
      </c>
      <c r="I127" s="50">
        <f t="shared" si="23"/>
        <v>27.930000000000003</v>
      </c>
      <c r="J127" s="51">
        <f t="shared" si="24"/>
        <v>87.78</v>
      </c>
      <c r="K127" s="5" t="s">
        <v>149</v>
      </c>
    </row>
    <row r="128" spans="1:11" x14ac:dyDescent="0.2">
      <c r="A128" s="44" t="s">
        <v>167</v>
      </c>
      <c r="B128" s="78">
        <v>1</v>
      </c>
      <c r="C128" s="46" t="s">
        <v>29</v>
      </c>
      <c r="D128" s="46" t="s">
        <v>163</v>
      </c>
      <c r="E128" s="77">
        <v>595</v>
      </c>
      <c r="F128" s="77">
        <v>131</v>
      </c>
      <c r="G128" s="48">
        <f>E128*0.2</f>
        <v>119</v>
      </c>
      <c r="H128" s="49">
        <f t="shared" si="22"/>
        <v>17.849999999999998</v>
      </c>
      <c r="I128" s="50">
        <f t="shared" si="23"/>
        <v>8.33</v>
      </c>
      <c r="J128" s="51">
        <f t="shared" si="24"/>
        <v>26.18</v>
      </c>
      <c r="K128" s="5" t="s">
        <v>57</v>
      </c>
    </row>
    <row r="129" spans="1:11" x14ac:dyDescent="0.2">
      <c r="A129" s="85" t="s">
        <v>168</v>
      </c>
      <c r="B129" s="2"/>
      <c r="C129" s="3"/>
      <c r="D129" s="3"/>
      <c r="E129" s="77"/>
      <c r="F129" s="77"/>
      <c r="G129" s="77"/>
      <c r="H129" s="49"/>
      <c r="I129" s="49"/>
      <c r="J129" s="49"/>
      <c r="K129" s="5"/>
    </row>
    <row r="130" spans="1:11" x14ac:dyDescent="0.2">
      <c r="A130" s="3" t="s">
        <v>169</v>
      </c>
      <c r="B130" s="2"/>
      <c r="C130" s="3"/>
      <c r="D130" s="3"/>
      <c r="E130" s="77"/>
      <c r="F130" s="77"/>
      <c r="G130" s="77"/>
      <c r="H130" s="49"/>
      <c r="I130" s="49"/>
      <c r="J130" s="49"/>
      <c r="K130" s="5"/>
    </row>
    <row r="131" spans="1:11" x14ac:dyDescent="0.2">
      <c r="A131" s="3"/>
      <c r="B131" s="2"/>
      <c r="C131" s="3"/>
      <c r="D131" s="3"/>
      <c r="E131" s="77"/>
      <c r="F131" s="77"/>
      <c r="G131" s="77"/>
      <c r="H131" s="49"/>
      <c r="I131" s="49"/>
      <c r="J131" s="49"/>
      <c r="K131" s="5"/>
    </row>
    <row r="132" spans="1:11" x14ac:dyDescent="0.2">
      <c r="A132" s="3" t="s">
        <v>170</v>
      </c>
      <c r="B132" s="2"/>
      <c r="C132" s="3"/>
      <c r="D132" s="86"/>
      <c r="E132" s="77"/>
      <c r="F132" s="86"/>
      <c r="G132" s="77"/>
      <c r="H132" s="49"/>
      <c r="I132" s="49"/>
      <c r="J132" s="3"/>
      <c r="K132" s="5"/>
    </row>
    <row r="133" spans="1:11" x14ac:dyDescent="0.2">
      <c r="A133" s="3" t="s">
        <v>171</v>
      </c>
      <c r="B133" s="2"/>
      <c r="C133" s="3"/>
      <c r="D133" s="86"/>
      <c r="E133" s="77"/>
      <c r="F133" s="86"/>
      <c r="G133" s="77"/>
      <c r="H133" s="49"/>
      <c r="I133" s="49"/>
      <c r="J133" s="3"/>
      <c r="K133" s="5"/>
    </row>
    <row r="134" spans="1:11" x14ac:dyDescent="0.2">
      <c r="A134" s="3" t="s">
        <v>172</v>
      </c>
      <c r="B134" s="2"/>
      <c r="C134" s="3"/>
      <c r="D134" s="86"/>
      <c r="E134" s="77"/>
      <c r="F134" s="86"/>
      <c r="G134" s="77"/>
      <c r="H134" s="49"/>
      <c r="I134" s="49"/>
      <c r="J134" s="3"/>
      <c r="K134" s="5"/>
    </row>
    <row r="135" spans="1:11" x14ac:dyDescent="0.2">
      <c r="A135" s="3" t="s">
        <v>173</v>
      </c>
      <c r="B135" s="2"/>
      <c r="C135" s="3"/>
      <c r="D135" s="86"/>
      <c r="E135" s="77"/>
      <c r="F135" s="86"/>
      <c r="G135" s="77"/>
      <c r="H135" s="49"/>
      <c r="I135" s="49"/>
      <c r="J135" s="3"/>
      <c r="K135" s="5"/>
    </row>
    <row r="136" spans="1:11" x14ac:dyDescent="0.2">
      <c r="A136" s="3" t="s">
        <v>174</v>
      </c>
      <c r="B136" s="2"/>
      <c r="C136" s="3"/>
      <c r="D136" s="86"/>
      <c r="E136" s="77"/>
      <c r="F136" s="86"/>
      <c r="G136" s="77"/>
      <c r="H136" s="49"/>
      <c r="I136" s="49"/>
      <c r="J136" s="3"/>
      <c r="K136" s="5"/>
    </row>
    <row r="137" spans="1:11" x14ac:dyDescent="0.2">
      <c r="A137" s="3" t="s">
        <v>175</v>
      </c>
      <c r="B137" s="2"/>
      <c r="C137" s="3"/>
      <c r="D137" s="3"/>
      <c r="E137" s="4"/>
      <c r="F137" s="3"/>
      <c r="G137" s="4"/>
      <c r="H137" s="3"/>
      <c r="I137" s="3"/>
      <c r="J137" s="3"/>
      <c r="K137" s="5"/>
    </row>
    <row r="138" spans="1:11" x14ac:dyDescent="0.2">
      <c r="A138" s="3" t="s">
        <v>176</v>
      </c>
      <c r="B138" s="2"/>
      <c r="C138" s="3"/>
      <c r="D138" s="3"/>
      <c r="E138" s="4"/>
      <c r="F138" s="3"/>
      <c r="G138" s="4"/>
      <c r="H138" s="3"/>
      <c r="I138" s="3"/>
      <c r="J138" s="3"/>
      <c r="K138" s="5"/>
    </row>
    <row r="139" spans="1:11" x14ac:dyDescent="0.2">
      <c r="A139" s="3" t="s">
        <v>177</v>
      </c>
      <c r="B139" s="2"/>
      <c r="C139" s="3"/>
      <c r="D139" s="3"/>
      <c r="E139" s="4"/>
      <c r="F139" s="3"/>
      <c r="G139" s="4"/>
      <c r="H139" s="3"/>
      <c r="I139" s="3"/>
      <c r="J139" s="3"/>
      <c r="K139" s="5"/>
    </row>
    <row r="140" spans="1:11" x14ac:dyDescent="0.2">
      <c r="A140" s="3" t="s">
        <v>178</v>
      </c>
      <c r="B140" s="2"/>
      <c r="C140" s="3"/>
      <c r="D140" s="3"/>
      <c r="E140" s="4"/>
      <c r="F140" s="3"/>
      <c r="G140" s="4"/>
      <c r="H140" s="3"/>
      <c r="I140" s="3"/>
      <c r="J140" s="3"/>
      <c r="K140" s="5"/>
    </row>
    <row r="141" spans="1:11" x14ac:dyDescent="0.2">
      <c r="A141" s="3" t="s">
        <v>179</v>
      </c>
      <c r="B141" s="2"/>
      <c r="C141" s="3"/>
      <c r="D141" s="3"/>
      <c r="E141" s="4"/>
      <c r="F141" s="3"/>
      <c r="G141" s="4"/>
      <c r="H141" s="3"/>
      <c r="I141" s="3"/>
      <c r="J141" s="3"/>
      <c r="K141" s="5"/>
    </row>
    <row r="142" spans="1:11" x14ac:dyDescent="0.2">
      <c r="A142" s="3" t="s">
        <v>180</v>
      </c>
      <c r="B142" s="2"/>
      <c r="C142" s="3"/>
      <c r="D142" s="3"/>
      <c r="E142" s="4"/>
      <c r="F142" s="3"/>
      <c r="G142" s="4"/>
      <c r="H142" s="3"/>
      <c r="I142" s="3"/>
      <c r="J142" s="3"/>
      <c r="K142" s="5"/>
    </row>
    <row r="143" spans="1:11" x14ac:dyDescent="0.2">
      <c r="A143" s="3" t="s">
        <v>181</v>
      </c>
      <c r="B143" s="2"/>
      <c r="C143" s="3"/>
      <c r="D143" s="3"/>
      <c r="E143" s="4"/>
      <c r="F143" s="3"/>
      <c r="G143" s="4"/>
      <c r="H143" s="3"/>
      <c r="I143" s="3"/>
      <c r="J143" s="3"/>
      <c r="K143" s="5"/>
    </row>
    <row r="144" spans="1:11" x14ac:dyDescent="0.2">
      <c r="A144" s="3" t="s">
        <v>182</v>
      </c>
      <c r="B144" s="2"/>
      <c r="C144" s="3"/>
      <c r="D144" s="3"/>
      <c r="E144" s="4"/>
      <c r="F144" s="3"/>
      <c r="G144" s="4"/>
      <c r="H144" s="3"/>
      <c r="I144" s="3"/>
      <c r="J144" s="3"/>
      <c r="K144" s="5"/>
    </row>
    <row r="145" spans="1:11" x14ac:dyDescent="0.2">
      <c r="A145" s="3" t="s">
        <v>183</v>
      </c>
      <c r="B145" s="2"/>
      <c r="C145" s="3"/>
      <c r="D145" s="3"/>
      <c r="E145" s="4"/>
      <c r="F145" s="3"/>
      <c r="G145" s="4"/>
      <c r="H145" s="3"/>
      <c r="I145" s="3"/>
      <c r="J145" s="3"/>
      <c r="K145" s="5"/>
    </row>
    <row r="146" spans="1:11" x14ac:dyDescent="0.2">
      <c r="A146" s="3" t="s">
        <v>184</v>
      </c>
      <c r="B146" s="2"/>
      <c r="C146" s="3"/>
      <c r="D146" s="3"/>
      <c r="E146" s="4"/>
      <c r="F146" s="3"/>
      <c r="G146" s="4"/>
      <c r="H146" s="3"/>
      <c r="I146" s="3"/>
      <c r="J146" s="3"/>
      <c r="K146" s="5"/>
    </row>
    <row r="147" spans="1:11" x14ac:dyDescent="0.2">
      <c r="A147" s="3"/>
      <c r="B147" s="2"/>
      <c r="C147" s="3"/>
      <c r="D147" s="3"/>
      <c r="E147" s="4"/>
      <c r="F147" s="3"/>
      <c r="G147" s="4"/>
      <c r="H147" s="3"/>
      <c r="I147" s="3"/>
      <c r="J147" s="3"/>
      <c r="K147" s="5"/>
    </row>
    <row r="149" spans="1:11" x14ac:dyDescent="0.2">
      <c r="A149" s="89" t="s">
        <v>185</v>
      </c>
    </row>
    <row r="150" spans="1:11" x14ac:dyDescent="0.2">
      <c r="A150" s="3" t="s">
        <v>186</v>
      </c>
    </row>
  </sheetData>
  <phoneticPr fontId="0" type="noConversion"/>
  <pageMargins left="0.78740157499999996" right="0.78740157499999996" top="0.984251969" bottom="0.984251969"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C2E38-A24D-414B-8EAB-B2D9CDC47F3C}">
  <dimension ref="A1"/>
  <sheetViews>
    <sheetView workbookViewId="0"/>
  </sheetViews>
  <sheetFormatPr baseColWidth="10" defaultRowHeight="12.75" x14ac:dyDescent="0.2"/>
  <cols>
    <col min="1" max="256" width="9.140625" customWidth="1"/>
  </cols>
  <sheetData/>
  <phoneticPr fontId="0" type="noConversion"/>
  <pageMargins left="0.78740157499999996" right="0.78740157499999996" top="0.984251969" bottom="0.984251969"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469C0-FCC3-4F5E-802E-DE13A5DA813E}">
  <dimension ref="A1"/>
  <sheetViews>
    <sheetView workbookViewId="0"/>
  </sheetViews>
  <sheetFormatPr baseColWidth="10" defaultRowHeight="12.75" x14ac:dyDescent="0.2"/>
  <cols>
    <col min="1" max="256" width="9.140625" customWidth="1"/>
  </cols>
  <sheetData/>
  <phoneticPr fontId="0" type="noConversion"/>
  <pageMargins left="0.78740157499999996" right="0.78740157499999996" top="0.984251969" bottom="0.984251969"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Exhibit A Updated 7_31_2003</vt:lpstr>
      <vt:lpstr>Sheet2</vt:lpstr>
      <vt:lpstr>Sheet3</vt:lpstr>
    </vt:vector>
  </TitlesOfParts>
  <Company>Oracle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Melissa Hardt</dc:creator>
  <cp:lastModifiedBy>Kaufmann Timon</cp:lastModifiedBy>
  <dcterms:created xsi:type="dcterms:W3CDTF">2003-10-13T15:01:15Z</dcterms:created>
  <dcterms:modified xsi:type="dcterms:W3CDTF">2026-03-11T23:04:05Z</dcterms:modified>
</cp:coreProperties>
</file>