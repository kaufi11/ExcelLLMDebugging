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/>
  <mc:AlternateContent xmlns:mc="http://schemas.openxmlformats.org/markup-compatibility/2006">
    <mc:Choice Requires="x15">
      <x15ac:absPath xmlns:x15ac="http://schemas.microsoft.com/office/spreadsheetml/2010/11/ac" url="C:\Users\tkaufma\Desktop\BAKArbeit-main\BAKArbeit-main\EUSES\spreadsheets\inventory\SEEDED\"/>
    </mc:Choice>
  </mc:AlternateContent>
  <xr:revisionPtr revIDLastSave="0" documentId="8_{DDAD3B56-660C-4573-A260-2030339CA79E}" xr6:coauthVersionLast="47" xr6:coauthVersionMax="47" xr10:uidLastSave="{00000000-0000-0000-0000-000000000000}"/>
  <bookViews>
    <workbookView xWindow="-120" yWindow="-120" windowWidth="29040" windowHeight="15720" xr2:uid="{D6E462B3-DEBA-4718-8746-4CC2D615D79A}"/>
  </bookViews>
  <sheets>
    <sheet name="Example" sheetId="1" r:id="rId1"/>
    <sheet name="Formulas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17" i="1" l="1"/>
  <c r="E17" i="1" s="1"/>
  <c r="B21" i="1"/>
  <c r="B22" i="1"/>
  <c r="D22" i="1"/>
  <c r="B23" i="1"/>
  <c r="D23" i="1"/>
  <c r="B24" i="1"/>
  <c r="C24" i="1"/>
  <c r="D24" i="1"/>
  <c r="C30" i="1"/>
  <c r="C31" i="1"/>
  <c r="C32" i="1" s="1"/>
  <c r="E33" i="1"/>
  <c r="B36" i="1"/>
  <c r="D36" i="1"/>
  <c r="F38" i="1"/>
  <c r="F42" i="1"/>
  <c r="F44" i="1"/>
  <c r="C17" i="2"/>
  <c r="C31" i="2" s="1"/>
  <c r="E17" i="2"/>
  <c r="D21" i="2" s="1"/>
  <c r="E24" i="2" s="1"/>
  <c r="B21" i="2"/>
  <c r="C24" i="2" s="1"/>
  <c r="B22" i="2"/>
  <c r="D22" i="2"/>
  <c r="B23" i="2"/>
  <c r="D23" i="2"/>
  <c r="B24" i="2"/>
  <c r="D24" i="2"/>
  <c r="C30" i="2"/>
  <c r="E33" i="2"/>
  <c r="B36" i="2"/>
  <c r="D36" i="2"/>
  <c r="F38" i="2"/>
  <c r="F42" i="2"/>
  <c r="F44" i="2"/>
  <c r="C32" i="2" l="1"/>
  <c r="E31" i="1"/>
  <c r="C33" i="1"/>
  <c r="E30" i="1" s="1"/>
  <c r="D21" i="1"/>
  <c r="E24" i="1" s="1"/>
  <c r="C33" i="2"/>
  <c r="E30" i="2" s="1"/>
  <c r="E32" i="2" s="1"/>
  <c r="E34" i="2" s="1"/>
  <c r="E18" i="2" s="1"/>
  <c r="E19" i="2" s="1"/>
  <c r="E25" i="2" s="1"/>
  <c r="E31" i="2"/>
  <c r="E26" i="2" l="1"/>
  <c r="E27" i="2" s="1"/>
  <c r="E32" i="1"/>
  <c r="E34" i="1" s="1"/>
  <c r="E18" i="1" s="1"/>
  <c r="E19" i="1" s="1"/>
  <c r="E25" i="1" s="1"/>
  <c r="C34" i="1"/>
  <c r="C18" i="1" s="1"/>
  <c r="C19" i="1" s="1"/>
  <c r="C25" i="1" s="1"/>
  <c r="C34" i="2"/>
  <c r="C18" i="2" s="1"/>
  <c r="C19" i="2" s="1"/>
  <c r="C25" i="2" s="1"/>
  <c r="C26" i="1" l="1"/>
  <c r="C27" i="1" s="1"/>
  <c r="E26" i="1"/>
  <c r="E27" i="1"/>
  <c r="C26" i="2"/>
  <c r="C27" i="2" s="1"/>
</calcChain>
</file>

<file path=xl/sharedStrings.xml><?xml version="1.0" encoding="utf-8"?>
<sst xmlns="http://schemas.openxmlformats.org/spreadsheetml/2006/main" count="100" uniqueCount="45">
  <si>
    <t>Assumptions</t>
  </si>
  <si>
    <t>Base Sales</t>
  </si>
  <si>
    <t>% Sales Increase</t>
  </si>
  <si>
    <t>Base Inventory Balance</t>
  </si>
  <si>
    <t xml:space="preserve">   Additional End Inv. % of next period sales</t>
  </si>
  <si>
    <t>Purchases as a % of Sales</t>
  </si>
  <si>
    <t>August</t>
  </si>
  <si>
    <t>September</t>
  </si>
  <si>
    <t>Sales revenue</t>
  </si>
  <si>
    <t>Cost of goods sold</t>
  </si>
  <si>
    <t>Gross margin</t>
  </si>
  <si>
    <t>Operating expenses:</t>
  </si>
  <si>
    <t xml:space="preserve">  Salaries and commission expense</t>
  </si>
  <si>
    <t xml:space="preserve">  Rent expense</t>
  </si>
  <si>
    <t xml:space="preserve">  Depreciation expense</t>
  </si>
  <si>
    <t xml:space="preserve">  Insurance expense</t>
  </si>
  <si>
    <t>Operating income</t>
  </si>
  <si>
    <t>Income tax expense</t>
  </si>
  <si>
    <t>Net income</t>
  </si>
  <si>
    <t xml:space="preserve">  Cost of goods sold</t>
  </si>
  <si>
    <t xml:space="preserve">    Beginning inventory</t>
  </si>
  <si>
    <t xml:space="preserve">    Purchases </t>
  </si>
  <si>
    <t xml:space="preserve">    Cost of goods available for sale</t>
  </si>
  <si>
    <t xml:space="preserve">    Ending inventory</t>
  </si>
  <si>
    <t>Current collections of Sales</t>
  </si>
  <si>
    <t>Collections on prior credit sales</t>
  </si>
  <si>
    <t>Disbursments</t>
  </si>
  <si>
    <t>Current Purchases</t>
  </si>
  <si>
    <t>Prior Purchases</t>
  </si>
  <si>
    <t>Current Salaries &amp; Sales Commissions</t>
  </si>
  <si>
    <t>Prior Salaries &amp; Sales Commissions</t>
  </si>
  <si>
    <t>Rent</t>
  </si>
  <si>
    <t>Insurance</t>
  </si>
  <si>
    <t>Increase (Decrease)</t>
  </si>
  <si>
    <t>July estimates</t>
  </si>
  <si>
    <t>7/31 Inventory</t>
  </si>
  <si>
    <t>October sales</t>
  </si>
  <si>
    <t>Monthly Salaries</t>
  </si>
  <si>
    <t xml:space="preserve">   Sales commissions</t>
  </si>
  <si>
    <t>Rent (cash)</t>
  </si>
  <si>
    <t>Depreciation</t>
  </si>
  <si>
    <t>Insurance expense (prepaid)</t>
  </si>
  <si>
    <t>Income tax rate</t>
  </si>
  <si>
    <t>Cost of goods sold - Schedule</t>
  </si>
  <si>
    <t>Cost of goods available for sale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</si>
</sst>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71" formatCode="_(* #,##0.00_);_(* \(#,##0.00\);_(* &quot;-&quot;??_);_(@_)"/>
    <numFmt numFmtId="173" formatCode="_(* #,##0_);_(* \(#,##0\);_(* &quot;-&quot;??_);_(@_)"/>
    <numFmt numFmtId="176" formatCode="0.0%"/>
  </numFmts>
  <fonts count="4" x14ac:knownFonts="1">
    <font>
      <sz val="10"/>
      <name val="Arial"/>
    </font>
    <font>
      <sz val="10"/>
      <name val="Arial"/>
    </font>
    <font>
      <b/>
      <sz val="10"/>
      <name val="Arial"/>
      <family val="2"/>
    </font>
    <font>
      <b/>
      <i/>
      <sz val="1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indexed="13"/>
        <bgColor indexed="64"/>
      </patternFill>
    </fill>
  </fills>
  <borders count="4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</borders>
  <cellStyleXfs count="3">
    <xf numFmtId="0" fontId="0" fillId="0" borderId="0"/>
    <xf numFmtId="171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15">
    <xf numFmtId="0" fontId="0" fillId="0" borderId="0" xfId="0"/>
    <xf numFmtId="173" fontId="2" fillId="0" borderId="0" xfId="1" applyNumberFormat="1" applyFont="1"/>
    <xf numFmtId="176" fontId="2" fillId="0" borderId="0" xfId="2" applyNumberFormat="1" applyFont="1"/>
    <xf numFmtId="173" fontId="2" fillId="0" borderId="1" xfId="1" applyNumberFormat="1" applyFont="1" applyBorder="1"/>
    <xf numFmtId="171" fontId="0" fillId="0" borderId="0" xfId="0" applyNumberFormat="1"/>
    <xf numFmtId="173" fontId="2" fillId="0" borderId="2" xfId="1" applyNumberFormat="1" applyFont="1" applyBorder="1"/>
    <xf numFmtId="173" fontId="2" fillId="0" borderId="3" xfId="1" applyNumberFormat="1" applyFont="1" applyBorder="1"/>
    <xf numFmtId="173" fontId="2" fillId="0" borderId="0" xfId="1" applyNumberFormat="1" applyFont="1" applyAlignment="1">
      <alignment wrapText="1"/>
    </xf>
    <xf numFmtId="173" fontId="1" fillId="0" borderId="0" xfId="1" applyNumberFormat="1"/>
    <xf numFmtId="173" fontId="1" fillId="0" borderId="1" xfId="1" applyNumberFormat="1" applyBorder="1"/>
    <xf numFmtId="173" fontId="2" fillId="2" borderId="0" xfId="0" applyNumberFormat="1" applyFont="1" applyFill="1"/>
    <xf numFmtId="173" fontId="2" fillId="0" borderId="0" xfId="1" applyNumberFormat="1" applyFont="1" applyBorder="1"/>
    <xf numFmtId="173" fontId="2" fillId="0" borderId="0" xfId="1" applyNumberFormat="1" applyFont="1" applyAlignment="1">
      <alignment horizontal="center"/>
    </xf>
    <xf numFmtId="173" fontId="3" fillId="0" borderId="0" xfId="1" applyNumberFormat="1" applyFont="1" applyAlignment="1">
      <alignment horizontal="center"/>
    </xf>
    <xf numFmtId="173" fontId="2" fillId="0" borderId="1" xfId="1" applyNumberFormat="1" applyFont="1" applyBorder="1" applyAlignment="1">
      <alignment horizontal="center"/>
    </xf>
  </cellXfs>
  <cellStyles count="3">
    <cellStyle name="Komma" xfId="1" builtinId="3"/>
    <cellStyle name="Prozent" xfId="2" builtinId="5"/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9525</xdr:colOff>
      <xdr:row>40</xdr:row>
      <xdr:rowOff>76200</xdr:rowOff>
    </xdr:from>
    <xdr:to>
      <xdr:col>3</xdr:col>
      <xdr:colOff>123825</xdr:colOff>
      <xdr:row>41</xdr:row>
      <xdr:rowOff>76200</xdr:rowOff>
    </xdr:to>
    <xdr:sp macro="" textlink="">
      <xdr:nvSpPr>
        <xdr:cNvPr id="1025" name="Line 1">
          <a:extLst>
            <a:ext uri="{FF2B5EF4-FFF2-40B4-BE49-F238E27FC236}">
              <a16:creationId xmlns:a16="http://schemas.microsoft.com/office/drawing/2014/main" id="{A73445FE-FB2E-68A8-0DD2-65A17AD01285}"/>
            </a:ext>
          </a:extLst>
        </xdr:cNvPr>
        <xdr:cNvSpPr>
          <a:spLocks noChangeShapeType="1"/>
        </xdr:cNvSpPr>
      </xdr:nvSpPr>
      <xdr:spPr bwMode="auto">
        <a:xfrm>
          <a:off x="3057525" y="6505575"/>
          <a:ext cx="742950" cy="161925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3</xdr:col>
      <xdr:colOff>695325</xdr:colOff>
      <xdr:row>41</xdr:row>
      <xdr:rowOff>76200</xdr:rowOff>
    </xdr:from>
    <xdr:to>
      <xdr:col>5</xdr:col>
      <xdr:colOff>104775</xdr:colOff>
      <xdr:row>41</xdr:row>
      <xdr:rowOff>76200</xdr:rowOff>
    </xdr:to>
    <xdr:sp macro="" textlink="">
      <xdr:nvSpPr>
        <xdr:cNvPr id="1026" name="Line 2">
          <a:extLst>
            <a:ext uri="{FF2B5EF4-FFF2-40B4-BE49-F238E27FC236}">
              <a16:creationId xmlns:a16="http://schemas.microsoft.com/office/drawing/2014/main" id="{32BB5C90-56FE-4AF5-6A8C-82413C1FE26F}"/>
            </a:ext>
          </a:extLst>
        </xdr:cNvPr>
        <xdr:cNvSpPr>
          <a:spLocks noChangeShapeType="1"/>
        </xdr:cNvSpPr>
      </xdr:nvSpPr>
      <xdr:spPr bwMode="auto">
        <a:xfrm>
          <a:off x="4267200" y="6667500"/>
          <a:ext cx="733425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685800</xdr:colOff>
      <xdr:row>42</xdr:row>
      <xdr:rowOff>76200</xdr:rowOff>
    </xdr:from>
    <xdr:to>
      <xdr:col>3</xdr:col>
      <xdr:colOff>171450</xdr:colOff>
      <xdr:row>43</xdr:row>
      <xdr:rowOff>76200</xdr:rowOff>
    </xdr:to>
    <xdr:sp macro="" textlink="">
      <xdr:nvSpPr>
        <xdr:cNvPr id="1027" name="Line 3">
          <a:extLst>
            <a:ext uri="{FF2B5EF4-FFF2-40B4-BE49-F238E27FC236}">
              <a16:creationId xmlns:a16="http://schemas.microsoft.com/office/drawing/2014/main" id="{0F2ADD5F-9F89-85DB-E035-F0F351CA64C8}"/>
            </a:ext>
          </a:extLst>
        </xdr:cNvPr>
        <xdr:cNvSpPr>
          <a:spLocks noChangeShapeType="1"/>
        </xdr:cNvSpPr>
      </xdr:nvSpPr>
      <xdr:spPr bwMode="auto">
        <a:xfrm>
          <a:off x="3048000" y="6829425"/>
          <a:ext cx="800100" cy="161925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3</xdr:col>
      <xdr:colOff>695325</xdr:colOff>
      <xdr:row>43</xdr:row>
      <xdr:rowOff>85725</xdr:rowOff>
    </xdr:from>
    <xdr:to>
      <xdr:col>5</xdr:col>
      <xdr:colOff>28575</xdr:colOff>
      <xdr:row>43</xdr:row>
      <xdr:rowOff>85725</xdr:rowOff>
    </xdr:to>
    <xdr:sp macro="" textlink="">
      <xdr:nvSpPr>
        <xdr:cNvPr id="1028" name="Line 4">
          <a:extLst>
            <a:ext uri="{FF2B5EF4-FFF2-40B4-BE49-F238E27FC236}">
              <a16:creationId xmlns:a16="http://schemas.microsoft.com/office/drawing/2014/main" id="{26ECC887-3AEE-5AFF-AE23-547BFFA17A2F}"/>
            </a:ext>
          </a:extLst>
        </xdr:cNvPr>
        <xdr:cNvSpPr>
          <a:spLocks noChangeShapeType="1"/>
        </xdr:cNvSpPr>
      </xdr:nvSpPr>
      <xdr:spPr bwMode="auto">
        <a:xfrm>
          <a:off x="4267200" y="7000875"/>
          <a:ext cx="657225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781050</xdr:colOff>
      <xdr:row>36</xdr:row>
      <xdr:rowOff>76200</xdr:rowOff>
    </xdr:from>
    <xdr:to>
      <xdr:col>4</xdr:col>
      <xdr:colOff>104775</xdr:colOff>
      <xdr:row>37</xdr:row>
      <xdr:rowOff>76200</xdr:rowOff>
    </xdr:to>
    <xdr:sp macro="" textlink="">
      <xdr:nvSpPr>
        <xdr:cNvPr id="1029" name="Line 5">
          <a:extLst>
            <a:ext uri="{FF2B5EF4-FFF2-40B4-BE49-F238E27FC236}">
              <a16:creationId xmlns:a16="http://schemas.microsoft.com/office/drawing/2014/main" id="{345528BE-2B27-03C4-8026-D76AB9D1CCF3}"/>
            </a:ext>
          </a:extLst>
        </xdr:cNvPr>
        <xdr:cNvSpPr>
          <a:spLocks noChangeShapeType="1"/>
        </xdr:cNvSpPr>
      </xdr:nvSpPr>
      <xdr:spPr bwMode="auto">
        <a:xfrm>
          <a:off x="3676650" y="5857875"/>
          <a:ext cx="695325" cy="161925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4</xdr:col>
      <xdr:colOff>704850</xdr:colOff>
      <xdr:row>37</xdr:row>
      <xdr:rowOff>85725</xdr:rowOff>
    </xdr:from>
    <xdr:to>
      <xdr:col>5</xdr:col>
      <xdr:colOff>76200</xdr:colOff>
      <xdr:row>37</xdr:row>
      <xdr:rowOff>95250</xdr:rowOff>
    </xdr:to>
    <xdr:sp macro="" textlink="">
      <xdr:nvSpPr>
        <xdr:cNvPr id="1030" name="Line 6">
          <a:extLst>
            <a:ext uri="{FF2B5EF4-FFF2-40B4-BE49-F238E27FC236}">
              <a16:creationId xmlns:a16="http://schemas.microsoft.com/office/drawing/2014/main" id="{B4B42A73-66D6-4D62-FEDD-A178D4C553F6}"/>
            </a:ext>
          </a:extLst>
        </xdr:cNvPr>
        <xdr:cNvSpPr>
          <a:spLocks noChangeShapeType="1"/>
        </xdr:cNvSpPr>
      </xdr:nvSpPr>
      <xdr:spPr bwMode="auto">
        <a:xfrm flipV="1">
          <a:off x="4895850" y="6029325"/>
          <a:ext cx="76200" cy="9525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619125</xdr:colOff>
      <xdr:row>29</xdr:row>
      <xdr:rowOff>85725</xdr:rowOff>
    </xdr:from>
    <xdr:to>
      <xdr:col>4</xdr:col>
      <xdr:colOff>0</xdr:colOff>
      <xdr:row>32</xdr:row>
      <xdr:rowOff>57150</xdr:rowOff>
    </xdr:to>
    <xdr:sp macro="" textlink="">
      <xdr:nvSpPr>
        <xdr:cNvPr id="1031" name="Line 7">
          <a:extLst>
            <a:ext uri="{FF2B5EF4-FFF2-40B4-BE49-F238E27FC236}">
              <a16:creationId xmlns:a16="http://schemas.microsoft.com/office/drawing/2014/main" id="{75711064-558C-D27C-41E5-7C4F256FA2B7}"/>
            </a:ext>
          </a:extLst>
        </xdr:cNvPr>
        <xdr:cNvSpPr>
          <a:spLocks noChangeShapeType="1"/>
        </xdr:cNvSpPr>
      </xdr:nvSpPr>
      <xdr:spPr bwMode="auto">
        <a:xfrm flipV="1">
          <a:off x="3667125" y="4705350"/>
          <a:ext cx="600075" cy="45720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 type="triangle" w="med" len="med"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9525</xdr:colOff>
      <xdr:row>40</xdr:row>
      <xdr:rowOff>76200</xdr:rowOff>
    </xdr:from>
    <xdr:to>
      <xdr:col>3</xdr:col>
      <xdr:colOff>123825</xdr:colOff>
      <xdr:row>41</xdr:row>
      <xdr:rowOff>76200</xdr:rowOff>
    </xdr:to>
    <xdr:sp macro="" textlink="">
      <xdr:nvSpPr>
        <xdr:cNvPr id="2049" name="Line 1">
          <a:extLst>
            <a:ext uri="{FF2B5EF4-FFF2-40B4-BE49-F238E27FC236}">
              <a16:creationId xmlns:a16="http://schemas.microsoft.com/office/drawing/2014/main" id="{A807909A-9601-495B-A1EC-E19752624B76}"/>
            </a:ext>
          </a:extLst>
        </xdr:cNvPr>
        <xdr:cNvSpPr>
          <a:spLocks noChangeShapeType="1"/>
        </xdr:cNvSpPr>
      </xdr:nvSpPr>
      <xdr:spPr bwMode="auto">
        <a:xfrm>
          <a:off x="4876800" y="6505575"/>
          <a:ext cx="2190750" cy="161925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3</xdr:col>
      <xdr:colOff>695325</xdr:colOff>
      <xdr:row>41</xdr:row>
      <xdr:rowOff>76200</xdr:rowOff>
    </xdr:from>
    <xdr:to>
      <xdr:col>5</xdr:col>
      <xdr:colOff>104775</xdr:colOff>
      <xdr:row>41</xdr:row>
      <xdr:rowOff>76200</xdr:rowOff>
    </xdr:to>
    <xdr:sp macro="" textlink="">
      <xdr:nvSpPr>
        <xdr:cNvPr id="2050" name="Line 2">
          <a:extLst>
            <a:ext uri="{FF2B5EF4-FFF2-40B4-BE49-F238E27FC236}">
              <a16:creationId xmlns:a16="http://schemas.microsoft.com/office/drawing/2014/main" id="{52245FC3-B833-D544-2738-4F536AAA9FA2}"/>
            </a:ext>
          </a:extLst>
        </xdr:cNvPr>
        <xdr:cNvSpPr>
          <a:spLocks noChangeShapeType="1"/>
        </xdr:cNvSpPr>
      </xdr:nvSpPr>
      <xdr:spPr bwMode="auto">
        <a:xfrm>
          <a:off x="8210550" y="6667500"/>
          <a:ext cx="274320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685800</xdr:colOff>
      <xdr:row>42</xdr:row>
      <xdr:rowOff>76200</xdr:rowOff>
    </xdr:from>
    <xdr:to>
      <xdr:col>3</xdr:col>
      <xdr:colOff>171450</xdr:colOff>
      <xdr:row>43</xdr:row>
      <xdr:rowOff>76200</xdr:rowOff>
    </xdr:to>
    <xdr:sp macro="" textlink="">
      <xdr:nvSpPr>
        <xdr:cNvPr id="2051" name="Line 3">
          <a:extLst>
            <a:ext uri="{FF2B5EF4-FFF2-40B4-BE49-F238E27FC236}">
              <a16:creationId xmlns:a16="http://schemas.microsoft.com/office/drawing/2014/main" id="{97904CB1-9B6A-A202-AF99-BBA8EC12290C}"/>
            </a:ext>
          </a:extLst>
        </xdr:cNvPr>
        <xdr:cNvSpPr>
          <a:spLocks noChangeShapeType="1"/>
        </xdr:cNvSpPr>
      </xdr:nvSpPr>
      <xdr:spPr bwMode="auto">
        <a:xfrm>
          <a:off x="4191000" y="6829425"/>
          <a:ext cx="2971800" cy="161925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3</xdr:col>
      <xdr:colOff>695325</xdr:colOff>
      <xdr:row>43</xdr:row>
      <xdr:rowOff>85725</xdr:rowOff>
    </xdr:from>
    <xdr:to>
      <xdr:col>5</xdr:col>
      <xdr:colOff>28575</xdr:colOff>
      <xdr:row>43</xdr:row>
      <xdr:rowOff>85725</xdr:rowOff>
    </xdr:to>
    <xdr:sp macro="" textlink="">
      <xdr:nvSpPr>
        <xdr:cNvPr id="2052" name="Line 4">
          <a:extLst>
            <a:ext uri="{FF2B5EF4-FFF2-40B4-BE49-F238E27FC236}">
              <a16:creationId xmlns:a16="http://schemas.microsoft.com/office/drawing/2014/main" id="{0C80B1A4-EE60-A114-8089-75B5B6750359}"/>
            </a:ext>
          </a:extLst>
        </xdr:cNvPr>
        <xdr:cNvSpPr>
          <a:spLocks noChangeShapeType="1"/>
        </xdr:cNvSpPr>
      </xdr:nvSpPr>
      <xdr:spPr bwMode="auto">
        <a:xfrm>
          <a:off x="8210550" y="7000875"/>
          <a:ext cx="259080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781050</xdr:colOff>
      <xdr:row>36</xdr:row>
      <xdr:rowOff>76200</xdr:rowOff>
    </xdr:from>
    <xdr:to>
      <xdr:col>4</xdr:col>
      <xdr:colOff>104775</xdr:colOff>
      <xdr:row>37</xdr:row>
      <xdr:rowOff>76200</xdr:rowOff>
    </xdr:to>
    <xdr:sp macro="" textlink="">
      <xdr:nvSpPr>
        <xdr:cNvPr id="2053" name="Line 5">
          <a:extLst>
            <a:ext uri="{FF2B5EF4-FFF2-40B4-BE49-F238E27FC236}">
              <a16:creationId xmlns:a16="http://schemas.microsoft.com/office/drawing/2014/main" id="{433189EA-141D-2F5F-0CCB-5A55DF3C1768}"/>
            </a:ext>
          </a:extLst>
        </xdr:cNvPr>
        <xdr:cNvSpPr>
          <a:spLocks noChangeShapeType="1"/>
        </xdr:cNvSpPr>
      </xdr:nvSpPr>
      <xdr:spPr bwMode="auto">
        <a:xfrm>
          <a:off x="6419850" y="5857875"/>
          <a:ext cx="2647950" cy="161925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4</xdr:col>
      <xdr:colOff>704850</xdr:colOff>
      <xdr:row>37</xdr:row>
      <xdr:rowOff>85725</xdr:rowOff>
    </xdr:from>
    <xdr:to>
      <xdr:col>5</xdr:col>
      <xdr:colOff>76200</xdr:colOff>
      <xdr:row>37</xdr:row>
      <xdr:rowOff>95250</xdr:rowOff>
    </xdr:to>
    <xdr:sp macro="" textlink="">
      <xdr:nvSpPr>
        <xdr:cNvPr id="2054" name="Line 6">
          <a:extLst>
            <a:ext uri="{FF2B5EF4-FFF2-40B4-BE49-F238E27FC236}">
              <a16:creationId xmlns:a16="http://schemas.microsoft.com/office/drawing/2014/main" id="{67FF56A7-B191-BEE1-93C8-720A3DF3911F}"/>
            </a:ext>
          </a:extLst>
        </xdr:cNvPr>
        <xdr:cNvSpPr>
          <a:spLocks noChangeShapeType="1"/>
        </xdr:cNvSpPr>
      </xdr:nvSpPr>
      <xdr:spPr bwMode="auto">
        <a:xfrm flipV="1">
          <a:off x="10267950" y="6029325"/>
          <a:ext cx="628650" cy="9525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952500</xdr:colOff>
      <xdr:row>29</xdr:row>
      <xdr:rowOff>114300</xdr:rowOff>
    </xdr:from>
    <xdr:to>
      <xdr:col>4</xdr:col>
      <xdr:colOff>9525</xdr:colOff>
      <xdr:row>32</xdr:row>
      <xdr:rowOff>76200</xdr:rowOff>
    </xdr:to>
    <xdr:sp macro="" textlink="">
      <xdr:nvSpPr>
        <xdr:cNvPr id="2055" name="Line 7">
          <a:extLst>
            <a:ext uri="{FF2B5EF4-FFF2-40B4-BE49-F238E27FC236}">
              <a16:creationId xmlns:a16="http://schemas.microsoft.com/office/drawing/2014/main" id="{0D70A341-CE8A-EC80-566D-C2C452937430}"/>
            </a:ext>
          </a:extLst>
        </xdr:cNvPr>
        <xdr:cNvSpPr>
          <a:spLocks noChangeShapeType="1"/>
        </xdr:cNvSpPr>
      </xdr:nvSpPr>
      <xdr:spPr bwMode="auto">
        <a:xfrm flipV="1">
          <a:off x="6762750" y="4733925"/>
          <a:ext cx="2114550" cy="447675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 type="triangle" w="med" len="med"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04DBC9-29B6-4CFE-BFA8-FFD6C534E952}">
  <dimension ref="A1:G59"/>
  <sheetViews>
    <sheetView tabSelected="1" zoomScale="140" workbookViewId="0">
      <selection sqref="A1:B1"/>
    </sheetView>
  </sheetViews>
  <sheetFormatPr baseColWidth="10" defaultRowHeight="12.75" x14ac:dyDescent="0.2"/>
  <cols>
    <col min="1" max="1" width="36.28515625" style="8" customWidth="1"/>
    <col min="2" max="3" width="9.42578125" style="8" bestFit="1" customWidth="1"/>
    <col min="4" max="4" width="8.85546875" style="8" customWidth="1"/>
    <col min="5" max="5" width="9.42578125" style="8" bestFit="1" customWidth="1"/>
    <col min="6" max="6" width="10.7109375" bestFit="1" customWidth="1"/>
    <col min="7" max="7" width="11.28515625" bestFit="1" customWidth="1"/>
    <col min="8" max="256" width="9.140625" customWidth="1"/>
  </cols>
  <sheetData>
    <row r="1" spans="1:5" x14ac:dyDescent="0.2">
      <c r="A1" s="12" t="s">
        <v>0</v>
      </c>
      <c r="B1" s="12"/>
      <c r="C1" s="1"/>
      <c r="D1" s="1"/>
      <c r="E1" s="1"/>
    </row>
    <row r="2" spans="1:5" x14ac:dyDescent="0.2">
      <c r="A2" s="1" t="s">
        <v>1</v>
      </c>
      <c r="B2" s="1">
        <v>184000</v>
      </c>
      <c r="C2" s="1"/>
      <c r="D2" s="1"/>
      <c r="E2" s="1"/>
    </row>
    <row r="3" spans="1:5" x14ac:dyDescent="0.2">
      <c r="A3" s="1" t="s">
        <v>2</v>
      </c>
      <c r="B3" s="2">
        <v>0.02</v>
      </c>
      <c r="C3" s="1"/>
      <c r="D3" s="1"/>
      <c r="E3" s="1"/>
    </row>
    <row r="4" spans="1:5" x14ac:dyDescent="0.2">
      <c r="A4" s="1" t="s">
        <v>3</v>
      </c>
      <c r="B4" s="1">
        <v>50000</v>
      </c>
      <c r="C4" s="1"/>
      <c r="D4" s="1"/>
      <c r="E4" s="1"/>
    </row>
    <row r="5" spans="1:5" x14ac:dyDescent="0.2">
      <c r="A5" s="1" t="s">
        <v>4</v>
      </c>
      <c r="B5" s="2">
        <v>0.2</v>
      </c>
      <c r="C5" s="1"/>
      <c r="D5" s="1"/>
      <c r="E5" s="1"/>
    </row>
    <row r="6" spans="1:5" x14ac:dyDescent="0.2">
      <c r="A6" s="1" t="s">
        <v>5</v>
      </c>
      <c r="B6" s="2">
        <v>0.6</v>
      </c>
      <c r="C6" s="1"/>
      <c r="D6" s="1"/>
      <c r="E6" s="1"/>
    </row>
    <row r="7" spans="1:5" x14ac:dyDescent="0.2">
      <c r="A7" s="1" t="s">
        <v>35</v>
      </c>
      <c r="B7" s="1">
        <v>80000</v>
      </c>
      <c r="C7" s="1"/>
      <c r="D7" s="1"/>
      <c r="E7" s="1"/>
    </row>
    <row r="8" spans="1:5" x14ac:dyDescent="0.2">
      <c r="A8" s="1" t="s">
        <v>36</v>
      </c>
      <c r="B8" s="1">
        <v>198000</v>
      </c>
      <c r="C8" s="1"/>
      <c r="D8" s="1"/>
      <c r="E8" s="1"/>
    </row>
    <row r="9" spans="1:5" x14ac:dyDescent="0.2">
      <c r="A9" s="1" t="s">
        <v>37</v>
      </c>
      <c r="B9" s="1">
        <v>15000</v>
      </c>
      <c r="C9" s="1"/>
      <c r="D9" s="1"/>
      <c r="E9" s="1"/>
    </row>
    <row r="10" spans="1:5" x14ac:dyDescent="0.2">
      <c r="A10" s="1" t="s">
        <v>38</v>
      </c>
      <c r="B10" s="2">
        <v>0.06</v>
      </c>
      <c r="C10" s="1"/>
      <c r="D10" s="1"/>
      <c r="E10" s="1"/>
    </row>
    <row r="11" spans="1:5" x14ac:dyDescent="0.2">
      <c r="A11" s="1" t="s">
        <v>39</v>
      </c>
      <c r="B11" s="1">
        <v>14000</v>
      </c>
      <c r="C11" s="1"/>
      <c r="D11" s="1"/>
      <c r="E11" s="1"/>
    </row>
    <row r="12" spans="1:5" x14ac:dyDescent="0.2">
      <c r="A12" s="1" t="s">
        <v>40</v>
      </c>
      <c r="B12" s="1">
        <v>3000</v>
      </c>
      <c r="C12" s="1"/>
      <c r="D12" s="1"/>
      <c r="E12" s="1"/>
    </row>
    <row r="13" spans="1:5" x14ac:dyDescent="0.2">
      <c r="A13" s="1" t="s">
        <v>41</v>
      </c>
      <c r="B13" s="1">
        <v>1000</v>
      </c>
      <c r="C13" s="1"/>
      <c r="D13" s="1"/>
      <c r="E13" s="1"/>
    </row>
    <row r="14" spans="1:5" x14ac:dyDescent="0.2">
      <c r="A14" s="1" t="s">
        <v>42</v>
      </c>
      <c r="B14" s="2">
        <v>0.3</v>
      </c>
      <c r="C14" s="1"/>
      <c r="D14" s="1"/>
      <c r="E14" s="1"/>
    </row>
    <row r="15" spans="1:5" x14ac:dyDescent="0.2">
      <c r="A15" s="1"/>
      <c r="B15" s="2"/>
      <c r="C15" s="1"/>
      <c r="D15" s="1"/>
      <c r="E15" s="1"/>
    </row>
    <row r="16" spans="1:5" ht="13.5" thickBot="1" x14ac:dyDescent="0.25">
      <c r="A16" s="3"/>
      <c r="B16" s="14" t="s">
        <v>6</v>
      </c>
      <c r="C16" s="14"/>
      <c r="D16" s="14" t="s">
        <v>7</v>
      </c>
      <c r="E16" s="14"/>
    </row>
    <row r="17" spans="1:7" x14ac:dyDescent="0.2">
      <c r="A17" s="1" t="s">
        <v>8</v>
      </c>
      <c r="B17" s="1"/>
      <c r="C17" s="1">
        <f>ROUND(+B2*(1+B3),-3)</f>
        <v>188000</v>
      </c>
      <c r="D17" s="1"/>
      <c r="E17" s="1">
        <f>ROUND(+C17*(1+B3),-3)</f>
        <v>192000</v>
      </c>
      <c r="F17" s="4"/>
      <c r="G17" s="4"/>
    </row>
    <row r="18" spans="1:7" x14ac:dyDescent="0.2">
      <c r="A18" s="1" t="s">
        <v>9</v>
      </c>
      <c r="B18" s="1"/>
      <c r="C18" s="5">
        <f>+C34</f>
        <v>105000</v>
      </c>
      <c r="D18" s="1"/>
      <c r="E18" s="5">
        <f>+E34</f>
        <v>113000</v>
      </c>
    </row>
    <row r="19" spans="1:7" x14ac:dyDescent="0.2">
      <c r="A19" s="1" t="s">
        <v>10</v>
      </c>
      <c r="B19" s="1"/>
      <c r="C19" s="1">
        <f>+C17-C18</f>
        <v>83000</v>
      </c>
      <c r="D19" s="1"/>
      <c r="E19" s="1">
        <f>+E17-E18</f>
        <v>79000</v>
      </c>
    </row>
    <row r="20" spans="1:7" x14ac:dyDescent="0.2">
      <c r="A20" s="1" t="s">
        <v>11</v>
      </c>
      <c r="B20" s="1"/>
      <c r="C20" s="1"/>
      <c r="D20" s="1"/>
      <c r="E20" s="1"/>
    </row>
    <row r="21" spans="1:7" x14ac:dyDescent="0.2">
      <c r="A21" s="1" t="s">
        <v>12</v>
      </c>
      <c r="B21" s="1">
        <f>ROUND($B$9+($B$10*C17),-3)</f>
        <v>26000</v>
      </c>
      <c r="C21" s="1"/>
      <c r="D21" s="1">
        <f>ROUND($B$9+($B$10*E17),-3)</f>
        <v>27000</v>
      </c>
      <c r="E21" s="1"/>
    </row>
    <row r="22" spans="1:7" x14ac:dyDescent="0.2">
      <c r="A22" s="1" t="s">
        <v>13</v>
      </c>
      <c r="B22" s="1">
        <f>+$B$11</f>
        <v>14000</v>
      </c>
      <c r="C22" s="1"/>
      <c r="D22" s="1">
        <f>+$B$11</f>
        <v>14000</v>
      </c>
      <c r="E22" s="1"/>
    </row>
    <row r="23" spans="1:7" x14ac:dyDescent="0.2">
      <c r="A23" s="1" t="s">
        <v>14</v>
      </c>
      <c r="B23" s="1">
        <f>+$B$12</f>
        <v>3000</v>
      </c>
      <c r="C23" s="1"/>
      <c r="D23" s="1">
        <f>+$B$12</f>
        <v>3000</v>
      </c>
      <c r="E23" s="1"/>
    </row>
    <row r="24" spans="1:7" x14ac:dyDescent="0.2">
      <c r="A24" s="1" t="s">
        <v>15</v>
      </c>
      <c r="B24" s="5">
        <f>+$B$13</f>
        <v>1000</v>
      </c>
      <c r="C24" s="5">
        <f>SUM(B21:B24)</f>
        <v>44000</v>
      </c>
      <c r="D24" s="5">
        <f>+$B$13</f>
        <v>1000</v>
      </c>
      <c r="E24" s="5">
        <f>SUM(D21:D24)</f>
        <v>45000</v>
      </c>
    </row>
    <row r="25" spans="1:7" x14ac:dyDescent="0.2">
      <c r="A25" s="1" t="s">
        <v>16</v>
      </c>
      <c r="B25" s="1"/>
      <c r="C25" s="1">
        <f>+C19-C24</f>
        <v>39000</v>
      </c>
      <c r="D25" s="1"/>
      <c r="E25" s="1">
        <f>+E19-E24</f>
        <v>34000</v>
      </c>
    </row>
    <row r="26" spans="1:7" x14ac:dyDescent="0.2">
      <c r="A26" s="1" t="s">
        <v>17</v>
      </c>
      <c r="B26" s="1"/>
      <c r="C26" s="1">
        <f>ROUND(C25*$B$14,-3)</f>
        <v>12000</v>
      </c>
      <c r="D26" s="1"/>
      <c r="E26" s="1">
        <f>ROUND(E25*$B$14,-3)</f>
        <v>10000</v>
      </c>
    </row>
    <row r="27" spans="1:7" ht="13.5" thickBot="1" x14ac:dyDescent="0.25">
      <c r="A27" s="1" t="s">
        <v>18</v>
      </c>
      <c r="B27" s="1"/>
      <c r="C27" s="6">
        <f>+C25-C26</f>
        <v>27000</v>
      </c>
      <c r="D27" s="1"/>
      <c r="E27" s="6">
        <f>+E25-E26</f>
        <v>24000</v>
      </c>
    </row>
    <row r="28" spans="1:7" ht="5.25" customHeight="1" thickTop="1" x14ac:dyDescent="0.2">
      <c r="A28" s="1"/>
      <c r="B28" s="1"/>
      <c r="C28" s="11"/>
      <c r="D28" s="1"/>
      <c r="E28" s="11"/>
    </row>
    <row r="29" spans="1:7" x14ac:dyDescent="0.2">
      <c r="A29" s="1" t="s">
        <v>43</v>
      </c>
      <c r="B29" s="1"/>
      <c r="C29" s="1"/>
      <c r="D29" s="1"/>
      <c r="E29" s="1"/>
    </row>
    <row r="30" spans="1:7" x14ac:dyDescent="0.2">
      <c r="A30" s="1" t="s">
        <v>20</v>
      </c>
      <c r="B30" s="1"/>
      <c r="C30" s="1">
        <f>+B7</f>
        <v>80000</v>
      </c>
      <c r="D30" s="1"/>
      <c r="E30" s="1">
        <f>+C33</f>
        <v>88000</v>
      </c>
    </row>
    <row r="31" spans="1:7" x14ac:dyDescent="0.2">
      <c r="A31" s="1" t="s">
        <v>21</v>
      </c>
      <c r="B31" s="1"/>
      <c r="C31" s="5">
        <f>ROUND(+C17*$B$6,-3)</f>
        <v>113000</v>
      </c>
      <c r="D31" s="1"/>
      <c r="E31" s="5">
        <f>ROUND(+E17*$B$6,-3)</f>
        <v>115000</v>
      </c>
    </row>
    <row r="32" spans="1:7" x14ac:dyDescent="0.2">
      <c r="A32" s="1" t="s">
        <v>44</v>
      </c>
      <c r="B32" s="1"/>
      <c r="C32" s="1">
        <f>SUM(C30:C31)</f>
        <v>193000</v>
      </c>
      <c r="D32" s="1"/>
      <c r="E32" s="1">
        <f>SUM(E30:E31)</f>
        <v>203000</v>
      </c>
    </row>
    <row r="33" spans="1:6" x14ac:dyDescent="0.2">
      <c r="A33" s="7" t="s">
        <v>23</v>
      </c>
      <c r="B33" s="1"/>
      <c r="C33" s="1">
        <f>ROUND($B$4+($B$5*E17),-3)</f>
        <v>88000</v>
      </c>
      <c r="D33" s="1"/>
      <c r="E33" s="1">
        <f>ROUND($B$4+($B$5*B8),-3)</f>
        <v>90000</v>
      </c>
    </row>
    <row r="34" spans="1:6" ht="13.5" thickBot="1" x14ac:dyDescent="0.25">
      <c r="A34" s="1" t="s">
        <v>9</v>
      </c>
      <c r="B34" s="1"/>
      <c r="C34" s="6">
        <f>+C32-C33</f>
        <v>105000</v>
      </c>
      <c r="D34" s="1"/>
      <c r="E34" s="6">
        <f>+E32-E33</f>
        <v>113000</v>
      </c>
    </row>
    <row r="35" spans="1:6" ht="13.5" thickTop="1" x14ac:dyDescent="0.2"/>
    <row r="36" spans="1:6" ht="13.5" thickBot="1" x14ac:dyDescent="0.25">
      <c r="A36" s="9"/>
      <c r="B36" s="14" t="str">
        <f>+B16</f>
        <v>August</v>
      </c>
      <c r="C36" s="14"/>
      <c r="D36" s="14" t="str">
        <f>+D16</f>
        <v>September</v>
      </c>
      <c r="E36" s="14"/>
    </row>
    <row r="37" spans="1:6" x14ac:dyDescent="0.2">
      <c r="A37" s="1" t="s">
        <v>24</v>
      </c>
      <c r="B37" s="1"/>
      <c r="C37" s="1"/>
      <c r="D37" s="1"/>
      <c r="E37" s="1"/>
    </row>
    <row r="38" spans="1:6" x14ac:dyDescent="0.2">
      <c r="A38" s="1" t="s">
        <v>25</v>
      </c>
      <c r="B38" s="1"/>
      <c r="C38" s="5"/>
      <c r="D38" s="1"/>
      <c r="E38" s="5"/>
      <c r="F38" s="10">
        <f>+E38+C37</f>
        <v>0</v>
      </c>
    </row>
    <row r="39" spans="1:6" x14ac:dyDescent="0.2">
      <c r="A39" s="1"/>
      <c r="B39" s="1"/>
      <c r="C39" s="1"/>
      <c r="D39" s="1"/>
      <c r="E39" s="1"/>
    </row>
    <row r="40" spans="1:6" x14ac:dyDescent="0.2">
      <c r="A40" s="1" t="s">
        <v>26</v>
      </c>
      <c r="B40" s="1"/>
      <c r="C40" s="1"/>
      <c r="D40" s="1"/>
      <c r="E40" s="1"/>
    </row>
    <row r="41" spans="1:6" x14ac:dyDescent="0.2">
      <c r="A41" s="1" t="s">
        <v>27</v>
      </c>
      <c r="B41" s="1"/>
      <c r="C41" s="1"/>
      <c r="D41" s="1"/>
      <c r="E41" s="1"/>
    </row>
    <row r="42" spans="1:6" x14ac:dyDescent="0.2">
      <c r="A42" s="1" t="s">
        <v>28</v>
      </c>
      <c r="B42" s="1"/>
      <c r="C42" s="1"/>
      <c r="D42" s="1"/>
      <c r="E42" s="1"/>
      <c r="F42" s="10">
        <f>+D42+B41</f>
        <v>0</v>
      </c>
    </row>
    <row r="43" spans="1:6" x14ac:dyDescent="0.2">
      <c r="A43" s="1" t="s">
        <v>29</v>
      </c>
      <c r="B43" s="1"/>
      <c r="C43" s="1"/>
      <c r="D43" s="1"/>
      <c r="E43" s="1"/>
    </row>
    <row r="44" spans="1:6" x14ac:dyDescent="0.2">
      <c r="A44" s="1" t="s">
        <v>30</v>
      </c>
      <c r="B44" s="1"/>
      <c r="C44" s="1"/>
      <c r="D44" s="1"/>
      <c r="E44" s="1"/>
      <c r="F44" s="10">
        <f>+D44+B43</f>
        <v>0</v>
      </c>
    </row>
    <row r="45" spans="1:6" x14ac:dyDescent="0.2">
      <c r="A45" s="1" t="s">
        <v>31</v>
      </c>
      <c r="B45" s="1"/>
      <c r="C45" s="1"/>
      <c r="D45" s="1"/>
      <c r="E45" s="1"/>
    </row>
    <row r="46" spans="1:6" x14ac:dyDescent="0.2">
      <c r="A46" s="1" t="s">
        <v>32</v>
      </c>
      <c r="B46" s="5"/>
      <c r="C46" s="1"/>
      <c r="D46" s="5"/>
      <c r="E46" s="1"/>
    </row>
    <row r="47" spans="1:6" x14ac:dyDescent="0.2">
      <c r="A47" s="1"/>
      <c r="B47" s="1"/>
      <c r="C47" s="5"/>
      <c r="D47" s="1"/>
      <c r="E47" s="5"/>
    </row>
    <row r="48" spans="1:6" ht="13.5" thickBot="1" x14ac:dyDescent="0.25">
      <c r="A48" s="1" t="s">
        <v>33</v>
      </c>
      <c r="B48" s="1"/>
      <c r="C48" s="6"/>
      <c r="D48" s="1"/>
      <c r="E48" s="6"/>
    </row>
    <row r="49" spans="1:3" ht="13.5" thickTop="1" x14ac:dyDescent="0.2"/>
    <row r="52" spans="1:3" x14ac:dyDescent="0.2">
      <c r="A52" s="13" t="s">
        <v>34</v>
      </c>
      <c r="B52" s="13"/>
      <c r="C52" s="13"/>
    </row>
    <row r="53" spans="1:3" x14ac:dyDescent="0.2">
      <c r="A53" s="1" t="s">
        <v>19</v>
      </c>
      <c r="B53" s="1"/>
      <c r="C53" s="1"/>
    </row>
    <row r="54" spans="1:3" x14ac:dyDescent="0.2">
      <c r="A54" s="1" t="s">
        <v>20</v>
      </c>
      <c r="B54" s="1"/>
      <c r="C54" s="1"/>
    </row>
    <row r="55" spans="1:3" x14ac:dyDescent="0.2">
      <c r="A55" s="1" t="s">
        <v>21</v>
      </c>
      <c r="B55" s="1"/>
      <c r="C55" s="5"/>
    </row>
    <row r="56" spans="1:3" x14ac:dyDescent="0.2">
      <c r="A56" s="1" t="s">
        <v>22</v>
      </c>
      <c r="B56" s="1"/>
      <c r="C56" s="1"/>
    </row>
    <row r="57" spans="1:3" x14ac:dyDescent="0.2">
      <c r="A57" s="7" t="s">
        <v>23</v>
      </c>
      <c r="B57" s="1"/>
      <c r="C57" s="1"/>
    </row>
    <row r="58" spans="1:3" ht="13.5" thickBot="1" x14ac:dyDescent="0.25">
      <c r="A58" s="1" t="s">
        <v>9</v>
      </c>
      <c r="B58" s="1"/>
      <c r="C58" s="6"/>
    </row>
    <row r="59" spans="1:3" ht="13.5" thickTop="1" x14ac:dyDescent="0.2"/>
  </sheetData>
  <mergeCells count="6">
    <mergeCell ref="A1:B1"/>
    <mergeCell ref="A52:C52"/>
    <mergeCell ref="B36:C36"/>
    <mergeCell ref="D36:E36"/>
    <mergeCell ref="D16:E16"/>
    <mergeCell ref="B16:C16"/>
  </mergeCells>
  <phoneticPr fontId="0" type="noConversion"/>
  <pageMargins left="0.78740157499999996" right="0.78740157499999996" top="0.984251969" bottom="1.2" header="0.5" footer="0.5"/>
  <pageSetup orientation="landscape" r:id="rId1"/>
  <headerFooter alignWithMargins="0">
    <oddHeader>&amp;A</oddHead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42D829-981C-49D8-ACAB-7B545E95CE7F}">
  <sheetPr>
    <pageSetUpPr fitToPage="1"/>
  </sheetPr>
  <dimension ref="A1:G59"/>
  <sheetViews>
    <sheetView showFormulas="1" zoomScale="140" workbookViewId="0">
      <selection activeCell="E34" sqref="A1:E34"/>
    </sheetView>
  </sheetViews>
  <sheetFormatPr baseColWidth="10" defaultRowHeight="12.75" x14ac:dyDescent="0.2"/>
  <cols>
    <col min="1" max="1" width="21.140625" style="8" bestFit="1" customWidth="1"/>
    <col min="2" max="2" width="15.28515625" style="8" bestFit="1" customWidth="1"/>
    <col min="3" max="3" width="14.7109375" style="8" bestFit="1" customWidth="1"/>
    <col min="4" max="4" width="15.28515625" style="8" bestFit="1" customWidth="1"/>
    <col min="5" max="5" width="14.140625" style="8" bestFit="1" customWidth="1"/>
    <col min="6" max="6" width="10.7109375" bestFit="1" customWidth="1"/>
    <col min="7" max="7" width="11.28515625" bestFit="1" customWidth="1"/>
    <col min="8" max="256" width="9.140625" customWidth="1"/>
  </cols>
  <sheetData>
    <row r="1" spans="1:5" x14ac:dyDescent="0.2">
      <c r="A1" s="1" t="s">
        <v>0</v>
      </c>
      <c r="B1" s="1"/>
      <c r="C1" s="1"/>
      <c r="D1" s="1"/>
      <c r="E1" s="1"/>
    </row>
    <row r="2" spans="1:5" x14ac:dyDescent="0.2">
      <c r="A2" s="1" t="s">
        <v>1</v>
      </c>
      <c r="B2" s="1">
        <v>184000</v>
      </c>
      <c r="C2" s="1"/>
      <c r="D2" s="1"/>
      <c r="E2" s="1"/>
    </row>
    <row r="3" spans="1:5" x14ac:dyDescent="0.2">
      <c r="A3" s="1" t="s">
        <v>2</v>
      </c>
      <c r="B3" s="2">
        <v>0.02</v>
      </c>
      <c r="C3" s="1"/>
      <c r="D3" s="1"/>
      <c r="E3" s="1"/>
    </row>
    <row r="4" spans="1:5" x14ac:dyDescent="0.2">
      <c r="A4" s="1" t="s">
        <v>3</v>
      </c>
      <c r="B4" s="1">
        <v>50000</v>
      </c>
      <c r="C4" s="1"/>
      <c r="D4" s="1"/>
      <c r="E4" s="1"/>
    </row>
    <row r="5" spans="1:5" x14ac:dyDescent="0.2">
      <c r="A5" s="1" t="s">
        <v>4</v>
      </c>
      <c r="B5" s="2">
        <v>0.2</v>
      </c>
      <c r="C5" s="1"/>
      <c r="D5" s="1"/>
      <c r="E5" s="1"/>
    </row>
    <row r="6" spans="1:5" x14ac:dyDescent="0.2">
      <c r="A6" s="1" t="s">
        <v>5</v>
      </c>
      <c r="B6" s="2">
        <v>0.6</v>
      </c>
      <c r="C6" s="1"/>
      <c r="D6" s="1"/>
      <c r="E6" s="1"/>
    </row>
    <row r="7" spans="1:5" x14ac:dyDescent="0.2">
      <c r="A7" s="1" t="s">
        <v>35</v>
      </c>
      <c r="B7" s="1">
        <v>80000</v>
      </c>
      <c r="C7" s="1"/>
      <c r="D7" s="1"/>
      <c r="E7" s="1"/>
    </row>
    <row r="8" spans="1:5" x14ac:dyDescent="0.2">
      <c r="A8" s="1" t="s">
        <v>36</v>
      </c>
      <c r="B8" s="1">
        <v>198000</v>
      </c>
      <c r="C8" s="1"/>
      <c r="D8" s="1"/>
      <c r="E8" s="1"/>
    </row>
    <row r="9" spans="1:5" x14ac:dyDescent="0.2">
      <c r="A9" s="1" t="s">
        <v>37</v>
      </c>
      <c r="B9" s="1">
        <v>15000</v>
      </c>
      <c r="C9" s="1"/>
      <c r="D9" s="1"/>
      <c r="E9" s="1"/>
    </row>
    <row r="10" spans="1:5" x14ac:dyDescent="0.2">
      <c r="A10" s="1" t="s">
        <v>38</v>
      </c>
      <c r="B10" s="2">
        <v>0.06</v>
      </c>
      <c r="C10" s="1"/>
      <c r="D10" s="1"/>
      <c r="E10" s="1"/>
    </row>
    <row r="11" spans="1:5" x14ac:dyDescent="0.2">
      <c r="A11" s="1" t="s">
        <v>39</v>
      </c>
      <c r="B11" s="1">
        <v>14000</v>
      </c>
      <c r="C11" s="1"/>
      <c r="D11" s="1"/>
      <c r="E11" s="1"/>
    </row>
    <row r="12" spans="1:5" x14ac:dyDescent="0.2">
      <c r="A12" s="1" t="s">
        <v>40</v>
      </c>
      <c r="B12" s="1">
        <v>3000</v>
      </c>
      <c r="C12" s="1"/>
      <c r="D12" s="1"/>
      <c r="E12" s="1"/>
    </row>
    <row r="13" spans="1:5" x14ac:dyDescent="0.2">
      <c r="A13" s="1" t="s">
        <v>41</v>
      </c>
      <c r="B13" s="1">
        <v>1000</v>
      </c>
      <c r="C13" s="1"/>
      <c r="D13" s="1"/>
      <c r="E13" s="1"/>
    </row>
    <row r="14" spans="1:5" x14ac:dyDescent="0.2">
      <c r="A14" s="1" t="s">
        <v>42</v>
      </c>
      <c r="B14" s="2">
        <v>0.3</v>
      </c>
      <c r="C14" s="1"/>
      <c r="D14" s="1"/>
      <c r="E14" s="1"/>
    </row>
    <row r="15" spans="1:5" x14ac:dyDescent="0.2">
      <c r="A15" s="1"/>
      <c r="B15" s="2"/>
      <c r="C15" s="1"/>
      <c r="D15" s="1"/>
      <c r="E15" s="1"/>
    </row>
    <row r="16" spans="1:5" ht="13.5" thickBot="1" x14ac:dyDescent="0.25">
      <c r="A16" s="3"/>
      <c r="B16" s="14" t="s">
        <v>6</v>
      </c>
      <c r="C16" s="14"/>
      <c r="D16" s="14" t="s">
        <v>7</v>
      </c>
      <c r="E16" s="14"/>
    </row>
    <row r="17" spans="1:7" x14ac:dyDescent="0.2">
      <c r="A17" s="1" t="s">
        <v>8</v>
      </c>
      <c r="B17" s="1"/>
      <c r="C17" s="1">
        <f>ROUND(+B2*(1+B3),-3)</f>
        <v>188000</v>
      </c>
      <c r="D17" s="1"/>
      <c r="E17" s="1">
        <f>ROUND(+C17*(1+B3),-3)</f>
        <v>192000</v>
      </c>
      <c r="F17" s="4"/>
      <c r="G17" s="4"/>
    </row>
    <row r="18" spans="1:7" x14ac:dyDescent="0.2">
      <c r="A18" s="1" t="s">
        <v>9</v>
      </c>
      <c r="B18" s="1"/>
      <c r="C18" s="5">
        <f>+C34</f>
        <v>105000</v>
      </c>
      <c r="D18" s="1"/>
      <c r="E18" s="5">
        <f>+E34</f>
        <v>113000</v>
      </c>
    </row>
    <row r="19" spans="1:7" x14ac:dyDescent="0.2">
      <c r="A19" s="1" t="s">
        <v>10</v>
      </c>
      <c r="B19" s="1"/>
      <c r="C19" s="1">
        <f>+C17-C18</f>
        <v>83000</v>
      </c>
      <c r="D19" s="1"/>
      <c r="E19" s="1">
        <f>+E17-E18</f>
        <v>79000</v>
      </c>
    </row>
    <row r="20" spans="1:7" x14ac:dyDescent="0.2">
      <c r="A20" s="1" t="s">
        <v>11</v>
      </c>
      <c r="B20" s="1"/>
      <c r="C20" s="1"/>
      <c r="D20" s="1"/>
      <c r="E20" s="1"/>
    </row>
    <row r="21" spans="1:7" x14ac:dyDescent="0.2">
      <c r="A21" s="1" t="s">
        <v>12</v>
      </c>
      <c r="B21" s="1">
        <f>ROUND($B$9+($B$10*C17),-3)</f>
        <v>26000</v>
      </c>
      <c r="C21" s="1"/>
      <c r="D21" s="1">
        <f>ROUND($B$9+($B$10*E17),-3)</f>
        <v>27000</v>
      </c>
      <c r="E21" s="1"/>
    </row>
    <row r="22" spans="1:7" x14ac:dyDescent="0.2">
      <c r="A22" s="1" t="s">
        <v>13</v>
      </c>
      <c r="B22" s="1">
        <f>+$B$11</f>
        <v>14000</v>
      </c>
      <c r="C22" s="1"/>
      <c r="D22" s="1">
        <f>+$B$11</f>
        <v>14000</v>
      </c>
      <c r="E22" s="1"/>
    </row>
    <row r="23" spans="1:7" x14ac:dyDescent="0.2">
      <c r="A23" s="1" t="s">
        <v>14</v>
      </c>
      <c r="B23" s="1">
        <f>+$B$12</f>
        <v>3000</v>
      </c>
      <c r="C23" s="1"/>
      <c r="D23" s="1">
        <f>+$B$12</f>
        <v>3000</v>
      </c>
      <c r="E23" s="1"/>
    </row>
    <row r="24" spans="1:7" x14ac:dyDescent="0.2">
      <c r="A24" s="1" t="s">
        <v>15</v>
      </c>
      <c r="B24" s="5">
        <f>+$B$13</f>
        <v>1000</v>
      </c>
      <c r="C24" s="5">
        <f>COUNT(B21:B24)</f>
        <v>4</v>
      </c>
      <c r="D24" s="5">
        <f>+$B$13</f>
        <v>1000</v>
      </c>
      <c r="E24" s="5">
        <f>SUM(D21:D24)</f>
        <v>45000</v>
      </c>
    </row>
    <row r="25" spans="1:7" x14ac:dyDescent="0.2">
      <c r="A25" s="1" t="s">
        <v>16</v>
      </c>
      <c r="B25" s="1"/>
      <c r="C25" s="1">
        <f>+C19-C24</f>
        <v>82996</v>
      </c>
      <c r="D25" s="1"/>
      <c r="E25" s="1">
        <f>+E19-E24</f>
        <v>34000</v>
      </c>
    </row>
    <row r="26" spans="1:7" x14ac:dyDescent="0.2">
      <c r="A26" s="1" t="s">
        <v>17</v>
      </c>
      <c r="B26" s="1"/>
      <c r="C26" s="1">
        <f>ROUND(C25*$B$14,-3)</f>
        <v>25000</v>
      </c>
      <c r="D26" s="1"/>
      <c r="E26" s="1">
        <f>ROUND(E25*$B$14,-3)</f>
        <v>10000</v>
      </c>
    </row>
    <row r="27" spans="1:7" ht="13.5" thickBot="1" x14ac:dyDescent="0.25">
      <c r="A27" s="1" t="s">
        <v>18</v>
      </c>
      <c r="B27" s="1"/>
      <c r="C27" s="6">
        <f>+C25-C26</f>
        <v>57996</v>
      </c>
      <c r="D27" s="1"/>
      <c r="E27" s="6">
        <f>+E25-E26</f>
        <v>24000</v>
      </c>
    </row>
    <row r="28" spans="1:7" ht="5.25" customHeight="1" thickTop="1" x14ac:dyDescent="0.2">
      <c r="A28" s="1"/>
      <c r="B28" s="1"/>
      <c r="C28" s="11"/>
      <c r="D28" s="1"/>
      <c r="E28" s="11"/>
    </row>
    <row r="29" spans="1:7" x14ac:dyDescent="0.2">
      <c r="A29" s="1" t="s">
        <v>43</v>
      </c>
      <c r="B29" s="1"/>
      <c r="C29" s="1"/>
      <c r="D29" s="1"/>
      <c r="E29" s="1"/>
    </row>
    <row r="30" spans="1:7" x14ac:dyDescent="0.2">
      <c r="A30" s="1" t="s">
        <v>20</v>
      </c>
      <c r="B30" s="1"/>
      <c r="C30" s="1">
        <f>+B7</f>
        <v>80000</v>
      </c>
      <c r="D30" s="1"/>
      <c r="E30" s="1">
        <f>+C33</f>
        <v>88000</v>
      </c>
    </row>
    <row r="31" spans="1:7" x14ac:dyDescent="0.2">
      <c r="A31" s="1" t="s">
        <v>21</v>
      </c>
      <c r="B31" s="1"/>
      <c r="C31" s="5">
        <f>ROUND(+C17*$B$6,-3)</f>
        <v>113000</v>
      </c>
      <c r="D31" s="1"/>
      <c r="E31" s="5">
        <f>ROUND(+E17*$B$6,-3)</f>
        <v>115000</v>
      </c>
    </row>
    <row r="32" spans="1:7" x14ac:dyDescent="0.2">
      <c r="A32" s="1" t="s">
        <v>44</v>
      </c>
      <c r="B32" s="1"/>
      <c r="C32" s="1">
        <f>SUM(C30:C31)</f>
        <v>193000</v>
      </c>
      <c r="D32" s="1"/>
      <c r="E32" s="1">
        <f>SUM(E30:E31)</f>
        <v>203000</v>
      </c>
    </row>
    <row r="33" spans="1:6" x14ac:dyDescent="0.2">
      <c r="A33" s="7" t="s">
        <v>23</v>
      </c>
      <c r="B33" s="1"/>
      <c r="C33" s="1">
        <f>ROUND($B$4+($B$5*E17),-3)</f>
        <v>88000</v>
      </c>
      <c r="D33" s="1"/>
      <c r="E33" s="1">
        <f>ROUND($B$4+($B$5*B8),-3)</f>
        <v>90000</v>
      </c>
    </row>
    <row r="34" spans="1:6" ht="13.5" thickBot="1" x14ac:dyDescent="0.25">
      <c r="A34" s="1" t="s">
        <v>9</v>
      </c>
      <c r="B34" s="1"/>
      <c r="C34" s="6">
        <f>+C32-C33</f>
        <v>105000</v>
      </c>
      <c r="D34" s="1"/>
      <c r="E34" s="6">
        <f>+E32-E33</f>
        <v>113000</v>
      </c>
    </row>
    <row r="35" spans="1:6" ht="13.5" thickTop="1" x14ac:dyDescent="0.2"/>
    <row r="36" spans="1:6" ht="13.5" thickBot="1" x14ac:dyDescent="0.25">
      <c r="A36" s="9"/>
      <c r="B36" s="14" t="str">
        <f>+B16</f>
        <v>August</v>
      </c>
      <c r="C36" s="14"/>
      <c r="D36" s="14" t="str">
        <f>+D16</f>
        <v>September</v>
      </c>
      <c r="E36" s="14"/>
    </row>
    <row r="37" spans="1:6" x14ac:dyDescent="0.2">
      <c r="A37" s="1" t="s">
        <v>24</v>
      </c>
      <c r="B37" s="1"/>
      <c r="C37" s="1"/>
      <c r="D37" s="1"/>
      <c r="E37" s="1"/>
    </row>
    <row r="38" spans="1:6" x14ac:dyDescent="0.2">
      <c r="A38" s="1" t="s">
        <v>25</v>
      </c>
      <c r="B38" s="1"/>
      <c r="C38" s="5"/>
      <c r="D38" s="1"/>
      <c r="E38" s="5"/>
      <c r="F38" s="10">
        <f>+E38+C37</f>
        <v>0</v>
      </c>
    </row>
    <row r="39" spans="1:6" x14ac:dyDescent="0.2">
      <c r="A39" s="1"/>
      <c r="B39" s="1"/>
      <c r="C39" s="1"/>
      <c r="D39" s="1"/>
      <c r="E39" s="1"/>
    </row>
    <row r="40" spans="1:6" x14ac:dyDescent="0.2">
      <c r="A40" s="1" t="s">
        <v>26</v>
      </c>
      <c r="B40" s="1"/>
      <c r="C40" s="1"/>
      <c r="D40" s="1"/>
      <c r="E40" s="1"/>
    </row>
    <row r="41" spans="1:6" x14ac:dyDescent="0.2">
      <c r="A41" s="1" t="s">
        <v>27</v>
      </c>
      <c r="B41" s="1"/>
      <c r="C41" s="1"/>
      <c r="D41" s="1"/>
      <c r="E41" s="1"/>
    </row>
    <row r="42" spans="1:6" x14ac:dyDescent="0.2">
      <c r="A42" s="1" t="s">
        <v>28</v>
      </c>
      <c r="B42" s="1"/>
      <c r="C42" s="1"/>
      <c r="D42" s="1"/>
      <c r="E42" s="1"/>
      <c r="F42" s="10">
        <f>+D42+B41</f>
        <v>0</v>
      </c>
    </row>
    <row r="43" spans="1:6" x14ac:dyDescent="0.2">
      <c r="A43" s="1" t="s">
        <v>29</v>
      </c>
      <c r="B43" s="1"/>
      <c r="C43" s="1"/>
      <c r="D43" s="1"/>
      <c r="E43" s="1"/>
    </row>
    <row r="44" spans="1:6" x14ac:dyDescent="0.2">
      <c r="A44" s="1" t="s">
        <v>30</v>
      </c>
      <c r="B44" s="1"/>
      <c r="C44" s="1"/>
      <c r="D44" s="1"/>
      <c r="E44" s="1"/>
      <c r="F44" s="10">
        <f>+D44+B43</f>
        <v>0</v>
      </c>
    </row>
    <row r="45" spans="1:6" x14ac:dyDescent="0.2">
      <c r="A45" s="1" t="s">
        <v>31</v>
      </c>
      <c r="B45" s="1"/>
      <c r="C45" s="1"/>
      <c r="D45" s="1"/>
      <c r="E45" s="1"/>
    </row>
    <row r="46" spans="1:6" x14ac:dyDescent="0.2">
      <c r="A46" s="1" t="s">
        <v>32</v>
      </c>
      <c r="B46" s="5"/>
      <c r="C46" s="1"/>
      <c r="D46" s="5"/>
      <c r="E46" s="1"/>
    </row>
    <row r="47" spans="1:6" x14ac:dyDescent="0.2">
      <c r="A47" s="1"/>
      <c r="B47" s="1"/>
      <c r="C47" s="5"/>
      <c r="D47" s="1"/>
      <c r="E47" s="5"/>
    </row>
    <row r="48" spans="1:6" ht="13.5" thickBot="1" x14ac:dyDescent="0.25">
      <c r="A48" s="1" t="s">
        <v>33</v>
      </c>
      <c r="B48" s="1"/>
      <c r="C48" s="6"/>
      <c r="D48" s="1"/>
      <c r="E48" s="6"/>
    </row>
    <row r="49" spans="1:3" ht="13.5" thickTop="1" x14ac:dyDescent="0.2"/>
    <row r="52" spans="1:3" x14ac:dyDescent="0.2">
      <c r="A52" s="13" t="s">
        <v>34</v>
      </c>
      <c r="B52" s="13"/>
      <c r="C52" s="13"/>
    </row>
    <row r="53" spans="1:3" x14ac:dyDescent="0.2">
      <c r="A53" s="1" t="s">
        <v>19</v>
      </c>
      <c r="B53" s="1"/>
      <c r="C53" s="1"/>
    </row>
    <row r="54" spans="1:3" x14ac:dyDescent="0.2">
      <c r="A54" s="1" t="s">
        <v>20</v>
      </c>
      <c r="B54" s="1"/>
      <c r="C54" s="1"/>
    </row>
    <row r="55" spans="1:3" x14ac:dyDescent="0.2">
      <c r="A55" s="1" t="s">
        <v>21</v>
      </c>
      <c r="B55" s="1"/>
      <c r="C55" s="5"/>
    </row>
    <row r="56" spans="1:3" x14ac:dyDescent="0.2">
      <c r="A56" s="1" t="s">
        <v>22</v>
      </c>
      <c r="B56" s="1"/>
      <c r="C56" s="1"/>
    </row>
    <row r="57" spans="1:3" x14ac:dyDescent="0.2">
      <c r="A57" s="7" t="s">
        <v>23</v>
      </c>
      <c r="B57" s="1"/>
      <c r="C57" s="1"/>
    </row>
    <row r="58" spans="1:3" ht="13.5" thickBot="1" x14ac:dyDescent="0.25">
      <c r="A58" s="1" t="s">
        <v>9</v>
      </c>
      <c r="B58" s="1"/>
      <c r="C58" s="6"/>
    </row>
    <row r="59" spans="1:3" ht="13.5" thickTop="1" x14ac:dyDescent="0.2"/>
  </sheetData>
  <mergeCells count="5">
    <mergeCell ref="A52:C52"/>
    <mergeCell ref="B36:C36"/>
    <mergeCell ref="D36:E36"/>
    <mergeCell ref="D16:E16"/>
    <mergeCell ref="B16:C16"/>
  </mergeCells>
  <phoneticPr fontId="0" type="noConversion"/>
  <pageMargins left="0.32" right="0.32" top="0.82" bottom="0.64" header="0.5" footer="0.5"/>
  <pageSetup scale="66" orientation="landscape" r:id="rId1"/>
  <headerFooter alignWithMargins="0">
    <oddHeader>&amp;A</oddHead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2</vt:i4>
      </vt:variant>
    </vt:vector>
  </HeadingPairs>
  <TitlesOfParts>
    <vt:vector size="2" baseType="lpstr">
      <vt:lpstr>Example</vt:lpstr>
      <vt:lpstr>Formulas</vt:lpstr>
    </vt:vector>
  </TitlesOfParts>
  <Company>CNU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cstivason</dc:creator>
  <cp:lastModifiedBy>Kaufmann Timon</cp:lastModifiedBy>
  <cp:lastPrinted>2003-10-27T15:38:50Z</cp:lastPrinted>
  <dcterms:created xsi:type="dcterms:W3CDTF">2003-10-27T14:16:41Z</dcterms:created>
  <dcterms:modified xsi:type="dcterms:W3CDTF">2026-02-03T12:50:26Z</dcterms:modified>
</cp:coreProperties>
</file>