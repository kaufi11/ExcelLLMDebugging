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29D20A89-40F0-4ED7-9573-74FC24A8A9FC}" xr6:coauthVersionLast="47" xr6:coauthVersionMax="47" xr10:uidLastSave="{00000000-0000-0000-0000-000000000000}"/>
  <bookViews>
    <workbookView xWindow="2190" yWindow="2085" windowWidth="15330" windowHeight="10770" tabRatio="665" xr2:uid="{919B7FD7-4FD4-403E-8F56-3101F3504AB1}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B48" i="25413"/>
  <c r="B54" i="25413"/>
  <c r="B48" i="25412"/>
  <c r="B53" i="25412"/>
  <c r="B54" i="25412"/>
  <c r="B58" i="25412"/>
  <c r="B63" i="25412"/>
  <c r="B64" i="25412"/>
  <c r="F10" i="25408"/>
  <c r="C16" i="25408"/>
  <c r="D23" i="25408"/>
  <c r="C24" i="25408"/>
  <c r="D24" i="25408"/>
  <c r="C25" i="25408"/>
  <c r="D25" i="25408"/>
  <c r="C26" i="25408"/>
  <c r="D26" i="25408"/>
  <c r="C27" i="25408"/>
  <c r="D34" i="25408"/>
  <c r="C35" i="25408"/>
  <c r="D35" i="25408"/>
  <c r="C36" i="25408"/>
  <c r="D36" i="25408"/>
  <c r="C37" i="25408"/>
  <c r="D37" i="25408"/>
  <c r="C38" i="25408"/>
  <c r="B48" i="25408"/>
  <c r="B54" i="25408"/>
  <c r="B59" i="25408"/>
  <c r="B60" i="25408"/>
  <c r="B61" i="25408"/>
  <c r="C16" i="25410"/>
  <c r="D16" i="25410"/>
  <c r="E16" i="25410"/>
  <c r="F16" i="25410"/>
  <c r="C17" i="25410"/>
  <c r="D17" i="25410"/>
  <c r="E17" i="25410"/>
  <c r="F17" i="25410"/>
  <c r="E19" i="25410"/>
  <c r="F19" i="25410"/>
  <c r="C20" i="25410"/>
  <c r="D20" i="25410"/>
  <c r="E20" i="25410"/>
  <c r="F20" i="25410"/>
  <c r="C21" i="25410"/>
  <c r="D21" i="25410"/>
  <c r="E21" i="25410"/>
  <c r="F21" i="25410"/>
  <c r="C22" i="25410"/>
  <c r="D22" i="25410"/>
  <c r="E22" i="25410"/>
  <c r="F22" i="25410"/>
  <c r="C23" i="25410"/>
  <c r="D23" i="25410"/>
  <c r="C25" i="25410"/>
  <c r="D25" i="25410"/>
  <c r="E25" i="25410"/>
  <c r="F25" i="25410"/>
  <c r="C26" i="25410"/>
  <c r="D26" i="25410"/>
  <c r="E26" i="25410"/>
  <c r="F26" i="25410"/>
  <c r="C27" i="25410"/>
  <c r="D27" i="25410"/>
  <c r="E27" i="25410"/>
  <c r="F27" i="25410"/>
  <c r="C28" i="25410"/>
  <c r="D28" i="25410"/>
  <c r="E28" i="25410"/>
  <c r="F28" i="25410"/>
  <c r="E30" i="25410"/>
  <c r="F30" i="25410"/>
  <c r="C31" i="25410"/>
  <c r="D31" i="25410"/>
  <c r="E31" i="25410"/>
  <c r="F31" i="25410"/>
  <c r="C32" i="25410"/>
  <c r="D32" i="25410"/>
  <c r="E32" i="25410"/>
  <c r="F32" i="25410"/>
  <c r="C33" i="25410"/>
  <c r="D33" i="25410"/>
  <c r="E33" i="25410"/>
  <c r="F33" i="25410"/>
  <c r="C34" i="25410"/>
  <c r="D34" i="25410"/>
  <c r="C36" i="25410"/>
  <c r="D36" i="25410"/>
  <c r="E36" i="25410"/>
  <c r="F36" i="25410"/>
  <c r="C37" i="25410"/>
  <c r="D37" i="25410"/>
  <c r="E37" i="25410"/>
  <c r="F37" i="25410"/>
  <c r="C38" i="25410"/>
  <c r="D38" i="25410"/>
  <c r="E38" i="25410"/>
  <c r="F38" i="25410"/>
  <c r="C39" i="25410"/>
  <c r="D39" i="25410"/>
  <c r="E39" i="25410"/>
  <c r="F39" i="25410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4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B48" i="25411"/>
  <c r="B54" i="25411"/>
  <c r="B60" i="25411"/>
  <c r="B66" i="25411"/>
  <c r="F11" i="25405"/>
  <c r="C16" i="25405"/>
  <c r="D16" i="25405"/>
  <c r="D16" i="25408" s="1"/>
  <c r="E16" i="25405"/>
  <c r="F16" i="25405"/>
  <c r="C17" i="25405"/>
  <c r="D17" i="25405"/>
  <c r="D17" i="25408" s="1"/>
  <c r="E17" i="25405"/>
  <c r="F17" i="25405"/>
  <c r="C18" i="25405"/>
  <c r="C18" i="25408" s="1"/>
  <c r="D18" i="25405"/>
  <c r="D18" i="25408" s="1"/>
  <c r="E18" i="25405"/>
  <c r="F18" i="25405"/>
  <c r="C19" i="25405"/>
  <c r="C19" i="25408" s="1"/>
  <c r="D19" i="25405"/>
  <c r="D19" i="25408" s="1"/>
  <c r="E19" i="25405"/>
  <c r="F19" i="25405"/>
  <c r="C20" i="25405"/>
  <c r="C20" i="25408" s="1"/>
  <c r="D20" i="25405"/>
  <c r="D20" i="25408" s="1"/>
  <c r="E20" i="25405"/>
  <c r="F20" i="25405"/>
  <c r="C21" i="25405"/>
  <c r="C21" i="25408" s="1"/>
  <c r="D21" i="25405"/>
  <c r="D21" i="25408" s="1"/>
  <c r="E21" i="25405"/>
  <c r="F21" i="25405"/>
  <c r="C22" i="25405"/>
  <c r="D22" i="25405"/>
  <c r="E22" i="25405"/>
  <c r="F22" i="25405"/>
  <c r="C23" i="25405"/>
  <c r="C23" i="25408" s="1"/>
  <c r="D23" i="25405"/>
  <c r="E23" i="25405"/>
  <c r="F23" i="25405"/>
  <c r="C24" i="25405"/>
  <c r="D24" i="25405"/>
  <c r="E24" i="25405"/>
  <c r="F24" i="25405"/>
  <c r="C25" i="25405"/>
  <c r="B50" i="25405" s="1"/>
  <c r="D25" i="25405"/>
  <c r="B56" i="25405" s="1"/>
  <c r="E25" i="25405"/>
  <c r="F25" i="25405"/>
  <c r="C26" i="25405"/>
  <c r="D26" i="25405"/>
  <c r="E26" i="25405"/>
  <c r="F26" i="25405"/>
  <c r="C27" i="25405"/>
  <c r="D27" i="25405"/>
  <c r="D27" i="25408" s="1"/>
  <c r="E27" i="25405"/>
  <c r="F27" i="25405"/>
  <c r="B68" i="25405" s="1"/>
  <c r="C28" i="25405"/>
  <c r="D28" i="25405"/>
  <c r="D28" i="25408" s="1"/>
  <c r="E28" i="25405"/>
  <c r="F28" i="25405"/>
  <c r="C29" i="25405"/>
  <c r="C29" i="25408" s="1"/>
  <c r="D29" i="25405"/>
  <c r="D29" i="25408" s="1"/>
  <c r="E29" i="25405"/>
  <c r="F29" i="25405"/>
  <c r="C30" i="25405"/>
  <c r="C30" i="25408" s="1"/>
  <c r="D30" i="25405"/>
  <c r="D30" i="25408" s="1"/>
  <c r="E30" i="25405"/>
  <c r="F30" i="25405"/>
  <c r="C31" i="25405"/>
  <c r="C31" i="25408" s="1"/>
  <c r="D31" i="25405"/>
  <c r="D31" i="25408" s="1"/>
  <c r="E31" i="25405"/>
  <c r="F31" i="25405"/>
  <c r="C32" i="25405"/>
  <c r="D32" i="25405"/>
  <c r="D32" i="25408" s="1"/>
  <c r="E32" i="25405"/>
  <c r="F32" i="25405"/>
  <c r="C33" i="25405"/>
  <c r="D33" i="25405"/>
  <c r="E33" i="25405"/>
  <c r="F33" i="25405"/>
  <c r="B69" i="25405" s="1"/>
  <c r="C34" i="25405"/>
  <c r="C34" i="25408" s="1"/>
  <c r="C34" i="25409" s="1"/>
  <c r="D34" i="25405"/>
  <c r="E34" i="25405"/>
  <c r="F34" i="25405"/>
  <c r="C35" i="25405"/>
  <c r="D35" i="25405"/>
  <c r="E35" i="25405"/>
  <c r="F35" i="25405"/>
  <c r="C36" i="25405"/>
  <c r="D36" i="25405"/>
  <c r="E36" i="25405"/>
  <c r="F36" i="25405"/>
  <c r="C37" i="25405"/>
  <c r="D37" i="25405"/>
  <c r="E37" i="25405"/>
  <c r="F37" i="25405"/>
  <c r="C38" i="25405"/>
  <c r="D38" i="25405"/>
  <c r="D38" i="25408" s="1"/>
  <c r="E38" i="25405"/>
  <c r="F38" i="25405"/>
  <c r="C39" i="25405"/>
  <c r="D39" i="25405"/>
  <c r="D39" i="25408" s="1"/>
  <c r="E39" i="25405"/>
  <c r="F39" i="25405"/>
  <c r="B48" i="25405"/>
  <c r="B54" i="25405"/>
  <c r="B60" i="25405"/>
  <c r="B66" i="25405"/>
  <c r="G28" i="25414"/>
  <c r="G29" i="25414"/>
  <c r="G30" i="25414"/>
  <c r="G31" i="25414"/>
  <c r="F33" i="25414"/>
  <c r="D18" i="25411" s="1"/>
  <c r="D18" i="25412" s="1"/>
  <c r="F34" i="25414"/>
  <c r="F18" i="25411" s="1"/>
  <c r="F35" i="25414"/>
  <c r="C18" i="25410" s="1"/>
  <c r="F36" i="25414"/>
  <c r="C36" i="25409" l="1"/>
  <c r="C24" i="25411"/>
  <c r="C27" i="25409"/>
  <c r="F23" i="25411"/>
  <c r="F34" i="25411"/>
  <c r="B56" i="25408"/>
  <c r="C16" i="25409"/>
  <c r="B49" i="25408"/>
  <c r="C17" i="25411"/>
  <c r="C28" i="25411"/>
  <c r="E33" i="25411"/>
  <c r="C39" i="25411"/>
  <c r="D17" i="25411"/>
  <c r="D17" i="25412" s="1"/>
  <c r="D28" i="25411"/>
  <c r="D28" i="25412" s="1"/>
  <c r="F33" i="25411"/>
  <c r="E17" i="25411"/>
  <c r="D17" i="25413" s="1"/>
  <c r="C34" i="25411"/>
  <c r="D16" i="25411"/>
  <c r="F21" i="25411"/>
  <c r="D27" i="25411"/>
  <c r="D27" i="25412" s="1"/>
  <c r="F32" i="25411"/>
  <c r="D38" i="25411"/>
  <c r="E16" i="25411"/>
  <c r="C22" i="25411"/>
  <c r="E27" i="25411"/>
  <c r="C33" i="25411"/>
  <c r="E38" i="25411"/>
  <c r="C18" i="25411"/>
  <c r="E23" i="25411"/>
  <c r="D23" i="25413" s="1"/>
  <c r="F16" i="25411"/>
  <c r="D22" i="25411"/>
  <c r="D22" i="25412" s="1"/>
  <c r="F27" i="25411"/>
  <c r="D33" i="25411"/>
  <c r="F38" i="25411"/>
  <c r="F26" i="25411"/>
  <c r="C16" i="25411"/>
  <c r="E21" i="25411"/>
  <c r="C27" i="25411"/>
  <c r="E32" i="25411"/>
  <c r="C38" i="25411"/>
  <c r="D21" i="25411"/>
  <c r="D21" i="25412" s="1"/>
  <c r="D32" i="25411"/>
  <c r="F37" i="25411"/>
  <c r="E22" i="25411"/>
  <c r="F22" i="25411"/>
  <c r="D39" i="25411"/>
  <c r="C23" i="25411"/>
  <c r="E28" i="25411"/>
  <c r="E39" i="25411"/>
  <c r="F17" i="25411"/>
  <c r="D23" i="25411"/>
  <c r="D23" i="25412" s="1"/>
  <c r="F28" i="25411"/>
  <c r="D34" i="25411"/>
  <c r="D34" i="25412" s="1"/>
  <c r="F39" i="25411"/>
  <c r="C20" i="25409"/>
  <c r="C35" i="25411"/>
  <c r="C37" i="25409"/>
  <c r="C30" i="25409"/>
  <c r="E29" i="25411"/>
  <c r="D29" i="25413" s="1"/>
  <c r="C29" i="25411"/>
  <c r="C18" i="25409"/>
  <c r="C26" i="25409"/>
  <c r="C28" i="25408"/>
  <c r="C28" i="25409" s="1"/>
  <c r="B63" i="25410"/>
  <c r="D33" i="25408"/>
  <c r="B57" i="25408" s="1"/>
  <c r="B63" i="25405"/>
  <c r="C35" i="25409"/>
  <c r="C31" i="25409"/>
  <c r="C38" i="25409"/>
  <c r="C19" i="25409"/>
  <c r="C23" i="25409"/>
  <c r="E18" i="25411"/>
  <c r="D18" i="25413" s="1"/>
  <c r="D22" i="25408"/>
  <c r="B55" i="25408" s="1"/>
  <c r="B57" i="25410"/>
  <c r="C33" i="25408"/>
  <c r="B61" i="25405"/>
  <c r="B49" i="25405"/>
  <c r="C21" i="25409"/>
  <c r="E34" i="25411"/>
  <c r="D34" i="25413" s="1"/>
  <c r="D29" i="25411"/>
  <c r="D29" i="25412" s="1"/>
  <c r="C29" i="25409"/>
  <c r="C39" i="25408"/>
  <c r="C39" i="25409" s="1"/>
  <c r="C17" i="25408"/>
  <c r="C17" i="25409" s="1"/>
  <c r="C25" i="25409"/>
  <c r="B67" i="25405"/>
  <c r="C22" i="25408"/>
  <c r="C24" i="25409"/>
  <c r="B51" i="25405"/>
  <c r="B62" i="25405"/>
  <c r="E36" i="25411"/>
  <c r="C31" i="25411"/>
  <c r="E25" i="25411"/>
  <c r="C20" i="25411"/>
  <c r="F35" i="25410"/>
  <c r="D30" i="25410"/>
  <c r="F24" i="25410"/>
  <c r="B68" i="25410" s="1"/>
  <c r="D19" i="25410"/>
  <c r="B55" i="25410" s="1"/>
  <c r="E35" i="25410"/>
  <c r="C30" i="25410"/>
  <c r="E24" i="25410"/>
  <c r="B62" i="25410" s="1"/>
  <c r="C19" i="25410"/>
  <c r="B49" i="25410" s="1"/>
  <c r="C37" i="25411"/>
  <c r="E31" i="25411"/>
  <c r="C26" i="25411"/>
  <c r="E20" i="25411"/>
  <c r="C36" i="25411"/>
  <c r="E30" i="25411"/>
  <c r="C25" i="25411"/>
  <c r="E19" i="25411"/>
  <c r="D35" i="25410"/>
  <c r="F29" i="25410"/>
  <c r="D24" i="25410"/>
  <c r="F18" i="25410"/>
  <c r="B67" i="25410" s="1"/>
  <c r="E37" i="25411"/>
  <c r="C32" i="25411"/>
  <c r="E26" i="25411"/>
  <c r="D26" i="25413" s="1"/>
  <c r="C21" i="25411"/>
  <c r="B55" i="25405"/>
  <c r="F36" i="25411"/>
  <c r="D31" i="25411"/>
  <c r="D31" i="25412" s="1"/>
  <c r="F25" i="25411"/>
  <c r="D20" i="25411"/>
  <c r="D20" i="25412" s="1"/>
  <c r="C35" i="25410"/>
  <c r="B51" i="25410" s="1"/>
  <c r="E29" i="25410"/>
  <c r="C24" i="25410"/>
  <c r="E18" i="25410"/>
  <c r="B61" i="25410" s="1"/>
  <c r="C32" i="25408"/>
  <c r="B57" i="25405"/>
  <c r="D37" i="25411"/>
  <c r="F31" i="25411"/>
  <c r="D26" i="25411"/>
  <c r="F20" i="25411"/>
  <c r="D36" i="25411"/>
  <c r="F30" i="25411"/>
  <c r="D25" i="25411"/>
  <c r="F19" i="25411"/>
  <c r="F35" i="25411"/>
  <c r="D30" i="25411"/>
  <c r="D30" i="25412" s="1"/>
  <c r="F24" i="25411"/>
  <c r="D19" i="25411"/>
  <c r="D19" i="25412" s="1"/>
  <c r="E35" i="25411"/>
  <c r="D35" i="25413" s="1"/>
  <c r="C30" i="25411"/>
  <c r="E24" i="25411"/>
  <c r="C19" i="25411"/>
  <c r="F34" i="25410"/>
  <c r="B69" i="25410" s="1"/>
  <c r="D29" i="25410"/>
  <c r="F23" i="25410"/>
  <c r="D18" i="25410"/>
  <c r="D35" i="25411"/>
  <c r="F29" i="25411"/>
  <c r="D24" i="25411"/>
  <c r="E34" i="25410"/>
  <c r="C29" i="25410"/>
  <c r="E23" i="25410"/>
  <c r="B55" i="25411" l="1"/>
  <c r="D16" i="25412"/>
  <c r="C27" i="25413"/>
  <c r="C27" i="25412"/>
  <c r="B67" i="25411"/>
  <c r="D26" i="25412"/>
  <c r="C25" i="25413"/>
  <c r="C25" i="25412"/>
  <c r="C18" i="25412"/>
  <c r="C18" i="25413"/>
  <c r="D37" i="25413"/>
  <c r="C35" i="25412"/>
  <c r="C35" i="25413"/>
  <c r="C39" i="25413"/>
  <c r="C39" i="25412"/>
  <c r="D25" i="25413"/>
  <c r="B56" i="25410"/>
  <c r="C28" i="25413"/>
  <c r="C28" i="25412"/>
  <c r="D36" i="25413"/>
  <c r="D21" i="25413"/>
  <c r="C16" i="25413"/>
  <c r="C16" i="25412"/>
  <c r="B49" i="25411"/>
  <c r="B56" i="25411"/>
  <c r="D24" i="25412"/>
  <c r="D30" i="25413"/>
  <c r="D39" i="25413"/>
  <c r="D38" i="25413"/>
  <c r="C22" i="25409"/>
  <c r="D28" i="25413"/>
  <c r="C33" i="25412"/>
  <c r="C33" i="25413"/>
  <c r="C33" i="25409"/>
  <c r="D25" i="25412"/>
  <c r="D33" i="25412"/>
  <c r="C36" i="25413"/>
  <c r="C36" i="25412"/>
  <c r="D35" i="25412"/>
  <c r="C32" i="25409"/>
  <c r="B51" i="25409" s="1"/>
  <c r="B51" i="25408"/>
  <c r="D20" i="25413"/>
  <c r="C23" i="25412"/>
  <c r="C23" i="25413"/>
  <c r="D27" i="25413"/>
  <c r="B69" i="25411"/>
  <c r="C19" i="25412"/>
  <c r="C19" i="25413"/>
  <c r="D33" i="25413"/>
  <c r="C31" i="25412"/>
  <c r="C31" i="25413"/>
  <c r="C17" i="25413"/>
  <c r="C17" i="25412"/>
  <c r="D39" i="25412"/>
  <c r="C22" i="25412"/>
  <c r="C22" i="25413"/>
  <c r="C21" i="25413"/>
  <c r="C21" i="25412"/>
  <c r="D19" i="25413"/>
  <c r="B49" i="25409"/>
  <c r="D37" i="25412"/>
  <c r="B50" i="25409"/>
  <c r="C26" i="25412"/>
  <c r="C26" i="25413"/>
  <c r="B50" i="25410"/>
  <c r="D31" i="25413"/>
  <c r="C24" i="25413"/>
  <c r="C24" i="25412"/>
  <c r="B50" i="25411"/>
  <c r="B57" i="25411"/>
  <c r="D32" i="25412"/>
  <c r="B62" i="25411"/>
  <c r="D24" i="25413"/>
  <c r="C30" i="25412"/>
  <c r="C30" i="25413"/>
  <c r="C38" i="25413"/>
  <c r="C38" i="25412"/>
  <c r="B50" i="25408"/>
  <c r="B63" i="25411"/>
  <c r="D32" i="25413"/>
  <c r="C34" i="25412"/>
  <c r="C34" i="25413"/>
  <c r="C29" i="25413"/>
  <c r="C29" i="25412"/>
  <c r="B68" i="25411"/>
  <c r="B51" i="25411"/>
  <c r="C32" i="25413"/>
  <c r="B51" i="25413" s="1"/>
  <c r="C32" i="25412"/>
  <c r="C20" i="25412"/>
  <c r="C20" i="25413"/>
  <c r="D36" i="25412"/>
  <c r="D16" i="25413"/>
  <c r="B61" i="25411"/>
  <c r="C37" i="25412"/>
  <c r="C37" i="25413"/>
  <c r="D22" i="25413"/>
  <c r="D38" i="25412"/>
  <c r="B49" i="25413" l="1"/>
  <c r="C41" i="25409"/>
  <c r="B61" i="25412"/>
  <c r="B57" i="25413"/>
  <c r="B60" i="25412"/>
  <c r="B56" i="25413"/>
  <c r="B55" i="25413"/>
  <c r="B50" i="25412"/>
  <c r="B50" i="25413"/>
  <c r="F39" i="25414"/>
  <c r="B59" i="25412"/>
  <c r="B51" i="25412"/>
  <c r="F38" i="25414"/>
  <c r="B49" i="25412"/>
  <c r="F9" i="25409" l="1"/>
  <c r="F10" i="25405"/>
  <c r="F9" i="25413"/>
  <c r="F9" i="25408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<sst xmlns="http://schemas.openxmlformats.org/spreadsheetml/2006/main" count="611" uniqueCount="296">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</sst>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Occupancy Profile
daily average - whole house
</a:t>
            </a:r>
          </a:p>
        </c:rich>
      </c:tx>
      <c:layout>
        <c:manualLayout>
          <c:xMode val="edge"/>
          <c:yMode val="edge"/>
          <c:x val="0.27991914133725809"/>
          <c:y val="3.64238410596026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95957066862905"/>
          <c:y val="0.2251655629139073"/>
          <c:w val="0.79918943251362085"/>
          <c:h val="0.60927152317880795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8.6151247888909752E-2</c:v>
                </c:pt>
                <c:pt idx="10">
                  <c:v>0.24188778382435727</c:v>
                </c:pt>
                <c:pt idx="11">
                  <c:v>0.24188778382435727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0.89693150684931511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C-40BB-8104-4E074B6E9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07936"/>
        <c:axId val="1"/>
      </c:lineChart>
      <c:catAx>
        <c:axId val="203480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8476821192052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7936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123825</xdr:rowOff>
    </xdr:from>
    <xdr:to>
      <xdr:col>12</xdr:col>
      <xdr:colOff>161925</xdr:colOff>
      <xdr:row>31</xdr:row>
      <xdr:rowOff>85725</xdr:rowOff>
    </xdr:to>
    <xdr:graphicFrame macro="">
      <xdr:nvGraphicFramePr>
        <xdr:cNvPr id="2050" name="Diagramm 2">
          <a:extLst>
            <a:ext uri="{FF2B5EF4-FFF2-40B4-BE49-F238E27FC236}">
              <a16:creationId xmlns:a16="http://schemas.microsoft.com/office/drawing/2014/main" id="{D8686E3D-5CCA-A8A8-65D8-527A8382F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C38B-B576-45F7-A1F1-95643DC7B802}">
  <dimension ref="B2:G39"/>
  <sheetViews>
    <sheetView tabSelected="1" workbookViewId="0">
      <selection activeCell="F39" sqref="F39"/>
    </sheetView>
  </sheetViews>
  <sheetFormatPr baseColWidth="10" defaultRowHeight="12.75" x14ac:dyDescent="0.2"/>
  <cols>
    <col min="1" max="9" width="9.140625" customWidth="1"/>
    <col min="10" max="10" width="7.7109375" customWidth="1"/>
    <col min="11" max="11" width="7.5703125" customWidth="1"/>
    <col min="12" max="12" width="8.5703125" customWidth="1"/>
    <col min="13" max="256" width="9.140625" customWidth="1"/>
  </cols>
  <sheetData>
    <row r="2" spans="2:2" x14ac:dyDescent="0.2">
      <c r="B2" t="s">
        <v>89</v>
      </c>
    </row>
    <row r="3" spans="2:2" x14ac:dyDescent="0.2">
      <c r="B3" t="s">
        <v>90</v>
      </c>
    </row>
    <row r="5" spans="2:2" x14ac:dyDescent="0.2">
      <c r="B5" t="s">
        <v>288</v>
      </c>
    </row>
    <row r="17" spans="2:7" x14ac:dyDescent="0.2">
      <c r="B17" t="s">
        <v>92</v>
      </c>
    </row>
    <row r="19" spans="2:7" x14ac:dyDescent="0.2">
      <c r="C19" t="s">
        <v>57</v>
      </c>
      <c r="F19">
        <v>230</v>
      </c>
      <c r="G19" t="s">
        <v>58</v>
      </c>
    </row>
    <row r="20" spans="2:7" x14ac:dyDescent="0.2">
      <c r="C20" t="s">
        <v>59</v>
      </c>
      <c r="F20">
        <v>210</v>
      </c>
      <c r="G20" t="s">
        <v>58</v>
      </c>
    </row>
    <row r="22" spans="2:7" x14ac:dyDescent="0.2">
      <c r="C22" t="s">
        <v>61</v>
      </c>
      <c r="F22">
        <v>190</v>
      </c>
      <c r="G22" t="s">
        <v>58</v>
      </c>
    </row>
    <row r="23" spans="2:7" x14ac:dyDescent="0.2">
      <c r="C23" t="s">
        <v>60</v>
      </c>
      <c r="F23">
        <v>140</v>
      </c>
      <c r="G23" t="s">
        <v>58</v>
      </c>
    </row>
    <row r="26" spans="2:7" x14ac:dyDescent="0.2">
      <c r="C26" t="s">
        <v>276</v>
      </c>
      <c r="F26" s="7" t="s">
        <v>277</v>
      </c>
      <c r="G26" s="7" t="s">
        <v>278</v>
      </c>
    </row>
    <row r="27" spans="2:7" x14ac:dyDescent="0.2">
      <c r="C27" t="s">
        <v>279</v>
      </c>
      <c r="F27" s="7"/>
      <c r="G27" s="7"/>
    </row>
    <row r="28" spans="2:7" x14ac:dyDescent="0.2">
      <c r="E28" s="13" t="s">
        <v>280</v>
      </c>
      <c r="F28" s="7">
        <v>125</v>
      </c>
      <c r="G28" s="14">
        <f>+F28/365</f>
        <v>0.34246575342465752</v>
      </c>
    </row>
    <row r="29" spans="2:7" x14ac:dyDescent="0.2">
      <c r="E29" s="13" t="s">
        <v>281</v>
      </c>
      <c r="F29" s="7">
        <v>57</v>
      </c>
      <c r="G29" s="14">
        <f>+F29/365</f>
        <v>0.15616438356164383</v>
      </c>
    </row>
    <row r="30" spans="2:7" x14ac:dyDescent="0.2">
      <c r="E30" s="13" t="s">
        <v>282</v>
      </c>
      <c r="F30" s="7">
        <v>126</v>
      </c>
      <c r="G30" s="14">
        <f>+F30/365</f>
        <v>0.34520547945205482</v>
      </c>
    </row>
    <row r="31" spans="2:7" x14ac:dyDescent="0.2">
      <c r="E31" s="13" t="s">
        <v>283</v>
      </c>
      <c r="F31" s="7">
        <v>57</v>
      </c>
      <c r="G31" s="14">
        <f>+F31/365</f>
        <v>0.15616438356164383</v>
      </c>
    </row>
    <row r="33" spans="3:6" x14ac:dyDescent="0.2">
      <c r="C33" t="s">
        <v>284</v>
      </c>
      <c r="F33" s="15">
        <f>+(F29+F31)/SUM(F28:F31)</f>
        <v>0.31232876712328766</v>
      </c>
    </row>
    <row r="34" spans="3:6" x14ac:dyDescent="0.2">
      <c r="C34" t="s">
        <v>285</v>
      </c>
      <c r="F34" s="15">
        <f>+(F28+F30)/SUM(F28:F31)</f>
        <v>0.68767123287671228</v>
      </c>
    </row>
    <row r="35" spans="3:6" x14ac:dyDescent="0.2">
      <c r="C35" t="s">
        <v>17</v>
      </c>
      <c r="F35" s="15">
        <f>(F28+F29)/SUM(F28:F31)</f>
        <v>0.49863013698630138</v>
      </c>
    </row>
    <row r="36" spans="3:6" x14ac:dyDescent="0.2">
      <c r="C36" t="s">
        <v>18</v>
      </c>
      <c r="F36" s="15">
        <f>(F30+F31)/SUM(F28:F31)</f>
        <v>0.50136986301369868</v>
      </c>
    </row>
    <row r="38" spans="3:6" x14ac:dyDescent="0.2">
      <c r="C38" t="s">
        <v>68</v>
      </c>
      <c r="F38" s="1">
        <f>SUM('Occ L1-LR'!C16:C39)</f>
        <v>7.9845337586789249</v>
      </c>
    </row>
    <row r="39" spans="3:6" x14ac:dyDescent="0.2">
      <c r="C39" t="s">
        <v>69</v>
      </c>
      <c r="F39" s="1">
        <f>SUM('Occ L1-LR'!D16:D39)</f>
        <v>8.5392602739726016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FDB3-4E25-450C-AAC9-36C0224DE921}">
  <dimension ref="B2:J5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x14ac:dyDescent="0.2">
      <c r="B3" s="11" t="s">
        <v>10</v>
      </c>
      <c r="C3" s="11"/>
      <c r="D3" s="11">
        <v>0</v>
      </c>
    </row>
    <row r="4" spans="2:10" x14ac:dyDescent="0.2">
      <c r="B4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D11" s="1"/>
      <c r="E11" s="1"/>
      <c r="F11" s="1"/>
      <c r="G11" s="1"/>
      <c r="H11" s="1"/>
      <c r="I11" s="1"/>
      <c r="J11" s="1"/>
    </row>
    <row r="12" spans="2:10" x14ac:dyDescent="0.2">
      <c r="D12" s="1"/>
      <c r="E12" s="1"/>
      <c r="F12" s="1"/>
      <c r="G12" s="1"/>
      <c r="H12" s="1"/>
      <c r="I12" s="1"/>
      <c r="J12" s="1"/>
    </row>
    <row r="13" spans="2:10" x14ac:dyDescent="0.2">
      <c r="D13" s="1"/>
      <c r="E13" s="1"/>
      <c r="F13" s="1"/>
      <c r="G13" s="1"/>
      <c r="H13" s="1"/>
      <c r="I13" s="1"/>
      <c r="J13" s="1"/>
    </row>
    <row r="15" spans="2:10" x14ac:dyDescent="0.2">
      <c r="B15" s="8"/>
      <c r="C15" s="10" t="s">
        <v>19</v>
      </c>
    </row>
    <row r="16" spans="2:10" x14ac:dyDescent="0.2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">
      <c r="B20" s="7">
        <v>5</v>
      </c>
      <c r="C20" s="15">
        <f>+'Occ L1-WD'!C20*Occupancy!$F$34+'Occ L1-WD'!D20*Occupancy!$F$33</f>
        <v>1</v>
      </c>
      <c r="E20" s="15"/>
      <c r="G20" s="15"/>
    </row>
    <row r="21" spans="2:7" x14ac:dyDescent="0.2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">
      <c r="B25" s="7">
        <v>10</v>
      </c>
      <c r="C25" s="15">
        <f>+'Occ L1-WD'!C25*Occupancy!$F$34+'Occ L1-WD'!D25*Occupancy!$F$33</f>
        <v>8.6151247888909752E-2</v>
      </c>
      <c r="E25" s="15"/>
      <c r="G25" s="15"/>
    </row>
    <row r="26" spans="2:7" x14ac:dyDescent="0.2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">
      <c r="B27" s="7">
        <v>12</v>
      </c>
      <c r="C27" s="15">
        <f>+'Occ L1-WD'!C27*Occupancy!$F$34+'Occ L1-WD'!D27*Occupancy!$F$33</f>
        <v>0.24188778382435727</v>
      </c>
      <c r="E27" s="15"/>
      <c r="G27" s="15"/>
    </row>
    <row r="28" spans="2:7" x14ac:dyDescent="0.2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">
      <c r="B34" s="7">
        <v>19</v>
      </c>
      <c r="C34" s="15">
        <f>+'Occ L1-WD'!C34*Occupancy!$F$34+'Occ L1-WD'!D34*Occupancy!$F$33</f>
        <v>0.89693150684931511</v>
      </c>
      <c r="E34" s="15"/>
      <c r="G34" s="15"/>
    </row>
    <row r="35" spans="2:7" x14ac:dyDescent="0.2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">
      <c r="B41" t="s">
        <v>294</v>
      </c>
      <c r="C41" s="15">
        <f>SUM(C16:C39)</f>
        <v>16.368057496716077</v>
      </c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46</v>
      </c>
    </row>
    <row r="48" spans="2:7" x14ac:dyDescent="0.2">
      <c r="B48" s="5" t="str">
        <f>C15&amp;"-DS"&amp;" =DAY-SCHEDULE   TYPE = FRACTION"</f>
        <v>Occ-DS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"Occupancy-SCH =SCHEDULE TYPE = FRACTION"</f>
        <v>Occupancy-SCH =SCHEDULE TYPE = FRACTION</v>
      </c>
    </row>
    <row r="54" spans="2:2" x14ac:dyDescent="0.2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DE0-6C3E-461A-99C1-716AC2C39B4B}">
  <dimension ref="B2:J6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6</v>
      </c>
      <c r="D4" s="11" t="s">
        <v>7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6</v>
      </c>
      <c r="D14" t="s">
        <v>7</v>
      </c>
    </row>
    <row r="15" spans="2:10" x14ac:dyDescent="0.2">
      <c r="B15" s="8" t="s">
        <v>91</v>
      </c>
      <c r="C15" s="9" t="s">
        <v>20</v>
      </c>
      <c r="D15" s="9" t="s">
        <v>21</v>
      </c>
    </row>
    <row r="16" spans="2:10" x14ac:dyDescent="0.2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">
      <c r="B20" s="7">
        <v>5</v>
      </c>
      <c r="C20" s="15">
        <f>+'OccL2-WD-DU'!C20*Occupancy!$F$35+'OccL2-WD-DU'!E20*Occupancy!$F$36</f>
        <v>1</v>
      </c>
      <c r="D20" s="15">
        <f>+'OccL2-WD-DU'!D20*Occupancy!$F$35+'OccL2-WD-DU'!F20*Occupancy!$F$36</f>
        <v>1</v>
      </c>
      <c r="F20" s="15"/>
      <c r="G20" s="15"/>
    </row>
    <row r="21" spans="2:7" x14ac:dyDescent="0.2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1.3698630136986523E-3</v>
      </c>
      <c r="F25" s="15"/>
      <c r="G25" s="15"/>
    </row>
    <row r="26" spans="2:7" x14ac:dyDescent="0.2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0.5</v>
      </c>
      <c r="F27" s="15"/>
      <c r="G27" s="15"/>
    </row>
    <row r="28" spans="2:7" x14ac:dyDescent="0.2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0.67000000000000015</v>
      </c>
      <c r="F34" s="15"/>
      <c r="G34" s="15"/>
    </row>
    <row r="35" spans="2:7" x14ac:dyDescent="0.2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47</v>
      </c>
    </row>
    <row r="48" spans="2:7" x14ac:dyDescent="0.2">
      <c r="B48" s="5" t="str">
        <f>C15&amp;"-DS"&amp;" =DAY-SCHEDULE   TYPE = FRACTION"</f>
        <v>Occ-WD-DS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48</v>
      </c>
    </row>
    <row r="54" spans="2:2" x14ac:dyDescent="0.2">
      <c r="B54" s="5" t="str">
        <f>D15&amp;"-DS"&amp;" =DAY-SCHEDULE   TYPE = FRACTION"</f>
        <v>Occ-WE-DS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5" t="str">
        <f>"Occupancy-SCH =SCHEDULE TYPE = FRACTION"</f>
        <v>Occupancy-SCH =SCHEDULE TYPE = FRACTION</v>
      </c>
    </row>
    <row r="60" spans="2:2" x14ac:dyDescent="0.2">
      <c r="B60" s="5" t="str">
        <f>"          THRU DEC 31 (WD)   "&amp;C15&amp;"-DS"</f>
        <v xml:space="preserve">          THRU DEC 31 (WD)   Occ-WD-DS</v>
      </c>
    </row>
    <row r="61" spans="2:2" x14ac:dyDescent="0.2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FBC6-C8F3-415F-9B6C-40E3FEA65F47}">
  <dimension ref="B2:J12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x14ac:dyDescent="0.2">
      <c r="B3" s="11" t="s">
        <v>10</v>
      </c>
      <c r="C3" s="11"/>
      <c r="D3" s="11">
        <v>1</v>
      </c>
      <c r="G3" t="s">
        <v>79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B11" s="1"/>
      <c r="C11" s="1"/>
      <c r="F11" s="4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14</v>
      </c>
      <c r="D14" t="s">
        <v>15</v>
      </c>
    </row>
    <row r="15" spans="2:10" x14ac:dyDescent="0.2">
      <c r="B15" s="8" t="s">
        <v>91</v>
      </c>
      <c r="C15" s="9" t="s">
        <v>22</v>
      </c>
      <c r="D15" s="9" t="s">
        <v>23</v>
      </c>
    </row>
    <row r="16" spans="2:10" x14ac:dyDescent="0.2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">
      <c r="B22" s="7">
        <v>7</v>
      </c>
      <c r="C22" s="15">
        <f>+'OccL2-DU-LR'!C22+'OccL2-DU-LR'!D22</f>
        <v>0.99999999999999989</v>
      </c>
      <c r="D22" s="15">
        <f>+'OccL2-DU-LR'!E22+'OccL2-DU-LR'!F22</f>
        <v>0.99999999999999989</v>
      </c>
    </row>
    <row r="23" spans="2:4" x14ac:dyDescent="0.2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49</v>
      </c>
    </row>
    <row r="48" spans="2:4" x14ac:dyDescent="0.2">
      <c r="B48" s="5" t="str">
        <f>C15&amp;"-DS"&amp;" =DAY-SCHEDULE   TYPE = FRACTION"</f>
        <v>Occ-DU-DS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50</v>
      </c>
    </row>
    <row r="54" spans="2:2" x14ac:dyDescent="0.2">
      <c r="B54" s="5" t="str">
        <f>D15&amp;"-DS"&amp;" =DAY-SCHEDULE   TYPE = FRACTION"</f>
        <v>Occ-ND-DS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60" spans="2:2" x14ac:dyDescent="0.2">
      <c r="B60" s="5" t="s">
        <v>93</v>
      </c>
    </row>
    <row r="61" spans="2:2" x14ac:dyDescent="0.2">
      <c r="B61" s="5" t="s">
        <v>95</v>
      </c>
    </row>
    <row r="63" spans="2:2" x14ac:dyDescent="0.2">
      <c r="B63" s="5" t="s">
        <v>94</v>
      </c>
    </row>
    <row r="64" spans="2:2" x14ac:dyDescent="0.2">
      <c r="B64" s="5" t="s">
        <v>96</v>
      </c>
    </row>
    <row r="65" spans="2:2" x14ac:dyDescent="0.2">
      <c r="B65" s="5"/>
    </row>
    <row r="66" spans="2:2" x14ac:dyDescent="0.2">
      <c r="B66" s="5" t="s">
        <v>123</v>
      </c>
    </row>
    <row r="67" spans="2:2" x14ac:dyDescent="0.2">
      <c r="B67" s="5" t="s">
        <v>124</v>
      </c>
    </row>
    <row r="68" spans="2:2" x14ac:dyDescent="0.2">
      <c r="B68" s="5" t="s">
        <v>80</v>
      </c>
    </row>
    <row r="69" spans="2:2" x14ac:dyDescent="0.2">
      <c r="B69" s="5" t="s">
        <v>97</v>
      </c>
    </row>
    <row r="70" spans="2:2" x14ac:dyDescent="0.2">
      <c r="B70" s="5" t="s">
        <v>125</v>
      </c>
    </row>
    <row r="71" spans="2:2" x14ac:dyDescent="0.2">
      <c r="B71" s="5" t="s">
        <v>98</v>
      </c>
    </row>
    <row r="72" spans="2:2" x14ac:dyDescent="0.2">
      <c r="B72" s="5" t="s">
        <v>126</v>
      </c>
    </row>
    <row r="73" spans="2:2" x14ac:dyDescent="0.2">
      <c r="B73" s="5" t="s">
        <v>122</v>
      </c>
    </row>
    <row r="74" spans="2:2" x14ac:dyDescent="0.2">
      <c r="B74" s="5" t="s">
        <v>127</v>
      </c>
    </row>
    <row r="75" spans="2:2" x14ac:dyDescent="0.2">
      <c r="B75" s="5" t="s">
        <v>113</v>
      </c>
    </row>
    <row r="76" spans="2:2" x14ac:dyDescent="0.2">
      <c r="B76" s="5" t="s">
        <v>128</v>
      </c>
    </row>
    <row r="77" spans="2:2" x14ac:dyDescent="0.2">
      <c r="B77" s="5" t="s">
        <v>103</v>
      </c>
    </row>
    <row r="78" spans="2:2" x14ac:dyDescent="0.2">
      <c r="B78" s="5" t="s">
        <v>129</v>
      </c>
    </row>
    <row r="79" spans="2:2" x14ac:dyDescent="0.2">
      <c r="B79" s="5" t="s">
        <v>104</v>
      </c>
    </row>
    <row r="80" spans="2:2" x14ac:dyDescent="0.2">
      <c r="B80" s="5" t="s">
        <v>130</v>
      </c>
    </row>
    <row r="81" spans="2:2" x14ac:dyDescent="0.2">
      <c r="B81" s="5" t="s">
        <v>105</v>
      </c>
    </row>
    <row r="82" spans="2:2" x14ac:dyDescent="0.2">
      <c r="B82" s="5" t="s">
        <v>131</v>
      </c>
    </row>
    <row r="83" spans="2:2" x14ac:dyDescent="0.2">
      <c r="B83" s="5" t="s">
        <v>99</v>
      </c>
    </row>
    <row r="84" spans="2:2" x14ac:dyDescent="0.2">
      <c r="B84" s="5" t="s">
        <v>132</v>
      </c>
    </row>
    <row r="85" spans="2:2" x14ac:dyDescent="0.2">
      <c r="B85" s="5" t="s">
        <v>100</v>
      </c>
    </row>
    <row r="86" spans="2:2" x14ac:dyDescent="0.2">
      <c r="B86" s="5" t="s">
        <v>133</v>
      </c>
    </row>
    <row r="87" spans="2:2" x14ac:dyDescent="0.2">
      <c r="B87" s="5" t="s">
        <v>106</v>
      </c>
    </row>
    <row r="88" spans="2:2" x14ac:dyDescent="0.2">
      <c r="B88" s="5" t="s">
        <v>134</v>
      </c>
    </row>
    <row r="89" spans="2:2" x14ac:dyDescent="0.2">
      <c r="B89" s="5" t="s">
        <v>107</v>
      </c>
    </row>
    <row r="90" spans="2:2" x14ac:dyDescent="0.2">
      <c r="B90" s="5" t="s">
        <v>135</v>
      </c>
    </row>
    <row r="91" spans="2:2" x14ac:dyDescent="0.2">
      <c r="B91" s="5" t="s">
        <v>114</v>
      </c>
    </row>
    <row r="92" spans="2:2" x14ac:dyDescent="0.2">
      <c r="B92" s="5" t="s">
        <v>136</v>
      </c>
    </row>
    <row r="93" spans="2:2" x14ac:dyDescent="0.2">
      <c r="B93" s="5" t="s">
        <v>115</v>
      </c>
    </row>
    <row r="94" spans="2:2" x14ac:dyDescent="0.2">
      <c r="B94" s="5" t="s">
        <v>137</v>
      </c>
    </row>
    <row r="95" spans="2:2" x14ac:dyDescent="0.2">
      <c r="B95" s="5" t="s">
        <v>102</v>
      </c>
    </row>
    <row r="96" spans="2:2" x14ac:dyDescent="0.2">
      <c r="B96" s="5" t="s">
        <v>138</v>
      </c>
    </row>
    <row r="97" spans="2:2" x14ac:dyDescent="0.2">
      <c r="B97" s="5" t="s">
        <v>101</v>
      </c>
    </row>
    <row r="98" spans="2:2" x14ac:dyDescent="0.2">
      <c r="B98" s="5" t="s">
        <v>139</v>
      </c>
    </row>
    <row r="99" spans="2:2" x14ac:dyDescent="0.2">
      <c r="B99" s="5" t="s">
        <v>116</v>
      </c>
    </row>
    <row r="100" spans="2:2" x14ac:dyDescent="0.2">
      <c r="B100" s="5" t="s">
        <v>140</v>
      </c>
    </row>
    <row r="101" spans="2:2" x14ac:dyDescent="0.2">
      <c r="B101" s="5" t="s">
        <v>117</v>
      </c>
    </row>
    <row r="102" spans="2:2" x14ac:dyDescent="0.2">
      <c r="B102" s="5" t="s">
        <v>141</v>
      </c>
    </row>
    <row r="103" spans="2:2" x14ac:dyDescent="0.2">
      <c r="B103" s="5" t="s">
        <v>108</v>
      </c>
    </row>
    <row r="104" spans="2:2" x14ac:dyDescent="0.2">
      <c r="B104" s="5" t="s">
        <v>142</v>
      </c>
    </row>
    <row r="105" spans="2:2" x14ac:dyDescent="0.2">
      <c r="B105" s="5" t="s">
        <v>109</v>
      </c>
    </row>
    <row r="106" spans="2:2" x14ac:dyDescent="0.2">
      <c r="B106" s="5" t="s">
        <v>143</v>
      </c>
    </row>
    <row r="107" spans="2:2" x14ac:dyDescent="0.2">
      <c r="B107" s="5" t="s">
        <v>110</v>
      </c>
    </row>
    <row r="108" spans="2:2" x14ac:dyDescent="0.2">
      <c r="B108" s="5" t="s">
        <v>144</v>
      </c>
    </row>
    <row r="109" spans="2:2" x14ac:dyDescent="0.2">
      <c r="B109" s="5" t="s">
        <v>118</v>
      </c>
    </row>
    <row r="110" spans="2:2" x14ac:dyDescent="0.2">
      <c r="B110" s="5" t="s">
        <v>145</v>
      </c>
    </row>
    <row r="111" spans="2:2" x14ac:dyDescent="0.2">
      <c r="B111" s="5" t="s">
        <v>119</v>
      </c>
    </row>
    <row r="112" spans="2:2" x14ac:dyDescent="0.2">
      <c r="B112" s="5" t="s">
        <v>146</v>
      </c>
    </row>
    <row r="113" spans="2:2" x14ac:dyDescent="0.2">
      <c r="B113" s="5" t="s">
        <v>111</v>
      </c>
    </row>
    <row r="114" spans="2:2" x14ac:dyDescent="0.2">
      <c r="B114" s="5" t="s">
        <v>147</v>
      </c>
    </row>
    <row r="115" spans="2:2" x14ac:dyDescent="0.2">
      <c r="B115" s="5" t="s">
        <v>112</v>
      </c>
    </row>
    <row r="116" spans="2:2" x14ac:dyDescent="0.2">
      <c r="B116" s="5" t="s">
        <v>148</v>
      </c>
    </row>
    <row r="117" spans="2:2" x14ac:dyDescent="0.2">
      <c r="B117" s="5" t="s">
        <v>120</v>
      </c>
    </row>
    <row r="118" spans="2:2" x14ac:dyDescent="0.2">
      <c r="B118" s="5" t="s">
        <v>149</v>
      </c>
    </row>
    <row r="119" spans="2:2" x14ac:dyDescent="0.2">
      <c r="B119" s="5" t="s">
        <v>121</v>
      </c>
    </row>
    <row r="120" spans="2:2" x14ac:dyDescent="0.2">
      <c r="B120" s="5" t="s">
        <v>293</v>
      </c>
    </row>
    <row r="121" spans="2:2" x14ac:dyDescent="0.2">
      <c r="B121" s="5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C76F-94BE-4539-83ED-29BD8F7546E1}">
  <dimension ref="B2:J6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51</v>
      </c>
    </row>
    <row r="10" spans="2:10" x14ac:dyDescent="0.2">
      <c r="B10" s="1"/>
      <c r="C10" s="1" t="s">
        <v>52</v>
      </c>
    </row>
    <row r="13" spans="2:10" x14ac:dyDescent="0.2">
      <c r="D13" s="1"/>
      <c r="E13" s="1"/>
      <c r="F13" s="1"/>
      <c r="G13" s="1"/>
      <c r="H13" s="1"/>
      <c r="I13" s="1"/>
      <c r="J13" s="1"/>
    </row>
    <row r="14" spans="2:10" x14ac:dyDescent="0.2">
      <c r="C14" t="s">
        <v>12</v>
      </c>
      <c r="D14" t="s">
        <v>5</v>
      </c>
    </row>
    <row r="15" spans="2:10" x14ac:dyDescent="0.2">
      <c r="B15" s="8" t="s">
        <v>91</v>
      </c>
      <c r="C15" s="9" t="s">
        <v>24</v>
      </c>
      <c r="D15" s="9" t="s">
        <v>25</v>
      </c>
    </row>
    <row r="16" spans="2:10" x14ac:dyDescent="0.2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">
      <c r="B22" s="7">
        <v>7</v>
      </c>
      <c r="C22" s="15">
        <f>+'OccL2-DU-LR'!C22*Occupancy!$F$35+'OccL2-DU-LR'!E22*Occupancy!$F$36</f>
        <v>0.34383561643835614</v>
      </c>
      <c r="D22" s="15">
        <f>+'OccL2-DU-LR'!D22*Occupancy!$F$35+'OccL2-DU-LR'!F22*Occupancy!$F$36</f>
        <v>0.65616438356164375</v>
      </c>
    </row>
    <row r="23" spans="2:4" x14ac:dyDescent="0.2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53</v>
      </c>
    </row>
    <row r="48" spans="2:4" x14ac:dyDescent="0.2">
      <c r="B48" s="5" t="str">
        <f>C15&amp;"-DS"&amp;" =DAY-SCHEDULE   TYPE = FRACTION"</f>
        <v>Occ-LR-DS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C15&amp;"-SCH =SCHEDULE TYPE = FRACTION"</f>
        <v>Occ-LR-SCH =SCHEDULE TYPE = FRACTION</v>
      </c>
    </row>
    <row r="54" spans="2:2" x14ac:dyDescent="0.2">
      <c r="B54" s="5" t="str">
        <f>"          THRU DEC 31 (ALL)  "&amp;C15&amp;"-DS  .."</f>
        <v xml:space="preserve">          THRU DEC 31 (ALL)  Occ-LR-DS  ..</v>
      </c>
    </row>
    <row r="55" spans="2:2" x14ac:dyDescent="0.2">
      <c r="B55" s="5"/>
    </row>
    <row r="56" spans="2:2" x14ac:dyDescent="0.2">
      <c r="B56" s="5"/>
    </row>
    <row r="57" spans="2:2" x14ac:dyDescent="0.2">
      <c r="B57" s="6" t="s">
        <v>54</v>
      </c>
    </row>
    <row r="58" spans="2:2" x14ac:dyDescent="0.2">
      <c r="B58" s="5" t="str">
        <f>D15&amp;"-DS"&amp;" =DAY-SCHEDULE   TYPE = FRACTION"</f>
        <v>Occ-BR-DS =DAY-SCHEDULE   TYPE = FRACTION</v>
      </c>
    </row>
    <row r="59" spans="2:2" x14ac:dyDescent="0.2">
      <c r="B59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60" spans="2:2" x14ac:dyDescent="0.2">
      <c r="B60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61" spans="2:2" x14ac:dyDescent="0.2">
      <c r="B61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62" spans="2:2" x14ac:dyDescent="0.2">
      <c r="B62" s="5"/>
    </row>
    <row r="63" spans="2:2" x14ac:dyDescent="0.2">
      <c r="B63" s="5" t="str">
        <f>D15&amp;"-SCH =SCHEDULE TYPE = FRACTION"</f>
        <v>Occ-BR-SCH =SCHEDULE TYPE = FRACTION</v>
      </c>
    </row>
    <row r="64" spans="2:2" x14ac:dyDescent="0.2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D814-6E43-4BA4-AFAD-4971C5AE9B13}">
  <dimension ref="B2:K134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44</v>
      </c>
    </row>
    <row r="7" spans="2:10" x14ac:dyDescent="0.2">
      <c r="B7" s="2"/>
    </row>
    <row r="8" spans="2:10" x14ac:dyDescent="0.2">
      <c r="F8" s="4"/>
    </row>
    <row r="9" spans="2:10" x14ac:dyDescent="0.2">
      <c r="B9" t="s">
        <v>295</v>
      </c>
    </row>
    <row r="10" spans="2:10" x14ac:dyDescent="0.2">
      <c r="C10" t="s">
        <v>62</v>
      </c>
      <c r="F10" s="4">
        <f>+(Occupancy!F19*Occupancy!F38+Occupancy!F20*Occupancy!F39)/(Occupancy!F38+Occupancy!F39)</f>
        <v>219.66428623220699</v>
      </c>
      <c r="G10" t="s">
        <v>63</v>
      </c>
      <c r="I10" t="s">
        <v>65</v>
      </c>
    </row>
    <row r="11" spans="2:10" x14ac:dyDescent="0.2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">
      <c r="C14" t="s">
        <v>6</v>
      </c>
      <c r="D14" t="s">
        <v>7</v>
      </c>
      <c r="E14" t="s">
        <v>6</v>
      </c>
      <c r="F14" t="s">
        <v>7</v>
      </c>
    </row>
    <row r="15" spans="2:10" x14ac:dyDescent="0.2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">
      <c r="B25" s="7">
        <v>10</v>
      </c>
      <c r="C25" s="15">
        <f>+'Occ L3-WD-DU-LR'!C25+'Occ L3-WD-DU-LR'!D25</f>
        <v>0.25</v>
      </c>
      <c r="D25" s="15">
        <f>-'Occ L3-WD-DU-LR'!E25-'Occ L3-WD-DU-LR'!F25</f>
        <v>-0.5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+'Occ L3-WD-DU-LR'!J27+'Occ L3-WD-DU-LR'!K27</f>
        <v>0.5</v>
      </c>
    </row>
    <row r="28" spans="2:6" x14ac:dyDescent="0.2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">
      <c r="B34" s="7">
        <v>19</v>
      </c>
      <c r="C34" s="15">
        <f>+'Occ L3-WD-DU-LR'!C34+'Occ L3-WD-DU-LR'!D34</f>
        <v>1</v>
      </c>
      <c r="D34" s="15">
        <f>+'Occ L3-WD-DU-LR'!E34+'Occ L3-WD-DU-LR'!F34</f>
        <v>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Occ-ND-WD-DS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11" x14ac:dyDescent="0.2">
      <c r="B65" s="6" t="s">
        <v>67</v>
      </c>
    </row>
    <row r="66" spans="2:11" x14ac:dyDescent="0.2">
      <c r="B66" s="5" t="str">
        <f>F15&amp;"-DS"&amp;" =DAY-SCHEDULE   TYPE = FRACTION"</f>
        <v>Occ-ND-WE-DS =DAY-SCHEDULE   TYPE = FRACTION</v>
      </c>
    </row>
    <row r="67" spans="2:11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11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11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11" x14ac:dyDescent="0.2">
      <c r="B71" s="5" t="s">
        <v>93</v>
      </c>
      <c r="K71" s="5"/>
    </row>
    <row r="72" spans="2:11" x14ac:dyDescent="0.2">
      <c r="B72" s="5" t="s">
        <v>150</v>
      </c>
      <c r="K72" s="5"/>
    </row>
    <row r="73" spans="2:11" x14ac:dyDescent="0.2">
      <c r="B73" s="5" t="s">
        <v>151</v>
      </c>
      <c r="K73" s="5"/>
    </row>
    <row r="75" spans="2:11" x14ac:dyDescent="0.2">
      <c r="B75" s="5" t="s">
        <v>94</v>
      </c>
      <c r="K75" s="5"/>
    </row>
    <row r="76" spans="2:11" x14ac:dyDescent="0.2">
      <c r="B76" s="5" t="s">
        <v>152</v>
      </c>
      <c r="K76" s="5"/>
    </row>
    <row r="77" spans="2:11" x14ac:dyDescent="0.2">
      <c r="B77" s="5" t="s">
        <v>153</v>
      </c>
      <c r="K77" s="5"/>
    </row>
    <row r="78" spans="2:11" x14ac:dyDescent="0.2">
      <c r="B78" s="5"/>
    </row>
    <row r="79" spans="2:11" x14ac:dyDescent="0.2">
      <c r="B79" s="5" t="s">
        <v>123</v>
      </c>
    </row>
    <row r="80" spans="2:11" x14ac:dyDescent="0.2">
      <c r="B80" s="5" t="s">
        <v>124</v>
      </c>
    </row>
    <row r="81" spans="2:9" x14ac:dyDescent="0.2">
      <c r="B81" s="5" t="s">
        <v>80</v>
      </c>
    </row>
    <row r="82" spans="2:9" x14ac:dyDescent="0.2">
      <c r="B82" s="5" t="s">
        <v>97</v>
      </c>
    </row>
    <row r="83" spans="2:9" x14ac:dyDescent="0.2">
      <c r="B83" s="5" t="s">
        <v>125</v>
      </c>
    </row>
    <row r="84" spans="2:9" x14ac:dyDescent="0.2">
      <c r="B84" s="5" t="s">
        <v>98</v>
      </c>
    </row>
    <row r="85" spans="2:9" x14ac:dyDescent="0.2">
      <c r="B85" s="5" t="s">
        <v>126</v>
      </c>
    </row>
    <row r="86" spans="2:9" x14ac:dyDescent="0.2">
      <c r="B86" s="5" t="s">
        <v>122</v>
      </c>
    </row>
    <row r="87" spans="2:9" x14ac:dyDescent="0.2">
      <c r="B87" s="5" t="s">
        <v>127</v>
      </c>
    </row>
    <row r="88" spans="2:9" x14ac:dyDescent="0.2">
      <c r="B88" s="5" t="s">
        <v>113</v>
      </c>
    </row>
    <row r="89" spans="2:9" x14ac:dyDescent="0.2">
      <c r="B89" s="5" t="s">
        <v>128</v>
      </c>
    </row>
    <row r="90" spans="2:9" x14ac:dyDescent="0.2">
      <c r="B90" s="5" t="s">
        <v>103</v>
      </c>
    </row>
    <row r="91" spans="2:9" x14ac:dyDescent="0.2">
      <c r="B91" s="5" t="s">
        <v>129</v>
      </c>
    </row>
    <row r="92" spans="2:9" x14ac:dyDescent="0.2">
      <c r="B92" s="5" t="s">
        <v>104</v>
      </c>
      <c r="I92" s="12"/>
    </row>
    <row r="93" spans="2:9" x14ac:dyDescent="0.2">
      <c r="B93" s="5" t="s">
        <v>130</v>
      </c>
    </row>
    <row r="94" spans="2:9" x14ac:dyDescent="0.2">
      <c r="B94" s="5" t="s">
        <v>105</v>
      </c>
    </row>
    <row r="95" spans="2:9" x14ac:dyDescent="0.2">
      <c r="B95" s="5" t="s">
        <v>131</v>
      </c>
    </row>
    <row r="96" spans="2:9" x14ac:dyDescent="0.2">
      <c r="B96" s="5" t="s">
        <v>99</v>
      </c>
    </row>
    <row r="97" spans="2:2" x14ac:dyDescent="0.2">
      <c r="B97" s="5" t="s">
        <v>132</v>
      </c>
    </row>
    <row r="98" spans="2:2" x14ac:dyDescent="0.2">
      <c r="B98" s="5" t="s">
        <v>100</v>
      </c>
    </row>
    <row r="99" spans="2:2" x14ac:dyDescent="0.2">
      <c r="B99" s="5" t="s">
        <v>133</v>
      </c>
    </row>
    <row r="100" spans="2:2" x14ac:dyDescent="0.2">
      <c r="B100" s="5" t="s">
        <v>106</v>
      </c>
    </row>
    <row r="101" spans="2:2" x14ac:dyDescent="0.2">
      <c r="B101" s="5" t="s">
        <v>134</v>
      </c>
    </row>
    <row r="102" spans="2:2" x14ac:dyDescent="0.2">
      <c r="B102" s="5" t="s">
        <v>107</v>
      </c>
    </row>
    <row r="103" spans="2:2" x14ac:dyDescent="0.2">
      <c r="B103" s="5" t="s">
        <v>135</v>
      </c>
    </row>
    <row r="104" spans="2:2" x14ac:dyDescent="0.2">
      <c r="B104" s="5" t="s">
        <v>114</v>
      </c>
    </row>
    <row r="105" spans="2:2" x14ac:dyDescent="0.2">
      <c r="B105" s="5" t="s">
        <v>136</v>
      </c>
    </row>
    <row r="106" spans="2:2" x14ac:dyDescent="0.2">
      <c r="B106" s="5" t="s">
        <v>115</v>
      </c>
    </row>
    <row r="107" spans="2:2" x14ac:dyDescent="0.2">
      <c r="B107" s="5" t="s">
        <v>137</v>
      </c>
    </row>
    <row r="108" spans="2:2" x14ac:dyDescent="0.2">
      <c r="B108" s="5" t="s">
        <v>102</v>
      </c>
    </row>
    <row r="109" spans="2:2" x14ac:dyDescent="0.2">
      <c r="B109" s="5" t="s">
        <v>138</v>
      </c>
    </row>
    <row r="110" spans="2:2" x14ac:dyDescent="0.2">
      <c r="B110" s="5" t="s">
        <v>101</v>
      </c>
    </row>
    <row r="111" spans="2:2" x14ac:dyDescent="0.2">
      <c r="B111" s="5" t="s">
        <v>139</v>
      </c>
    </row>
    <row r="112" spans="2:2" x14ac:dyDescent="0.2">
      <c r="B112" s="5" t="s">
        <v>116</v>
      </c>
    </row>
    <row r="113" spans="2:2" x14ac:dyDescent="0.2">
      <c r="B113" s="5" t="s">
        <v>140</v>
      </c>
    </row>
    <row r="114" spans="2:2" x14ac:dyDescent="0.2">
      <c r="B114" s="5" t="s">
        <v>117</v>
      </c>
    </row>
    <row r="115" spans="2:2" x14ac:dyDescent="0.2">
      <c r="B115" s="5" t="s">
        <v>141</v>
      </c>
    </row>
    <row r="116" spans="2:2" x14ac:dyDescent="0.2">
      <c r="B116" s="5" t="s">
        <v>108</v>
      </c>
    </row>
    <row r="117" spans="2:2" x14ac:dyDescent="0.2">
      <c r="B117" s="5" t="s">
        <v>142</v>
      </c>
    </row>
    <row r="118" spans="2:2" x14ac:dyDescent="0.2">
      <c r="B118" s="5" t="s">
        <v>109</v>
      </c>
    </row>
    <row r="119" spans="2:2" x14ac:dyDescent="0.2">
      <c r="B119" s="5" t="s">
        <v>143</v>
      </c>
    </row>
    <row r="120" spans="2:2" x14ac:dyDescent="0.2">
      <c r="B120" s="5" t="s">
        <v>110</v>
      </c>
    </row>
    <row r="121" spans="2:2" x14ac:dyDescent="0.2">
      <c r="B121" s="5" t="s">
        <v>144</v>
      </c>
    </row>
    <row r="122" spans="2:2" x14ac:dyDescent="0.2">
      <c r="B122" s="5" t="s">
        <v>118</v>
      </c>
    </row>
    <row r="123" spans="2:2" x14ac:dyDescent="0.2">
      <c r="B123" s="5" t="s">
        <v>145</v>
      </c>
    </row>
    <row r="124" spans="2:2" x14ac:dyDescent="0.2">
      <c r="B124" s="5" t="s">
        <v>119</v>
      </c>
    </row>
    <row r="125" spans="2:2" x14ac:dyDescent="0.2">
      <c r="B125" s="5" t="s">
        <v>146</v>
      </c>
    </row>
    <row r="126" spans="2:2" x14ac:dyDescent="0.2">
      <c r="B126" s="5" t="s">
        <v>111</v>
      </c>
    </row>
    <row r="127" spans="2:2" x14ac:dyDescent="0.2">
      <c r="B127" s="5" t="s">
        <v>147</v>
      </c>
    </row>
    <row r="128" spans="2:2" x14ac:dyDescent="0.2">
      <c r="B128" s="5" t="s">
        <v>112</v>
      </c>
    </row>
    <row r="129" spans="2:2" x14ac:dyDescent="0.2">
      <c r="B129" s="5" t="s">
        <v>148</v>
      </c>
    </row>
    <row r="130" spans="2:2" x14ac:dyDescent="0.2">
      <c r="B130" s="5" t="s">
        <v>120</v>
      </c>
    </row>
    <row r="131" spans="2:2" x14ac:dyDescent="0.2">
      <c r="B131" s="5" t="s">
        <v>149</v>
      </c>
    </row>
    <row r="132" spans="2:2" x14ac:dyDescent="0.2">
      <c r="B132" s="5" t="s">
        <v>121</v>
      </c>
    </row>
    <row r="133" spans="2:2" x14ac:dyDescent="0.2">
      <c r="B133" s="5" t="s">
        <v>293</v>
      </c>
    </row>
    <row r="134" spans="2:2" x14ac:dyDescent="0.2">
      <c r="B134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2774-65AB-46EA-BCBF-0CB36B55DD48}">
  <dimension ref="B2:J103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43</v>
      </c>
    </row>
    <row r="7" spans="2:10" x14ac:dyDescent="0.2">
      <c r="B7" s="2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tr">
        <f>"Occ-LR-SCH =SCHEDULE TYPE = FRACTION"</f>
        <v>Occ-LR-SCH =SCHEDULE TYPE = FRACTION</v>
      </c>
    </row>
    <row r="73" spans="2:2" x14ac:dyDescent="0.2">
      <c r="B73" s="5" t="str">
        <f>"          THRU DEC 31 (WD)   "&amp;C15&amp;"-DS"</f>
        <v xml:space="preserve">          THRU DEC 31 (WD)   Occ-LR-WD-DS</v>
      </c>
    </row>
    <row r="74" spans="2:2" x14ac:dyDescent="0.2">
      <c r="B74" s="5" t="str">
        <f>"                      (WEH)  "&amp;E15&amp;"-DS  .."</f>
        <v xml:space="preserve">                      (WEH)  Occ-LR-WE-DS  ..</v>
      </c>
    </row>
    <row r="75" spans="2:2" x14ac:dyDescent="0.2">
      <c r="B75" s="5"/>
    </row>
    <row r="76" spans="2:2" x14ac:dyDescent="0.2">
      <c r="B76" s="5"/>
    </row>
    <row r="77" spans="2:2" x14ac:dyDescent="0.2">
      <c r="B77" s="5" t="str">
        <f>"Occ-BR-SCH =SCHEDULE TYPE = FRACTION"</f>
        <v>Occ-BR-SCH =SCHEDULE TYPE = FRACTION</v>
      </c>
    </row>
    <row r="78" spans="2:2" x14ac:dyDescent="0.2">
      <c r="B78" s="5" t="str">
        <f>"          THRU DEC 31 (WD)   "&amp;D15&amp;"-DS"</f>
        <v xml:space="preserve">          THRU DEC 31 (WD)   Occ-BR-WD-DS</v>
      </c>
    </row>
    <row r="79" spans="2:2" x14ac:dyDescent="0.2">
      <c r="B79" s="5" t="str">
        <f>"                      (WEH)  "&amp;F15&amp;"-DS  .."</f>
        <v xml:space="preserve">                      (WEH)  Occ-BR-WE-DS  ..</v>
      </c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41F2-D223-40C4-863B-853AC8A0D40B}">
  <dimension ref="B2:J201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x14ac:dyDescent="0.2">
      <c r="B3" s="11" t="s">
        <v>10</v>
      </c>
      <c r="C3" s="11"/>
      <c r="D3" s="11">
        <v>2</v>
      </c>
      <c r="G3" t="s">
        <v>78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14</v>
      </c>
      <c r="D5" s="11" t="s">
        <v>15</v>
      </c>
    </row>
    <row r="6" spans="2:10" x14ac:dyDescent="0.2">
      <c r="B6" s="2"/>
      <c r="C6" s="3" t="s">
        <v>42</v>
      </c>
    </row>
    <row r="7" spans="2:10" x14ac:dyDescent="0.2">
      <c r="B7" s="2"/>
      <c r="C7" s="3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+'Occ L3-WD-DU-LR'!H22*Occupancy!$F$34+'Occ L3-WD-DU-LR'!J22*Occupancy!$F$33</f>
        <v>0.34383561643835614</v>
      </c>
      <c r="F22" s="15">
        <f>+'Occ L3-WD-DU-LR'!I22*Occupancy!$F$34+'Occ L3-WD-DU-LR'!K22*Occupancy!$F$33</f>
        <v>0.65616438356164375</v>
      </c>
    </row>
    <row r="23" spans="2:6" x14ac:dyDescent="0.2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Occ-DU-BR-DS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Occ-ND-LR-DS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Occ-ND-BR-DS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">
        <v>154</v>
      </c>
    </row>
    <row r="73" spans="2:2" x14ac:dyDescent="0.2">
      <c r="B73" s="5" t="s">
        <v>156</v>
      </c>
    </row>
    <row r="74" spans="2:2" x14ac:dyDescent="0.2">
      <c r="B74" s="5"/>
    </row>
    <row r="76" spans="2:2" x14ac:dyDescent="0.2">
      <c r="B76" s="5" t="s">
        <v>155</v>
      </c>
    </row>
    <row r="77" spans="2:2" x14ac:dyDescent="0.2">
      <c r="B77" s="5" t="s">
        <v>157</v>
      </c>
    </row>
    <row r="78" spans="2:2" x14ac:dyDescent="0.2">
      <c r="B78" s="5"/>
    </row>
    <row r="79" spans="2:2" x14ac:dyDescent="0.2">
      <c r="B79" s="5"/>
    </row>
    <row r="80" spans="2:2" x14ac:dyDescent="0.2">
      <c r="B80" s="5" t="s">
        <v>123</v>
      </c>
    </row>
    <row r="81" spans="2:2" x14ac:dyDescent="0.2">
      <c r="B81" s="5" t="s">
        <v>124</v>
      </c>
    </row>
    <row r="82" spans="2:2" x14ac:dyDescent="0.2">
      <c r="B82" s="5" t="s">
        <v>289</v>
      </c>
    </row>
    <row r="83" spans="2:2" x14ac:dyDescent="0.2">
      <c r="B83" s="5" t="s">
        <v>158</v>
      </c>
    </row>
    <row r="84" spans="2:2" x14ac:dyDescent="0.2">
      <c r="B84" s="5" t="s">
        <v>159</v>
      </c>
    </row>
    <row r="85" spans="2:2" x14ac:dyDescent="0.2">
      <c r="B85" s="5" t="s">
        <v>160</v>
      </c>
    </row>
    <row r="86" spans="2:2" x14ac:dyDescent="0.2">
      <c r="B86" s="5" t="s">
        <v>161</v>
      </c>
    </row>
    <row r="87" spans="2:2" x14ac:dyDescent="0.2">
      <c r="B87" s="5" t="s">
        <v>162</v>
      </c>
    </row>
    <row r="88" spans="2:2" x14ac:dyDescent="0.2">
      <c r="B88" s="5" t="s">
        <v>163</v>
      </c>
    </row>
    <row r="89" spans="2:2" x14ac:dyDescent="0.2">
      <c r="B89" s="5" t="s">
        <v>164</v>
      </c>
    </row>
    <row r="90" spans="2:2" x14ac:dyDescent="0.2">
      <c r="B90" s="5" t="s">
        <v>165</v>
      </c>
    </row>
    <row r="91" spans="2:2" x14ac:dyDescent="0.2">
      <c r="B91" s="5" t="s">
        <v>166</v>
      </c>
    </row>
    <row r="92" spans="2:2" x14ac:dyDescent="0.2">
      <c r="B92" s="5" t="s">
        <v>167</v>
      </c>
    </row>
    <row r="93" spans="2:2" x14ac:dyDescent="0.2">
      <c r="B93" s="5" t="s">
        <v>168</v>
      </c>
    </row>
    <row r="94" spans="2:2" x14ac:dyDescent="0.2">
      <c r="B94" s="5" t="s">
        <v>169</v>
      </c>
    </row>
    <row r="95" spans="2:2" x14ac:dyDescent="0.2">
      <c r="B95" s="5" t="s">
        <v>170</v>
      </c>
    </row>
    <row r="96" spans="2:2" x14ac:dyDescent="0.2">
      <c r="B96" s="5" t="s">
        <v>171</v>
      </c>
    </row>
    <row r="97" spans="2:2" x14ac:dyDescent="0.2">
      <c r="B97" s="5" t="s">
        <v>172</v>
      </c>
    </row>
    <row r="98" spans="2:2" x14ac:dyDescent="0.2">
      <c r="B98" s="5" t="s">
        <v>173</v>
      </c>
    </row>
    <row r="99" spans="2:2" x14ac:dyDescent="0.2">
      <c r="B99" s="5" t="s">
        <v>174</v>
      </c>
    </row>
    <row r="100" spans="2:2" x14ac:dyDescent="0.2">
      <c r="B100" s="5" t="s">
        <v>175</v>
      </c>
    </row>
    <row r="101" spans="2:2" x14ac:dyDescent="0.2">
      <c r="B101" s="5" t="s">
        <v>176</v>
      </c>
    </row>
    <row r="102" spans="2:2" x14ac:dyDescent="0.2">
      <c r="B102" s="5" t="s">
        <v>177</v>
      </c>
    </row>
    <row r="103" spans="2:2" x14ac:dyDescent="0.2">
      <c r="B103" s="5" t="s">
        <v>178</v>
      </c>
    </row>
    <row r="104" spans="2:2" x14ac:dyDescent="0.2">
      <c r="B104" s="5" t="s">
        <v>179</v>
      </c>
    </row>
    <row r="105" spans="2:2" x14ac:dyDescent="0.2">
      <c r="B105" s="5" t="s">
        <v>180</v>
      </c>
    </row>
    <row r="106" spans="2:2" x14ac:dyDescent="0.2">
      <c r="B106" s="5" t="s">
        <v>181</v>
      </c>
    </row>
    <row r="107" spans="2:2" x14ac:dyDescent="0.2">
      <c r="B107" s="5" t="s">
        <v>182</v>
      </c>
    </row>
    <row r="108" spans="2:2" x14ac:dyDescent="0.2">
      <c r="B108" s="5" t="s">
        <v>183</v>
      </c>
    </row>
    <row r="109" spans="2:2" x14ac:dyDescent="0.2">
      <c r="B109" s="5" t="s">
        <v>184</v>
      </c>
    </row>
    <row r="110" spans="2:2" x14ac:dyDescent="0.2">
      <c r="B110" s="5" t="s">
        <v>185</v>
      </c>
    </row>
    <row r="111" spans="2:2" x14ac:dyDescent="0.2">
      <c r="B111" s="5" t="s">
        <v>186</v>
      </c>
    </row>
    <row r="112" spans="2:2" x14ac:dyDescent="0.2">
      <c r="B112" s="5" t="s">
        <v>187</v>
      </c>
    </row>
    <row r="113" spans="2:2" x14ac:dyDescent="0.2">
      <c r="B113" s="5" t="s">
        <v>188</v>
      </c>
    </row>
    <row r="114" spans="2:2" x14ac:dyDescent="0.2">
      <c r="B114" s="5" t="s">
        <v>189</v>
      </c>
    </row>
    <row r="115" spans="2:2" x14ac:dyDescent="0.2">
      <c r="B115" s="5" t="s">
        <v>190</v>
      </c>
    </row>
    <row r="116" spans="2:2" x14ac:dyDescent="0.2">
      <c r="B116" s="5" t="s">
        <v>191</v>
      </c>
    </row>
    <row r="117" spans="2:2" x14ac:dyDescent="0.2">
      <c r="B117" s="5" t="s">
        <v>192</v>
      </c>
    </row>
    <row r="118" spans="2:2" x14ac:dyDescent="0.2">
      <c r="B118" s="5" t="s">
        <v>193</v>
      </c>
    </row>
    <row r="119" spans="2:2" x14ac:dyDescent="0.2">
      <c r="B119" s="5" t="s">
        <v>194</v>
      </c>
    </row>
    <row r="120" spans="2:2" x14ac:dyDescent="0.2">
      <c r="B120" s="5" t="s">
        <v>195</v>
      </c>
    </row>
    <row r="121" spans="2:2" x14ac:dyDescent="0.2">
      <c r="B121" s="5" t="s">
        <v>196</v>
      </c>
    </row>
    <row r="122" spans="2:2" x14ac:dyDescent="0.2">
      <c r="B122" s="5" t="s">
        <v>197</v>
      </c>
    </row>
    <row r="123" spans="2:2" x14ac:dyDescent="0.2">
      <c r="B123" s="5" t="s">
        <v>198</v>
      </c>
    </row>
    <row r="124" spans="2:2" x14ac:dyDescent="0.2">
      <c r="B124" s="5" t="s">
        <v>199</v>
      </c>
    </row>
    <row r="125" spans="2:2" x14ac:dyDescent="0.2">
      <c r="B125" s="5" t="s">
        <v>200</v>
      </c>
    </row>
    <row r="126" spans="2:2" x14ac:dyDescent="0.2">
      <c r="B126" s="5" t="s">
        <v>201</v>
      </c>
    </row>
    <row r="127" spans="2:2" x14ac:dyDescent="0.2">
      <c r="B127" s="5" t="s">
        <v>202</v>
      </c>
    </row>
    <row r="128" spans="2:2" x14ac:dyDescent="0.2">
      <c r="B128" s="5" t="s">
        <v>203</v>
      </c>
    </row>
    <row r="129" spans="2:2" x14ac:dyDescent="0.2">
      <c r="B129" s="5" t="s">
        <v>204</v>
      </c>
    </row>
    <row r="130" spans="2:2" x14ac:dyDescent="0.2">
      <c r="B130" s="5" t="s">
        <v>205</v>
      </c>
    </row>
    <row r="131" spans="2:2" x14ac:dyDescent="0.2">
      <c r="B131" s="5" t="s">
        <v>206</v>
      </c>
    </row>
    <row r="132" spans="2:2" x14ac:dyDescent="0.2">
      <c r="B132" s="5" t="s">
        <v>207</v>
      </c>
    </row>
    <row r="133" spans="2:2" x14ac:dyDescent="0.2">
      <c r="B133" s="5" t="s">
        <v>208</v>
      </c>
    </row>
    <row r="134" spans="2:2" x14ac:dyDescent="0.2">
      <c r="B134" s="5" t="s">
        <v>291</v>
      </c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 t="s">
        <v>267</v>
      </c>
    </row>
    <row r="139" spans="2:2" x14ac:dyDescent="0.2">
      <c r="B139" s="5" t="s">
        <v>211</v>
      </c>
    </row>
    <row r="140" spans="2:2" x14ac:dyDescent="0.2">
      <c r="B140" s="5"/>
    </row>
    <row r="142" spans="2:2" x14ac:dyDescent="0.2">
      <c r="B142" s="5" t="s">
        <v>212</v>
      </c>
    </row>
    <row r="143" spans="2:2" x14ac:dyDescent="0.2">
      <c r="B143" s="5" t="s">
        <v>213</v>
      </c>
    </row>
    <row r="144" spans="2:2" x14ac:dyDescent="0.2">
      <c r="B144" s="5"/>
    </row>
    <row r="145" spans="2:2" x14ac:dyDescent="0.2">
      <c r="B145" s="5"/>
    </row>
    <row r="146" spans="2:2" x14ac:dyDescent="0.2">
      <c r="B146" s="5" t="s">
        <v>123</v>
      </c>
    </row>
    <row r="147" spans="2:2" x14ac:dyDescent="0.2">
      <c r="B147" s="5" t="s">
        <v>124</v>
      </c>
    </row>
    <row r="148" spans="2:2" x14ac:dyDescent="0.2">
      <c r="B148" s="5" t="s">
        <v>290</v>
      </c>
    </row>
    <row r="149" spans="2:2" x14ac:dyDescent="0.2">
      <c r="B149" s="5" t="s">
        <v>214</v>
      </c>
    </row>
    <row r="150" spans="2:2" x14ac:dyDescent="0.2">
      <c r="B150" s="5" t="s">
        <v>215</v>
      </c>
    </row>
    <row r="151" spans="2:2" x14ac:dyDescent="0.2">
      <c r="B151" s="5" t="s">
        <v>216</v>
      </c>
    </row>
    <row r="152" spans="2:2" x14ac:dyDescent="0.2">
      <c r="B152" s="5" t="s">
        <v>217</v>
      </c>
    </row>
    <row r="153" spans="2:2" x14ac:dyDescent="0.2">
      <c r="B153" s="5" t="s">
        <v>218</v>
      </c>
    </row>
    <row r="154" spans="2:2" x14ac:dyDescent="0.2">
      <c r="B154" s="5" t="s">
        <v>219</v>
      </c>
    </row>
    <row r="155" spans="2:2" x14ac:dyDescent="0.2">
      <c r="B155" s="5" t="s">
        <v>220</v>
      </c>
    </row>
    <row r="156" spans="2:2" x14ac:dyDescent="0.2">
      <c r="B156" s="5" t="s">
        <v>221</v>
      </c>
    </row>
    <row r="157" spans="2:2" x14ac:dyDescent="0.2">
      <c r="B157" s="5" t="s">
        <v>222</v>
      </c>
    </row>
    <row r="158" spans="2:2" x14ac:dyDescent="0.2">
      <c r="B158" s="5" t="s">
        <v>223</v>
      </c>
    </row>
    <row r="159" spans="2:2" x14ac:dyDescent="0.2">
      <c r="B159" s="5" t="s">
        <v>224</v>
      </c>
    </row>
    <row r="160" spans="2:2" x14ac:dyDescent="0.2">
      <c r="B160" s="5" t="s">
        <v>225</v>
      </c>
    </row>
    <row r="161" spans="2:2" x14ac:dyDescent="0.2">
      <c r="B161" s="5" t="s">
        <v>226</v>
      </c>
    </row>
    <row r="162" spans="2:2" x14ac:dyDescent="0.2">
      <c r="B162" s="5" t="s">
        <v>227</v>
      </c>
    </row>
    <row r="163" spans="2:2" x14ac:dyDescent="0.2">
      <c r="B163" s="5" t="s">
        <v>228</v>
      </c>
    </row>
    <row r="164" spans="2:2" x14ac:dyDescent="0.2">
      <c r="B164" s="5" t="s">
        <v>229</v>
      </c>
    </row>
    <row r="165" spans="2:2" x14ac:dyDescent="0.2">
      <c r="B165" s="5" t="s">
        <v>230</v>
      </c>
    </row>
    <row r="166" spans="2:2" x14ac:dyDescent="0.2">
      <c r="B166" s="5" t="s">
        <v>231</v>
      </c>
    </row>
    <row r="167" spans="2:2" x14ac:dyDescent="0.2">
      <c r="B167" s="5" t="s">
        <v>232</v>
      </c>
    </row>
    <row r="168" spans="2:2" x14ac:dyDescent="0.2">
      <c r="B168" s="5" t="s">
        <v>233</v>
      </c>
    </row>
    <row r="169" spans="2:2" x14ac:dyDescent="0.2">
      <c r="B169" s="5" t="s">
        <v>234</v>
      </c>
    </row>
    <row r="170" spans="2:2" x14ac:dyDescent="0.2">
      <c r="B170" s="5" t="s">
        <v>235</v>
      </c>
    </row>
    <row r="171" spans="2:2" x14ac:dyDescent="0.2">
      <c r="B171" s="5" t="s">
        <v>236</v>
      </c>
    </row>
    <row r="172" spans="2:2" x14ac:dyDescent="0.2">
      <c r="B172" s="5" t="s">
        <v>237</v>
      </c>
    </row>
    <row r="173" spans="2:2" x14ac:dyDescent="0.2">
      <c r="B173" s="5" t="s">
        <v>238</v>
      </c>
    </row>
    <row r="174" spans="2:2" x14ac:dyDescent="0.2">
      <c r="B174" s="5" t="s">
        <v>239</v>
      </c>
    </row>
    <row r="175" spans="2:2" x14ac:dyDescent="0.2">
      <c r="B175" s="5" t="s">
        <v>240</v>
      </c>
    </row>
    <row r="176" spans="2:2" x14ac:dyDescent="0.2">
      <c r="B176" s="5" t="s">
        <v>241</v>
      </c>
    </row>
    <row r="177" spans="2:2" x14ac:dyDescent="0.2">
      <c r="B177" s="5" t="s">
        <v>242</v>
      </c>
    </row>
    <row r="178" spans="2:2" x14ac:dyDescent="0.2">
      <c r="B178" s="5" t="s">
        <v>243</v>
      </c>
    </row>
    <row r="179" spans="2:2" x14ac:dyDescent="0.2">
      <c r="B179" s="5" t="s">
        <v>244</v>
      </c>
    </row>
    <row r="180" spans="2:2" x14ac:dyDescent="0.2">
      <c r="B180" s="5" t="s">
        <v>245</v>
      </c>
    </row>
    <row r="181" spans="2:2" x14ac:dyDescent="0.2">
      <c r="B181" s="5" t="s">
        <v>246</v>
      </c>
    </row>
    <row r="182" spans="2:2" x14ac:dyDescent="0.2">
      <c r="B182" s="5" t="s">
        <v>247</v>
      </c>
    </row>
    <row r="183" spans="2:2" x14ac:dyDescent="0.2">
      <c r="B183" s="5" t="s">
        <v>248</v>
      </c>
    </row>
    <row r="184" spans="2:2" x14ac:dyDescent="0.2">
      <c r="B184" s="5" t="s">
        <v>249</v>
      </c>
    </row>
    <row r="185" spans="2:2" x14ac:dyDescent="0.2">
      <c r="B185" s="5" t="s">
        <v>250</v>
      </c>
    </row>
    <row r="186" spans="2:2" x14ac:dyDescent="0.2">
      <c r="B186" s="5" t="s">
        <v>251</v>
      </c>
    </row>
    <row r="187" spans="2:2" x14ac:dyDescent="0.2">
      <c r="B187" s="5" t="s">
        <v>252</v>
      </c>
    </row>
    <row r="188" spans="2:2" x14ac:dyDescent="0.2">
      <c r="B188" s="5" t="s">
        <v>253</v>
      </c>
    </row>
    <row r="189" spans="2:2" x14ac:dyDescent="0.2">
      <c r="B189" s="5" t="s">
        <v>254</v>
      </c>
    </row>
    <row r="190" spans="2:2" x14ac:dyDescent="0.2">
      <c r="B190" s="5" t="s">
        <v>255</v>
      </c>
    </row>
    <row r="191" spans="2:2" x14ac:dyDescent="0.2">
      <c r="B191" s="5" t="s">
        <v>256</v>
      </c>
    </row>
    <row r="192" spans="2:2" x14ac:dyDescent="0.2">
      <c r="B192" s="5" t="s">
        <v>257</v>
      </c>
    </row>
    <row r="193" spans="2:2" x14ac:dyDescent="0.2">
      <c r="B193" s="5" t="s">
        <v>258</v>
      </c>
    </row>
    <row r="194" spans="2:2" x14ac:dyDescent="0.2">
      <c r="B194" s="5" t="s">
        <v>259</v>
      </c>
    </row>
    <row r="195" spans="2:2" x14ac:dyDescent="0.2">
      <c r="B195" s="5" t="s">
        <v>260</v>
      </c>
    </row>
    <row r="196" spans="2:2" x14ac:dyDescent="0.2">
      <c r="B196" s="5" t="s">
        <v>261</v>
      </c>
    </row>
    <row r="197" spans="2:2" x14ac:dyDescent="0.2">
      <c r="B197" s="5" t="s">
        <v>262</v>
      </c>
    </row>
    <row r="198" spans="2:2" x14ac:dyDescent="0.2">
      <c r="B198" s="5" t="s">
        <v>263</v>
      </c>
    </row>
    <row r="199" spans="2:2" x14ac:dyDescent="0.2">
      <c r="B199" s="5" t="s">
        <v>264</v>
      </c>
    </row>
    <row r="200" spans="2:2" x14ac:dyDescent="0.2">
      <c r="B200" s="5" t="s">
        <v>292</v>
      </c>
    </row>
    <row r="201" spans="2:2" x14ac:dyDescent="0.2">
      <c r="B201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CBD5-5E59-48F3-81E6-033256083767}">
  <dimension ref="B2:M224"/>
  <sheetViews>
    <sheetView workbookViewId="0">
      <selection activeCell="M25" sqref="M25"/>
    </sheetView>
  </sheetViews>
  <sheetFormatPr baseColWidth="10" defaultRowHeight="12.75" x14ac:dyDescent="0.2"/>
  <cols>
    <col min="1" max="256" width="9.140625" customWidth="1"/>
  </cols>
  <sheetData>
    <row r="2" spans="2:13" x14ac:dyDescent="0.2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x14ac:dyDescent="0.2">
      <c r="B3" s="11" t="s">
        <v>10</v>
      </c>
      <c r="C3" s="11"/>
      <c r="D3" s="11">
        <v>3</v>
      </c>
    </row>
    <row r="4" spans="2:13" x14ac:dyDescent="0.2">
      <c r="B4" s="2" t="s">
        <v>11</v>
      </c>
      <c r="C4" s="11" t="s">
        <v>12</v>
      </c>
      <c r="D4" s="11" t="s">
        <v>5</v>
      </c>
    </row>
    <row r="5" spans="2:13" x14ac:dyDescent="0.2">
      <c r="B5" s="2" t="s">
        <v>13</v>
      </c>
      <c r="C5" s="11" t="s">
        <v>14</v>
      </c>
      <c r="D5" s="11" t="s">
        <v>15</v>
      </c>
    </row>
    <row r="6" spans="2:13" x14ac:dyDescent="0.2">
      <c r="B6" s="2" t="s">
        <v>16</v>
      </c>
      <c r="C6" s="11" t="s">
        <v>6</v>
      </c>
      <c r="D6" s="11" t="s">
        <v>7</v>
      </c>
    </row>
    <row r="7" spans="2:13" x14ac:dyDescent="0.2">
      <c r="B7" s="2"/>
    </row>
    <row r="8" spans="2:13" x14ac:dyDescent="0.2">
      <c r="B8" t="s">
        <v>295</v>
      </c>
    </row>
    <row r="9" spans="2:13" x14ac:dyDescent="0.2">
      <c r="C9" t="s">
        <v>51</v>
      </c>
    </row>
    <row r="10" spans="2:13" x14ac:dyDescent="0.2">
      <c r="B10" s="1"/>
      <c r="C10" s="1" t="s">
        <v>52</v>
      </c>
    </row>
    <row r="12" spans="2:13" x14ac:dyDescent="0.2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">
      <c r="B45" s="5" t="s">
        <v>45</v>
      </c>
    </row>
    <row r="46" spans="2:13" x14ac:dyDescent="0.2">
      <c r="B46" s="5"/>
    </row>
    <row r="47" spans="2:13" x14ac:dyDescent="0.2">
      <c r="B47" s="6" t="s">
        <v>82</v>
      </c>
    </row>
    <row r="48" spans="2:13" x14ac:dyDescent="0.2">
      <c r="B48" s="5" t="str">
        <f>C15&amp;"-DS"&amp;" =DAY-SCHEDULE   TYPE = FRACTION"</f>
        <v>Occ-DU-LR-WD-DS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81</v>
      </c>
    </row>
    <row r="54" spans="2:2" x14ac:dyDescent="0.2">
      <c r="B54" s="5" t="str">
        <f>D15&amp;"-DS"&amp;" =DAY-SCHEDULE   TYPE = FRACTION"</f>
        <v>Occ-DU-BR-WD-DS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83</v>
      </c>
    </row>
    <row r="60" spans="2:2" x14ac:dyDescent="0.2">
      <c r="B60" s="5" t="str">
        <f>E15&amp;"-DS"&amp;" =DAY-SCHEDULE   TYPE = FRACTION"</f>
        <v>Occ-DU-LR-WE-DS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84</v>
      </c>
    </row>
    <row r="66" spans="2:2" x14ac:dyDescent="0.2">
      <c r="B66" s="5" t="str">
        <f>F15&amp;"-DS"&amp;" =DAY-SCHEDULE   TYPE = FRACTION"</f>
        <v>Occ-DU-BR-WE-DS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2" x14ac:dyDescent="0.2">
      <c r="B71" s="6" t="s">
        <v>85</v>
      </c>
    </row>
    <row r="72" spans="2:2" x14ac:dyDescent="0.2">
      <c r="B72" s="5" t="str">
        <f>H15&amp;"-DS"&amp;" =DAY-SCHEDULE   TYPE = FRACTION"</f>
        <v>Occ-ND-LR-WD-DS =DAY-SCHEDULE   TYPE = FRACTION</v>
      </c>
    </row>
    <row r="73" spans="2:2" x14ac:dyDescent="0.2">
      <c r="B73" s="5" t="e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#VALUE!</v>
      </c>
    </row>
    <row r="74" spans="2:2" x14ac:dyDescent="0.2">
      <c r="B74" s="5" t="e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>#VALUE!</v>
      </c>
    </row>
    <row r="75" spans="2:2" x14ac:dyDescent="0.2">
      <c r="B75" s="5" t="e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>#VALUE!</v>
      </c>
    </row>
    <row r="76" spans="2:2" x14ac:dyDescent="0.2">
      <c r="B76" s="5"/>
    </row>
    <row r="77" spans="2:2" x14ac:dyDescent="0.2">
      <c r="B77" s="6" t="s">
        <v>86</v>
      </c>
    </row>
    <row r="78" spans="2:2" x14ac:dyDescent="0.2">
      <c r="B78" s="5" t="str">
        <f>I15&amp;"-DS"&amp;" =DAY-SCHEDULE   TYPE = FRACTION"</f>
        <v>Occ-ND-BR-WD-DS =DAY-SCHEDULE   TYPE = FRACTION</v>
      </c>
    </row>
    <row r="79" spans="2:2" x14ac:dyDescent="0.2">
      <c r="B79" s="5" t="e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#VALUE!</v>
      </c>
    </row>
    <row r="80" spans="2:2" x14ac:dyDescent="0.2">
      <c r="B80" s="5" t="e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>#VALUE!</v>
      </c>
    </row>
    <row r="81" spans="2:2" x14ac:dyDescent="0.2">
      <c r="B81" s="5" t="e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>#VALUE!</v>
      </c>
    </row>
    <row r="82" spans="2:2" x14ac:dyDescent="0.2">
      <c r="B82" s="5"/>
    </row>
    <row r="83" spans="2:2" x14ac:dyDescent="0.2">
      <c r="B83" s="6" t="s">
        <v>87</v>
      </c>
    </row>
    <row r="84" spans="2:2" x14ac:dyDescent="0.2">
      <c r="B84" s="5" t="str">
        <f>J15&amp;"-DS"&amp;" =DAY-SCHEDULE   TYPE = FRACTION"</f>
        <v>Occ-ND-LR-WE-DS =DAY-SCHEDULE   TYPE = FRACTION</v>
      </c>
    </row>
    <row r="85" spans="2:2" x14ac:dyDescent="0.2">
      <c r="B85" s="5" t="e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#VALUE!</v>
      </c>
    </row>
    <row r="86" spans="2:2" x14ac:dyDescent="0.2">
      <c r="B86" s="5" t="e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>#VALUE!</v>
      </c>
    </row>
    <row r="87" spans="2:2" x14ac:dyDescent="0.2">
      <c r="B87" s="5" t="e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>#VALUE!</v>
      </c>
    </row>
    <row r="88" spans="2:2" x14ac:dyDescent="0.2">
      <c r="B88" s="5"/>
    </row>
    <row r="89" spans="2:2" x14ac:dyDescent="0.2">
      <c r="B89" s="6" t="s">
        <v>88</v>
      </c>
    </row>
    <row r="90" spans="2:2" x14ac:dyDescent="0.2">
      <c r="B90" s="5" t="str">
        <f>K15&amp;"-DS"&amp;" =DAY-SCHEDULE   TYPE = FRACTION"</f>
        <v>Occ-ND-BR-WE-DS =DAY-SCHEDULE   TYPE = FRACTION</v>
      </c>
    </row>
    <row r="91" spans="2:2" x14ac:dyDescent="0.2">
      <c r="B91" s="5" t="e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#VALUE!</v>
      </c>
    </row>
    <row r="92" spans="2:2" x14ac:dyDescent="0.2">
      <c r="B92" s="5" t="e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>#VALUE!</v>
      </c>
    </row>
    <row r="93" spans="2:2" x14ac:dyDescent="0.2">
      <c r="B93" s="5" t="e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>#VALUE!</v>
      </c>
    </row>
    <row r="95" spans="2:2" x14ac:dyDescent="0.2">
      <c r="B95" s="5" t="s">
        <v>154</v>
      </c>
    </row>
    <row r="96" spans="2:2" x14ac:dyDescent="0.2">
      <c r="B96" s="5" t="s">
        <v>268</v>
      </c>
    </row>
    <row r="97" spans="2:2" x14ac:dyDescent="0.2">
      <c r="B97" s="5" t="s">
        <v>270</v>
      </c>
    </row>
    <row r="99" spans="2:2" x14ac:dyDescent="0.2">
      <c r="B99" s="5" t="s">
        <v>155</v>
      </c>
    </row>
    <row r="100" spans="2:2" x14ac:dyDescent="0.2">
      <c r="B100" s="5" t="s">
        <v>271</v>
      </c>
    </row>
    <row r="101" spans="2:2" x14ac:dyDescent="0.2">
      <c r="B101" s="5" t="s">
        <v>269</v>
      </c>
    </row>
    <row r="102" spans="2:2" x14ac:dyDescent="0.2">
      <c r="B102" s="5"/>
    </row>
    <row r="103" spans="2:2" x14ac:dyDescent="0.2">
      <c r="B103" s="5" t="s">
        <v>123</v>
      </c>
    </row>
    <row r="104" spans="2:2" x14ac:dyDescent="0.2">
      <c r="B104" s="5" t="s">
        <v>124</v>
      </c>
    </row>
    <row r="105" spans="2:2" x14ac:dyDescent="0.2">
      <c r="B105" s="5" t="s">
        <v>289</v>
      </c>
    </row>
    <row r="106" spans="2:2" x14ac:dyDescent="0.2">
      <c r="B106" s="5" t="s">
        <v>158</v>
      </c>
    </row>
    <row r="107" spans="2:2" x14ac:dyDescent="0.2">
      <c r="B107" s="5" t="s">
        <v>159</v>
      </c>
    </row>
    <row r="108" spans="2:2" x14ac:dyDescent="0.2">
      <c r="B108" s="5" t="s">
        <v>160</v>
      </c>
    </row>
    <row r="109" spans="2:2" x14ac:dyDescent="0.2">
      <c r="B109" s="5" t="s">
        <v>161</v>
      </c>
    </row>
    <row r="110" spans="2:2" x14ac:dyDescent="0.2">
      <c r="B110" s="5" t="s">
        <v>162</v>
      </c>
    </row>
    <row r="111" spans="2:2" x14ac:dyDescent="0.2">
      <c r="B111" s="5" t="s">
        <v>163</v>
      </c>
    </row>
    <row r="112" spans="2:2" x14ac:dyDescent="0.2">
      <c r="B112" s="5" t="s">
        <v>164</v>
      </c>
    </row>
    <row r="113" spans="2:2" x14ac:dyDescent="0.2">
      <c r="B113" s="5" t="s">
        <v>165</v>
      </c>
    </row>
    <row r="114" spans="2:2" x14ac:dyDescent="0.2">
      <c r="B114" s="5" t="s">
        <v>166</v>
      </c>
    </row>
    <row r="115" spans="2:2" x14ac:dyDescent="0.2">
      <c r="B115" s="5" t="s">
        <v>167</v>
      </c>
    </row>
    <row r="116" spans="2:2" x14ac:dyDescent="0.2">
      <c r="B116" s="5" t="s">
        <v>168</v>
      </c>
    </row>
    <row r="117" spans="2:2" x14ac:dyDescent="0.2">
      <c r="B117" s="5" t="s">
        <v>169</v>
      </c>
    </row>
    <row r="118" spans="2:2" x14ac:dyDescent="0.2">
      <c r="B118" s="5" t="s">
        <v>170</v>
      </c>
    </row>
    <row r="119" spans="2:2" x14ac:dyDescent="0.2">
      <c r="B119" s="5" t="s">
        <v>171</v>
      </c>
    </row>
    <row r="120" spans="2:2" x14ac:dyDescent="0.2">
      <c r="B120" s="5" t="s">
        <v>172</v>
      </c>
    </row>
    <row r="121" spans="2:2" x14ac:dyDescent="0.2">
      <c r="B121" s="5" t="s">
        <v>173</v>
      </c>
    </row>
    <row r="122" spans="2:2" x14ac:dyDescent="0.2">
      <c r="B122" s="5" t="s">
        <v>174</v>
      </c>
    </row>
    <row r="123" spans="2:2" x14ac:dyDescent="0.2">
      <c r="B123" s="5" t="s">
        <v>175</v>
      </c>
    </row>
    <row r="124" spans="2:2" x14ac:dyDescent="0.2">
      <c r="B124" s="5" t="s">
        <v>176</v>
      </c>
    </row>
    <row r="125" spans="2:2" x14ac:dyDescent="0.2">
      <c r="B125" s="5" t="s">
        <v>177</v>
      </c>
    </row>
    <row r="126" spans="2:2" x14ac:dyDescent="0.2">
      <c r="B126" s="5" t="s">
        <v>178</v>
      </c>
    </row>
    <row r="127" spans="2:2" x14ac:dyDescent="0.2">
      <c r="B127" s="5" t="s">
        <v>179</v>
      </c>
    </row>
    <row r="128" spans="2:2" x14ac:dyDescent="0.2">
      <c r="B128" s="5" t="s">
        <v>180</v>
      </c>
    </row>
    <row r="129" spans="2:2" x14ac:dyDescent="0.2">
      <c r="B129" s="5" t="s">
        <v>181</v>
      </c>
    </row>
    <row r="130" spans="2:2" x14ac:dyDescent="0.2">
      <c r="B130" s="5" t="s">
        <v>182</v>
      </c>
    </row>
    <row r="131" spans="2:2" x14ac:dyDescent="0.2">
      <c r="B131" s="5" t="s">
        <v>183</v>
      </c>
    </row>
    <row r="132" spans="2:2" x14ac:dyDescent="0.2">
      <c r="B132" s="5" t="s">
        <v>184</v>
      </c>
    </row>
    <row r="133" spans="2:2" x14ac:dyDescent="0.2">
      <c r="B133" s="5" t="s">
        <v>185</v>
      </c>
    </row>
    <row r="134" spans="2:2" x14ac:dyDescent="0.2">
      <c r="B134" s="5" t="s">
        <v>186</v>
      </c>
    </row>
    <row r="135" spans="2:2" x14ac:dyDescent="0.2">
      <c r="B135" s="5" t="s">
        <v>187</v>
      </c>
    </row>
    <row r="136" spans="2:2" x14ac:dyDescent="0.2">
      <c r="B136" s="5" t="s">
        <v>188</v>
      </c>
    </row>
    <row r="137" spans="2:2" x14ac:dyDescent="0.2">
      <c r="B137" s="5" t="s">
        <v>189</v>
      </c>
    </row>
    <row r="138" spans="2:2" x14ac:dyDescent="0.2">
      <c r="B138" s="5" t="s">
        <v>190</v>
      </c>
    </row>
    <row r="139" spans="2:2" x14ac:dyDescent="0.2">
      <c r="B139" s="5" t="s">
        <v>191</v>
      </c>
    </row>
    <row r="140" spans="2:2" x14ac:dyDescent="0.2">
      <c r="B140" s="5" t="s">
        <v>192</v>
      </c>
    </row>
    <row r="141" spans="2:2" x14ac:dyDescent="0.2">
      <c r="B141" s="5" t="s">
        <v>193</v>
      </c>
    </row>
    <row r="142" spans="2:2" x14ac:dyDescent="0.2">
      <c r="B142" s="5" t="s">
        <v>194</v>
      </c>
    </row>
    <row r="143" spans="2:2" x14ac:dyDescent="0.2">
      <c r="B143" s="5" t="s">
        <v>195</v>
      </c>
    </row>
    <row r="144" spans="2:2" x14ac:dyDescent="0.2">
      <c r="B144" s="5" t="s">
        <v>196</v>
      </c>
    </row>
    <row r="145" spans="2:2" x14ac:dyDescent="0.2">
      <c r="B145" s="5" t="s">
        <v>197</v>
      </c>
    </row>
    <row r="146" spans="2:2" x14ac:dyDescent="0.2">
      <c r="B146" s="5" t="s">
        <v>198</v>
      </c>
    </row>
    <row r="147" spans="2:2" x14ac:dyDescent="0.2">
      <c r="B147" s="5" t="s">
        <v>199</v>
      </c>
    </row>
    <row r="148" spans="2:2" x14ac:dyDescent="0.2">
      <c r="B148" s="5" t="s">
        <v>200</v>
      </c>
    </row>
    <row r="149" spans="2:2" x14ac:dyDescent="0.2">
      <c r="B149" s="5" t="s">
        <v>201</v>
      </c>
    </row>
    <row r="150" spans="2:2" x14ac:dyDescent="0.2">
      <c r="B150" s="5" t="s">
        <v>202</v>
      </c>
    </row>
    <row r="151" spans="2:2" x14ac:dyDescent="0.2">
      <c r="B151" s="5" t="s">
        <v>203</v>
      </c>
    </row>
    <row r="152" spans="2:2" x14ac:dyDescent="0.2">
      <c r="B152" s="5" t="s">
        <v>204</v>
      </c>
    </row>
    <row r="153" spans="2:2" x14ac:dyDescent="0.2">
      <c r="B153" s="5" t="s">
        <v>205</v>
      </c>
    </row>
    <row r="154" spans="2:2" x14ac:dyDescent="0.2">
      <c r="B154" s="5" t="s">
        <v>206</v>
      </c>
    </row>
    <row r="155" spans="2:2" x14ac:dyDescent="0.2">
      <c r="B155" s="5" t="s">
        <v>207</v>
      </c>
    </row>
    <row r="156" spans="2:2" x14ac:dyDescent="0.2">
      <c r="B156" s="5" t="s">
        <v>208</v>
      </c>
    </row>
    <row r="157" spans="2:2" x14ac:dyDescent="0.2">
      <c r="B157" s="5" t="s">
        <v>209</v>
      </c>
    </row>
    <row r="158" spans="2:2" x14ac:dyDescent="0.2">
      <c r="B158" s="5" t="s">
        <v>210</v>
      </c>
    </row>
    <row r="159" spans="2:2" x14ac:dyDescent="0.2">
      <c r="B159" s="5"/>
    </row>
    <row r="160" spans="2:2" x14ac:dyDescent="0.2">
      <c r="B160" s="5"/>
    </row>
    <row r="161" spans="2:2" x14ac:dyDescent="0.2">
      <c r="B161" s="5" t="s">
        <v>267</v>
      </c>
    </row>
    <row r="162" spans="2:2" x14ac:dyDescent="0.2">
      <c r="B162" s="5" t="s">
        <v>272</v>
      </c>
    </row>
    <row r="163" spans="2:2" x14ac:dyDescent="0.2">
      <c r="B163" s="5" t="s">
        <v>273</v>
      </c>
    </row>
    <row r="165" spans="2:2" x14ac:dyDescent="0.2">
      <c r="B165" s="5" t="s">
        <v>212</v>
      </c>
    </row>
    <row r="166" spans="2:2" x14ac:dyDescent="0.2">
      <c r="B166" s="5" t="s">
        <v>274</v>
      </c>
    </row>
    <row r="167" spans="2:2" x14ac:dyDescent="0.2">
      <c r="B167" s="5" t="s">
        <v>275</v>
      </c>
    </row>
    <row r="168" spans="2:2" x14ac:dyDescent="0.2">
      <c r="B168" s="5"/>
    </row>
    <row r="169" spans="2:2" x14ac:dyDescent="0.2">
      <c r="B169" s="5" t="s">
        <v>123</v>
      </c>
    </row>
    <row r="170" spans="2:2" x14ac:dyDescent="0.2">
      <c r="B170" s="5" t="s">
        <v>124</v>
      </c>
    </row>
    <row r="171" spans="2:2" x14ac:dyDescent="0.2">
      <c r="B171" s="5" t="s">
        <v>290</v>
      </c>
    </row>
    <row r="172" spans="2:2" x14ac:dyDescent="0.2">
      <c r="B172" s="5" t="s">
        <v>214</v>
      </c>
    </row>
    <row r="173" spans="2:2" x14ac:dyDescent="0.2">
      <c r="B173" s="5" t="s">
        <v>215</v>
      </c>
    </row>
    <row r="174" spans="2:2" x14ac:dyDescent="0.2">
      <c r="B174" s="5" t="s">
        <v>216</v>
      </c>
    </row>
    <row r="175" spans="2:2" x14ac:dyDescent="0.2">
      <c r="B175" s="5" t="s">
        <v>217</v>
      </c>
    </row>
    <row r="176" spans="2:2" x14ac:dyDescent="0.2">
      <c r="B176" s="5" t="s">
        <v>218</v>
      </c>
    </row>
    <row r="177" spans="2:2" x14ac:dyDescent="0.2">
      <c r="B177" s="5" t="s">
        <v>219</v>
      </c>
    </row>
    <row r="178" spans="2:2" x14ac:dyDescent="0.2">
      <c r="B178" s="5" t="s">
        <v>220</v>
      </c>
    </row>
    <row r="179" spans="2:2" x14ac:dyDescent="0.2">
      <c r="B179" s="5" t="s">
        <v>221</v>
      </c>
    </row>
    <row r="180" spans="2:2" x14ac:dyDescent="0.2">
      <c r="B180" s="5" t="s">
        <v>222</v>
      </c>
    </row>
    <row r="181" spans="2:2" x14ac:dyDescent="0.2">
      <c r="B181" s="5" t="s">
        <v>223</v>
      </c>
    </row>
    <row r="182" spans="2:2" x14ac:dyDescent="0.2">
      <c r="B182" s="5" t="s">
        <v>224</v>
      </c>
    </row>
    <row r="183" spans="2:2" x14ac:dyDescent="0.2">
      <c r="B183" s="5" t="s">
        <v>225</v>
      </c>
    </row>
    <row r="184" spans="2:2" x14ac:dyDescent="0.2">
      <c r="B184" s="5" t="s">
        <v>226</v>
      </c>
    </row>
    <row r="185" spans="2:2" x14ac:dyDescent="0.2">
      <c r="B185" s="5" t="s">
        <v>227</v>
      </c>
    </row>
    <row r="186" spans="2:2" x14ac:dyDescent="0.2">
      <c r="B186" s="5" t="s">
        <v>228</v>
      </c>
    </row>
    <row r="187" spans="2:2" x14ac:dyDescent="0.2">
      <c r="B187" s="5" t="s">
        <v>229</v>
      </c>
    </row>
    <row r="188" spans="2:2" x14ac:dyDescent="0.2">
      <c r="B188" s="5" t="s">
        <v>230</v>
      </c>
    </row>
    <row r="189" spans="2:2" x14ac:dyDescent="0.2">
      <c r="B189" s="5" t="s">
        <v>231</v>
      </c>
    </row>
    <row r="190" spans="2:2" x14ac:dyDescent="0.2">
      <c r="B190" s="5" t="s">
        <v>232</v>
      </c>
    </row>
    <row r="191" spans="2:2" x14ac:dyDescent="0.2">
      <c r="B191" s="5" t="s">
        <v>233</v>
      </c>
    </row>
    <row r="192" spans="2:2" x14ac:dyDescent="0.2">
      <c r="B192" s="5" t="s">
        <v>234</v>
      </c>
    </row>
    <row r="193" spans="2:2" x14ac:dyDescent="0.2">
      <c r="B193" s="5" t="s">
        <v>235</v>
      </c>
    </row>
    <row r="194" spans="2:2" x14ac:dyDescent="0.2">
      <c r="B194" s="5" t="s">
        <v>236</v>
      </c>
    </row>
    <row r="195" spans="2:2" x14ac:dyDescent="0.2">
      <c r="B195" s="5" t="s">
        <v>237</v>
      </c>
    </row>
    <row r="196" spans="2:2" x14ac:dyDescent="0.2">
      <c r="B196" s="5" t="s">
        <v>238</v>
      </c>
    </row>
    <row r="197" spans="2:2" x14ac:dyDescent="0.2">
      <c r="B197" s="5" t="s">
        <v>239</v>
      </c>
    </row>
    <row r="198" spans="2:2" x14ac:dyDescent="0.2">
      <c r="B198" s="5" t="s">
        <v>240</v>
      </c>
    </row>
    <row r="199" spans="2:2" x14ac:dyDescent="0.2">
      <c r="B199" s="5" t="s">
        <v>241</v>
      </c>
    </row>
    <row r="200" spans="2:2" x14ac:dyDescent="0.2">
      <c r="B200" s="5" t="s">
        <v>242</v>
      </c>
    </row>
    <row r="201" spans="2:2" x14ac:dyDescent="0.2">
      <c r="B201" s="5" t="s">
        <v>243</v>
      </c>
    </row>
    <row r="202" spans="2:2" x14ac:dyDescent="0.2">
      <c r="B202" s="5" t="s">
        <v>244</v>
      </c>
    </row>
    <row r="203" spans="2:2" x14ac:dyDescent="0.2">
      <c r="B203" s="5" t="s">
        <v>245</v>
      </c>
    </row>
    <row r="204" spans="2:2" x14ac:dyDescent="0.2">
      <c r="B204" s="5" t="s">
        <v>246</v>
      </c>
    </row>
    <row r="205" spans="2:2" x14ac:dyDescent="0.2">
      <c r="B205" s="5" t="s">
        <v>247</v>
      </c>
    </row>
    <row r="206" spans="2:2" x14ac:dyDescent="0.2">
      <c r="B206" s="5" t="s">
        <v>248</v>
      </c>
    </row>
    <row r="207" spans="2:2" x14ac:dyDescent="0.2">
      <c r="B207" s="5" t="s">
        <v>249</v>
      </c>
    </row>
    <row r="208" spans="2:2" x14ac:dyDescent="0.2">
      <c r="B208" s="5" t="s">
        <v>250</v>
      </c>
    </row>
    <row r="209" spans="2:2" x14ac:dyDescent="0.2">
      <c r="B209" s="5" t="s">
        <v>251</v>
      </c>
    </row>
    <row r="210" spans="2:2" x14ac:dyDescent="0.2">
      <c r="B210" s="5" t="s">
        <v>252</v>
      </c>
    </row>
    <row r="211" spans="2:2" x14ac:dyDescent="0.2">
      <c r="B211" s="5" t="s">
        <v>253</v>
      </c>
    </row>
    <row r="212" spans="2:2" x14ac:dyDescent="0.2">
      <c r="B212" s="5" t="s">
        <v>254</v>
      </c>
    </row>
    <row r="213" spans="2:2" x14ac:dyDescent="0.2">
      <c r="B213" s="5" t="s">
        <v>255</v>
      </c>
    </row>
    <row r="214" spans="2:2" x14ac:dyDescent="0.2">
      <c r="B214" s="5" t="s">
        <v>256</v>
      </c>
    </row>
    <row r="215" spans="2:2" x14ac:dyDescent="0.2">
      <c r="B215" s="5" t="s">
        <v>257</v>
      </c>
    </row>
    <row r="216" spans="2:2" x14ac:dyDescent="0.2">
      <c r="B216" s="5" t="s">
        <v>258</v>
      </c>
    </row>
    <row r="217" spans="2:2" x14ac:dyDescent="0.2">
      <c r="B217" s="5" t="s">
        <v>259</v>
      </c>
    </row>
    <row r="218" spans="2:2" x14ac:dyDescent="0.2">
      <c r="B218" s="5" t="s">
        <v>260</v>
      </c>
    </row>
    <row r="219" spans="2:2" x14ac:dyDescent="0.2">
      <c r="B219" s="5" t="s">
        <v>261</v>
      </c>
    </row>
    <row r="220" spans="2:2" x14ac:dyDescent="0.2">
      <c r="B220" s="5" t="s">
        <v>262</v>
      </c>
    </row>
    <row r="221" spans="2:2" x14ac:dyDescent="0.2">
      <c r="B221" s="5" t="s">
        <v>263</v>
      </c>
    </row>
    <row r="222" spans="2:2" x14ac:dyDescent="0.2">
      <c r="B222" s="5" t="s">
        <v>264</v>
      </c>
    </row>
    <row r="223" spans="2:2" x14ac:dyDescent="0.2">
      <c r="B223" s="5" t="s">
        <v>265</v>
      </c>
    </row>
    <row r="224" spans="2:2" x14ac:dyDescent="0.2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Kaufmann Timon</cp:lastModifiedBy>
  <dcterms:created xsi:type="dcterms:W3CDTF">2003-02-05T19:02:12Z</dcterms:created>
  <dcterms:modified xsi:type="dcterms:W3CDTF">2026-03-11T23:04:56Z</dcterms:modified>
</cp:coreProperties>
</file>