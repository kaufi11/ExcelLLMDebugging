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0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46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<sst xmlns="http://schemas.openxmlformats.org/spreadsheetml/2006/main" count="48" uniqueCount="35">
  <si>
    <t xml:space="preserve">Homework</t>
  </si>
  <si>
    <t xml:space="preserve">Homework Total</t>
  </si>
  <si>
    <t xml:space="preserve">Homework Average</t>
  </si>
  <si>
    <t xml:space="preserve">Classwork</t>
  </si>
  <si>
    <t xml:space="preserve">Classwork Total</t>
  </si>
  <si>
    <t xml:space="preserve">Classwork Average</t>
  </si>
  <si>
    <t xml:space="preserve">Quizzes</t>
  </si>
  <si>
    <t xml:space="preserve">Quiz Total</t>
  </si>
  <si>
    <t xml:space="preserve">Quiz Average</t>
  </si>
  <si>
    <t xml:space="preserve">Tests</t>
  </si>
  <si>
    <t xml:space="preserve">Test Total</t>
  </si>
  <si>
    <t xml:space="preserve">Test Average</t>
  </si>
  <si>
    <t xml:space="preserve">Final Grade</t>
  </si>
  <si>
    <t xml:space="preserve">Alderson, Mathew</t>
  </si>
  <si>
    <t xml:space="preserve">Brown, Charleigh</t>
  </si>
  <si>
    <t xml:space="preserve">King, Maggie</t>
  </si>
  <si>
    <t xml:space="preserve">Reed, Bret</t>
  </si>
  <si>
    <t xml:space="preserve">Vincent, Lillian</t>
  </si>
  <si>
    <t xml:space="preserve">p.23 # 7-25</t>
  </si>
  <si>
    <t xml:space="preserve">p. 26 q. 3,5,7</t>
  </si>
  <si>
    <t xml:space="preserve">wrk.bk p.6</t>
  </si>
  <si>
    <t xml:space="preserve">essay q.</t>
  </si>
  <si>
    <t xml:space="preserve">p.45, q. 5,6,7</t>
  </si>
  <si>
    <t xml:space="preserve">wrk bk p.9</t>
  </si>
  <si>
    <t xml:space="preserve">pg. 35 #5-15</t>
  </si>
  <si>
    <t xml:space="preserve">pg. 40 # 8-19</t>
  </si>
  <si>
    <t xml:space="preserve">pg. 45 #6-11</t>
  </si>
  <si>
    <t xml:space="preserve">wrk.bk p. 88</t>
  </si>
  <si>
    <t xml:space="preserve">Multiply 1-3</t>
  </si>
  <si>
    <t xml:space="preserve">Multiply 4-6</t>
  </si>
  <si>
    <t xml:space="preserve">Multiply 7-9</t>
  </si>
  <si>
    <t xml:space="preserve">Multiply 10-12</t>
  </si>
  <si>
    <t xml:space="preserve">Multiply 1-4</t>
  </si>
  <si>
    <t xml:space="preserve">Multiply 5-8</t>
  </si>
  <si>
    <t xml:space="preserve">Multiply 9-12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</si>
</sst>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  <a:r>
              <a:rPr b="0" sz="1000" spc="-1" strike="noStrike">
                <a:solidFill>
                  <a:srgbClr val="000000"/>
                </a:solidFill>
                <a:latin typeface="Arial"/>
              </a:rPr>
              <a:t>Final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19453924914676"/>
          <c:y val="0.247769128536169"/>
          <c:w val="0.625047402351157"/>
          <c:h val="0.5950256312891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Final Grade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Sheet1!$AE$2:$AE$6</c:f>
              <c:numCache>
                <c:formatCode>General</c:formatCode>
                <c:ptCount val="5"/>
                <c:pt idx="0">
                  <c:v>77.5425</c:v>
                </c:pt>
                <c:pt idx="1">
                  <c:v>81.5175</c:v>
                </c:pt>
                <c:pt idx="2">
                  <c:v>90.8825</c:v>
                </c:pt>
                <c:pt idx="3">
                  <c:v>59.535</c:v>
                </c:pt>
                <c:pt idx="4">
                  <c:v>83.78</c:v>
                </c:pt>
              </c:numCache>
            </c:numRef>
          </c:val>
        </c:ser>
        <c:gapWidth val="150"/>
        <c:overlap val="0"/>
        <c:axId val="27038945"/>
        <c:axId val="78549844"/>
      </c:barChart>
      <c:catAx>
        <c:axId val="270389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8549844"/>
        <c:crossesAt val="0"/>
        <c:auto val="1"/>
        <c:lblAlgn val="ctr"/>
        <c:lblOffset val="100"/>
        <c:noMultiLvlLbl val="0"/>
      </c:catAx>
      <c:valAx>
        <c:axId val="7854984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Grades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7038945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741467576791809"/>
          <c:y val="0.419213973799127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834840</xdr:colOff>
      <xdr:row>11</xdr:row>
      <xdr:rowOff>75960</xdr:rowOff>
    </xdr:from>
    <xdr:to>
      <xdr:col>29</xdr:col>
      <xdr:colOff>20880</xdr:colOff>
      <xdr:row>23</xdr:row>
      <xdr:rowOff>28440</xdr:rowOff>
    </xdr:to>
    <xdr:graphicFrame>
      <xdr:nvGraphicFramePr>
        <xdr:cNvPr id="0" name="Chart 1"/>
        <xdr:cNvGraphicFramePr/>
      </xdr:nvGraphicFramePr>
      <xdr:xfrm>
        <a:off x="19961640" y="2552400"/>
        <a:ext cx="3796920" cy="189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085" ySplit="450" topLeftCell="Y1" activePane="bottomRight" state="split"/>
      <selection pane="topLeft" activeCell="A1" activeCellId="0" sqref="A1"/>
      <selection pane="topRight" activeCell="Y1" activeCellId="0" sqref="Y1"/>
      <selection pane="bottomLeft" activeCell="A1" activeCellId="0" sqref="A1"/>
      <selection pane="bottomRight" activeCell="Y1" activeCellId="0" sqref="A1:IV16384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6.12"/>
    <col collapsed="false" customWidth="true" hidden="false" outlineLevel="0" max="2" min="2" style="0" width="10.12"/>
    <col collapsed="false" customWidth="true" hidden="false" outlineLevel="0" max="4" min="4" style="0" width="11.4"/>
    <col collapsed="false" customWidth="true" hidden="false" outlineLevel="0" max="5" min="5" style="0" width="9.69"/>
    <col collapsed="false" customWidth="true" hidden="false" outlineLevel="0" max="6" min="6" style="0" width="9.84"/>
    <col collapsed="false" customWidth="true" hidden="false" outlineLevel="0" max="7" min="7" style="0" width="11.98"/>
    <col collapsed="false" customWidth="true" hidden="false" outlineLevel="0" max="8" min="8" style="0" width="14.54"/>
    <col collapsed="false" customWidth="true" hidden="false" outlineLevel="0" max="9" min="9" style="0" width="16.97"/>
    <col collapsed="false" customWidth="true" hidden="false" outlineLevel="0" max="10" min="10" style="0" width="10.55"/>
    <col collapsed="false" customWidth="true" hidden="false" outlineLevel="0" max="12" min="12" style="0" width="11.12"/>
    <col collapsed="false" customWidth="true" hidden="false" outlineLevel="0" max="13" min="13" style="0" width="12.4"/>
    <col collapsed="false" customWidth="true" hidden="false" outlineLevel="0" max="15" min="14" style="0" width="10.98"/>
    <col collapsed="false" customWidth="true" hidden="false" outlineLevel="0" max="16" min="16" style="0" width="14.54"/>
    <col collapsed="false" customWidth="true" hidden="false" outlineLevel="0" max="17" min="17" style="0" width="16.54"/>
    <col collapsed="false" customWidth="true" hidden="false" outlineLevel="0" max="18" min="18" style="0" width="10.4"/>
    <col collapsed="false" customWidth="true" hidden="false" outlineLevel="0" max="20" min="20" style="0" width="10.4"/>
    <col collapsed="false" customWidth="true" hidden="false" outlineLevel="0" max="21" min="21" style="0" width="10.55"/>
    <col collapsed="false" customWidth="true" hidden="false" outlineLevel="0" max="24" min="22" style="0" width="12.4"/>
    <col collapsed="false" customWidth="true" hidden="false" outlineLevel="0" max="25" min="25" style="0" width="10.55"/>
    <col collapsed="false" customWidth="true" hidden="false" outlineLevel="0" max="27" min="27" style="0" width="10.55"/>
    <col collapsed="false" customWidth="true" hidden="false" outlineLevel="0" max="29" min="28" style="0" width="11.4"/>
    <col collapsed="false" customWidth="true" hidden="false" outlineLevel="0" max="30" min="30" style="0" width="12.12"/>
    <col collapsed="false" customWidth="true" hidden="false" outlineLevel="0" max="31" min="31" style="0" width="10.98"/>
  </cols>
  <sheetData>
    <row r="1" customFormat="false" ht="12.75" hidden="false" customHeight="false" outlineLevel="0" collapsed="false">
      <c r="B1" s="0" t="s">
        <v>0</v>
      </c>
      <c r="C1" s="1" t="n">
        <v>0.2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1</v>
      </c>
      <c r="I1" s="0" t="s">
        <v>2</v>
      </c>
      <c r="J1" s="0" t="s">
        <v>3</v>
      </c>
      <c r="K1" s="1" t="n">
        <v>0.15</v>
      </c>
      <c r="L1" s="0" t="s">
        <v>3</v>
      </c>
      <c r="M1" s="0" t="s">
        <v>3</v>
      </c>
      <c r="N1" s="0" t="s">
        <v>3</v>
      </c>
      <c r="O1" s="0" t="s">
        <v>3</v>
      </c>
      <c r="P1" s="0" t="s">
        <v>4</v>
      </c>
      <c r="Q1" s="0" t="s">
        <v>5</v>
      </c>
      <c r="R1" s="0" t="s">
        <v>6</v>
      </c>
      <c r="S1" s="1" t="n">
        <v>0.25</v>
      </c>
      <c r="T1" s="0" t="s">
        <v>6</v>
      </c>
      <c r="U1" s="0" t="s">
        <v>6</v>
      </c>
      <c r="V1" s="0" t="s">
        <v>6</v>
      </c>
      <c r="W1" s="0" t="s">
        <v>7</v>
      </c>
      <c r="X1" s="0" t="s">
        <v>8</v>
      </c>
      <c r="Y1" s="0" t="s">
        <v>9</v>
      </c>
      <c r="Z1" s="1" t="n">
        <v>0.4</v>
      </c>
      <c r="AA1" s="0" t="s">
        <v>9</v>
      </c>
      <c r="AB1" s="0" t="s">
        <v>9</v>
      </c>
      <c r="AC1" s="0" t="s">
        <v>10</v>
      </c>
      <c r="AD1" s="0" t="s">
        <v>11</v>
      </c>
      <c r="AE1" s="0" t="s">
        <v>12</v>
      </c>
    </row>
    <row r="2" customFormat="false" ht="12.75" hidden="false" customHeight="false" outlineLevel="0" collapsed="false">
      <c r="A2" s="0" t="s">
        <v>13</v>
      </c>
      <c r="B2" s="0" t="n">
        <v>78</v>
      </c>
      <c r="C2" s="0" t="n">
        <v>76</v>
      </c>
      <c r="D2" s="0" t="n">
        <v>87</v>
      </c>
      <c r="E2" s="0" t="n">
        <v>37</v>
      </c>
      <c r="F2" s="0" t="n">
        <v>97</v>
      </c>
      <c r="G2" s="0" t="n">
        <v>94</v>
      </c>
      <c r="H2" s="0" t="n">
        <f aca="false">SUM(B2:G2)</f>
        <v>469</v>
      </c>
      <c r="I2" s="2" t="n">
        <f aca="false">(SUM(B2:G2)-MIN(B2:G2))/(COUNT(B2:G2)-1)</f>
        <v>86.4</v>
      </c>
      <c r="J2" s="0" t="n">
        <v>97</v>
      </c>
      <c r="K2" s="0" t="n">
        <v>76</v>
      </c>
      <c r="L2" s="0" t="n">
        <v>64</v>
      </c>
      <c r="M2" s="0" t="n">
        <v>76</v>
      </c>
      <c r="N2" s="0" t="n">
        <v>92</v>
      </c>
      <c r="O2" s="0" t="n">
        <v>74</v>
      </c>
      <c r="P2" s="0" t="n">
        <f aca="false">SUM(J2:O2)</f>
        <v>479</v>
      </c>
      <c r="Q2" s="2" t="n">
        <f aca="false">(SUM(J2:O2)-MIN(J2:O2))/(COUNT(J2:O2)-1)</f>
        <v>83</v>
      </c>
      <c r="R2" s="0" t="n">
        <v>80</v>
      </c>
      <c r="S2" s="0" t="n">
        <v>82</v>
      </c>
      <c r="T2" s="0" t="n">
        <v>87</v>
      </c>
      <c r="U2" s="0" t="n">
        <v>76</v>
      </c>
      <c r="V2" s="0" t="n">
        <v>76</v>
      </c>
      <c r="W2" s="0" t="n">
        <f aca="false">SUM(R2:V2)</f>
        <v>401</v>
      </c>
      <c r="X2" s="2" t="n">
        <f aca="false">(SUM(R2:V2)-MIN(R2:V2))/(COUNT(R2:V2)-1)</f>
        <v>81.25</v>
      </c>
      <c r="Y2" s="0" t="n">
        <v>88</v>
      </c>
      <c r="Z2" s="0" t="n">
        <v>67</v>
      </c>
      <c r="AA2" s="0" t="n">
        <v>53</v>
      </c>
      <c r="AB2" s="0" t="n">
        <v>67</v>
      </c>
      <c r="AC2" s="0" t="n">
        <f aca="false">SUM(Y2:AB2)</f>
        <v>275</v>
      </c>
      <c r="AD2" s="0" t="n">
        <f aca="false">AVERAGE(Y2:AB2)</f>
        <v>68.75</v>
      </c>
      <c r="AE2" s="2" t="n">
        <f aca="false">(I2*C$1)+(Q2*K$1)+(X2*S$1)+(AD2*Z$1)</f>
        <v>77.5425</v>
      </c>
    </row>
    <row r="3" customFormat="false" ht="12.75" hidden="false" customHeight="false" outlineLevel="0" collapsed="false">
      <c r="A3" s="0" t="s">
        <v>14</v>
      </c>
      <c r="B3" s="0" t="n">
        <v>86</v>
      </c>
      <c r="C3" s="0" t="n">
        <v>74</v>
      </c>
      <c r="D3" s="0" t="n">
        <v>90</v>
      </c>
      <c r="E3" s="0" t="n">
        <v>68</v>
      </c>
      <c r="F3" s="0" t="n">
        <v>85</v>
      </c>
      <c r="G3" s="0" t="n">
        <v>75</v>
      </c>
      <c r="H3" s="0" t="n">
        <f aca="false">SUM(B3:G3)</f>
        <v>478</v>
      </c>
      <c r="I3" s="2" t="n">
        <f aca="false">(SUM(B3:G3)-MIN(B3:G3))/(COUNT(B3:G3)-1)</f>
        <v>82</v>
      </c>
      <c r="J3" s="0" t="n">
        <v>90</v>
      </c>
      <c r="K3" s="0" t="n">
        <v>87</v>
      </c>
      <c r="L3" s="0" t="n">
        <v>86</v>
      </c>
      <c r="M3" s="0" t="n">
        <v>97</v>
      </c>
      <c r="N3" s="0" t="n">
        <v>64</v>
      </c>
      <c r="O3" s="0" t="n">
        <v>96</v>
      </c>
      <c r="P3" s="0" t="n">
        <f aca="false">SUM(J3:O3)</f>
        <v>520</v>
      </c>
      <c r="Q3" s="2" t="n">
        <f aca="false">(SUM(J3:O3)-MIN(J3:O3))/(COUNT(J3:O3)-1)</f>
        <v>91.2</v>
      </c>
      <c r="R3" s="0" t="n">
        <v>74</v>
      </c>
      <c r="S3" s="0" t="n">
        <v>71</v>
      </c>
      <c r="T3" s="0" t="n">
        <v>79</v>
      </c>
      <c r="U3" s="0" t="n">
        <v>57</v>
      </c>
      <c r="V3" s="0" t="n">
        <v>87</v>
      </c>
      <c r="W3" s="0" t="n">
        <f aca="false">SUM(R3:V3)</f>
        <v>368</v>
      </c>
      <c r="X3" s="2" t="n">
        <f aca="false">(SUM(R3:V3)-MIN(R3:V3))/(COUNT(R3:V3)-1)</f>
        <v>77.75</v>
      </c>
      <c r="Y3" s="0" t="n">
        <v>77</v>
      </c>
      <c r="Z3" s="0" t="n">
        <v>87</v>
      </c>
      <c r="AA3" s="0" t="n">
        <v>68</v>
      </c>
      <c r="AB3" s="0" t="n">
        <v>88</v>
      </c>
      <c r="AC3" s="0" t="n">
        <f aca="false">SUM(Y3:AB3)</f>
        <v>320</v>
      </c>
      <c r="AD3" s="2" t="n">
        <f aca="false">AVERAGE(Y3:AB3)</f>
        <v>80</v>
      </c>
      <c r="AE3" s="2" t="n">
        <f aca="false">(I3*C$1)+(Q3*K$1)+(X3*S$1)+(AD3*Z$1)</f>
        <v>81.5175</v>
      </c>
    </row>
    <row r="4" customFormat="false" ht="12.75" hidden="false" customHeight="false" outlineLevel="0" collapsed="false">
      <c r="A4" s="0" t="s">
        <v>15</v>
      </c>
      <c r="B4" s="0" t="n">
        <v>87</v>
      </c>
      <c r="C4" s="0" t="n">
        <v>89</v>
      </c>
      <c r="D4" s="0" t="n">
        <v>64</v>
      </c>
      <c r="E4" s="0" t="n">
        <v>97</v>
      </c>
      <c r="F4" s="0" t="n">
        <v>96</v>
      </c>
      <c r="G4" s="0" t="n">
        <v>96</v>
      </c>
      <c r="H4" s="0" t="n">
        <f aca="false">SUM(B4:G4)</f>
        <v>529</v>
      </c>
      <c r="I4" s="2" t="n">
        <f aca="false">(SUM(B4:G4)-MIN(B4:G4))/(COUNT(B4:G4)-1)</f>
        <v>93</v>
      </c>
      <c r="J4" s="0" t="n">
        <v>97</v>
      </c>
      <c r="K4" s="0" t="n">
        <v>99</v>
      </c>
      <c r="L4" s="0" t="n">
        <v>87</v>
      </c>
      <c r="M4" s="0" t="n">
        <v>99</v>
      </c>
      <c r="N4" s="0" t="n">
        <v>85</v>
      </c>
      <c r="O4" s="0" t="n">
        <v>87</v>
      </c>
      <c r="P4" s="0" t="n">
        <f aca="false">SUM(J4:O4)</f>
        <v>554</v>
      </c>
      <c r="Q4" s="2" t="n">
        <f aca="false">(SUM(J4:O4)-MIN(J4:O4))/(COUNT(J4:O4)-1)</f>
        <v>93.8</v>
      </c>
      <c r="R4" s="0" t="n">
        <v>79</v>
      </c>
      <c r="S4" s="0" t="n">
        <v>78</v>
      </c>
      <c r="T4" s="0" t="n">
        <v>98</v>
      </c>
      <c r="U4" s="0" t="n">
        <v>74</v>
      </c>
      <c r="V4" s="0" t="n">
        <v>86</v>
      </c>
      <c r="W4" s="0" t="n">
        <f aca="false">SUM(R4:V4)</f>
        <v>415</v>
      </c>
      <c r="X4" s="2" t="n">
        <f aca="false">(SUM(R4:V4)-MIN(R4:V4))/(COUNT(R4:V4)-1)</f>
        <v>85.25</v>
      </c>
      <c r="Y4" s="0" t="n">
        <v>99</v>
      </c>
      <c r="Z4" s="0" t="n">
        <v>96</v>
      </c>
      <c r="AA4" s="0" t="n">
        <v>85</v>
      </c>
      <c r="AB4" s="0" t="n">
        <v>89</v>
      </c>
      <c r="AC4" s="0" t="n">
        <f aca="false">SUM(Y4:AB4)</f>
        <v>369</v>
      </c>
      <c r="AD4" s="0" t="n">
        <f aca="false">AVERAGE(Y4:AB4)</f>
        <v>92.25</v>
      </c>
      <c r="AE4" s="2" t="n">
        <f aca="false">(I4*C$1)+(Q4*K$1)+(X4*S$1)+(AD4*Z$1)</f>
        <v>90.8825</v>
      </c>
    </row>
    <row r="5" customFormat="false" ht="12.75" hidden="false" customHeight="false" outlineLevel="0" collapsed="false">
      <c r="A5" s="0" t="s">
        <v>16</v>
      </c>
      <c r="B5" s="0" t="n">
        <v>90</v>
      </c>
      <c r="C5" s="0" t="n">
        <v>86</v>
      </c>
      <c r="D5" s="0" t="n">
        <v>94</v>
      </c>
      <c r="E5" s="0" t="n">
        <v>74</v>
      </c>
      <c r="F5" s="0" t="n">
        <v>86</v>
      </c>
      <c r="G5" s="0" t="n">
        <v>87</v>
      </c>
      <c r="H5" s="0" t="n">
        <f aca="false">SUM(B5:G5)</f>
        <v>517</v>
      </c>
      <c r="I5" s="2" t="n">
        <f aca="false">(SUM(B5:G5)-MIN(B5:G5))/(COUNT(B5:G5)-1)</f>
        <v>88.6</v>
      </c>
      <c r="J5" s="0" t="n">
        <v>86</v>
      </c>
      <c r="K5" s="0" t="n">
        <v>86</v>
      </c>
      <c r="L5" s="0" t="n">
        <v>85</v>
      </c>
      <c r="M5" s="0" t="n">
        <v>100</v>
      </c>
      <c r="N5" s="0" t="n">
        <v>76</v>
      </c>
      <c r="O5" s="0" t="n">
        <v>64</v>
      </c>
      <c r="P5" s="0" t="n">
        <f aca="false">SUM(J5:O5)</f>
        <v>497</v>
      </c>
      <c r="Q5" s="2" t="n">
        <f aca="false">(SUM(J5:O5)-MIN(J5:O5))/(COUNT(J5:O5)-1)</f>
        <v>86.6</v>
      </c>
      <c r="R5" s="0" t="n">
        <v>75</v>
      </c>
      <c r="S5" s="0" t="n">
        <v>93</v>
      </c>
      <c r="T5" s="0" t="n">
        <v>97</v>
      </c>
      <c r="U5" s="0" t="n">
        <v>95</v>
      </c>
      <c r="V5" s="0" t="n">
        <v>96</v>
      </c>
      <c r="W5" s="0" t="n">
        <f aca="false">SUM(R5:V5)</f>
        <v>456</v>
      </c>
      <c r="X5" s="2" t="n">
        <f aca="false">(COUNT(R5:V5)-MIN(R5:V5))/(COUNT(R5:V5)-1)</f>
        <v>-17.5</v>
      </c>
      <c r="Y5" s="0" t="n">
        <v>79</v>
      </c>
      <c r="Z5" s="0" t="n">
        <v>84</v>
      </c>
      <c r="AA5" s="0" t="n">
        <v>79</v>
      </c>
      <c r="AB5" s="0" t="n">
        <v>90</v>
      </c>
      <c r="AC5" s="0" t="n">
        <f aca="false">SUM(Y5:AB5)</f>
        <v>332</v>
      </c>
      <c r="AD5" s="2" t="n">
        <f aca="false">AVERAGE(Y5:AB5)</f>
        <v>83</v>
      </c>
      <c r="AE5" s="2" t="n">
        <f aca="false">(I5*C$1)+(Q5*K$1)+(X5*S$1)+(AD5*Z$1)</f>
        <v>59.535</v>
      </c>
    </row>
    <row r="6" customFormat="false" ht="12.75" hidden="false" customHeight="false" outlineLevel="0" collapsed="false">
      <c r="A6" s="0" t="s">
        <v>17</v>
      </c>
      <c r="B6" s="0" t="n">
        <v>85</v>
      </c>
      <c r="C6" s="0" t="n">
        <v>84</v>
      </c>
      <c r="D6" s="0" t="n">
        <v>72</v>
      </c>
      <c r="E6" s="0" t="n">
        <v>68</v>
      </c>
      <c r="F6" s="0" t="n">
        <v>77</v>
      </c>
      <c r="G6" s="0" t="n">
        <v>87</v>
      </c>
      <c r="H6" s="0" t="n">
        <f aca="false">SUM(B6:G6)</f>
        <v>473</v>
      </c>
      <c r="I6" s="2" t="n">
        <f aca="false">(SUM(B6:G6)-MIN(B6:G6))/(COUNT(B6:G6)-1)</f>
        <v>81</v>
      </c>
      <c r="J6" s="0" t="n">
        <v>87</v>
      </c>
      <c r="K6" s="0" t="n">
        <v>86</v>
      </c>
      <c r="L6" s="0" t="n">
        <v>83</v>
      </c>
      <c r="M6" s="0" t="n">
        <v>79</v>
      </c>
      <c r="N6" s="0" t="n">
        <v>63</v>
      </c>
      <c r="O6" s="0" t="n">
        <v>86</v>
      </c>
      <c r="P6" s="0" t="n">
        <f aca="false">SUM(J6:O6)</f>
        <v>484</v>
      </c>
      <c r="Q6" s="2" t="n">
        <f aca="false">(SUM(J6:O6)-MIN(J6:O6))/(COUNT(J6:O6)-1)</f>
        <v>84.2</v>
      </c>
      <c r="R6" s="0" t="n">
        <v>79</v>
      </c>
      <c r="S6" s="0" t="n">
        <v>95</v>
      </c>
      <c r="T6" s="0" t="n">
        <v>67</v>
      </c>
      <c r="U6" s="0" t="n">
        <v>87</v>
      </c>
      <c r="V6" s="0" t="n">
        <v>79</v>
      </c>
      <c r="W6" s="0" t="n">
        <f aca="false">SUM(R6:V6)</f>
        <v>407</v>
      </c>
      <c r="X6" s="2" t="n">
        <f aca="false">(SUM(R6:V6)-MIN(R6:V6))/(COUNT(R6:V6)-1)</f>
        <v>85</v>
      </c>
      <c r="Y6" s="0" t="n">
        <v>76</v>
      </c>
      <c r="Z6" s="0" t="n">
        <v>93</v>
      </c>
      <c r="AA6" s="0" t="n">
        <v>77</v>
      </c>
      <c r="AB6" s="0" t="n">
        <v>91</v>
      </c>
      <c r="AC6" s="0" t="n">
        <f aca="false">SUM(Y6:AB6)</f>
        <v>337</v>
      </c>
      <c r="AD6" s="0" t="n">
        <f aca="false">AVERAGE(Y6:AB6)</f>
        <v>84.25</v>
      </c>
      <c r="AE6" s="2" t="n">
        <f aca="false">(I6*C$1)+(Q6*K$1)+(X6*S$1)+(AD6*Z$1)</f>
        <v>83.78</v>
      </c>
    </row>
    <row r="7" customFormat="false" ht="67.5" hidden="false" customHeight="false" outlineLevel="0" collapsed="false">
      <c r="A7" s="3"/>
      <c r="B7" s="3" t="s">
        <v>18</v>
      </c>
      <c r="C7" s="3"/>
      <c r="D7" s="3" t="s">
        <v>19</v>
      </c>
      <c r="E7" s="3" t="s">
        <v>20</v>
      </c>
      <c r="F7" s="3" t="s">
        <v>21</v>
      </c>
      <c r="G7" s="3" t="s">
        <v>22</v>
      </c>
      <c r="H7" s="3"/>
      <c r="I7" s="3"/>
      <c r="J7" s="3" t="s">
        <v>23</v>
      </c>
      <c r="K7" s="3"/>
      <c r="L7" s="3" t="s">
        <v>24</v>
      </c>
      <c r="M7" s="3" t="s">
        <v>25</v>
      </c>
      <c r="N7" s="3" t="s">
        <v>26</v>
      </c>
      <c r="O7" s="3" t="s">
        <v>27</v>
      </c>
      <c r="P7" s="3"/>
      <c r="Q7" s="3"/>
      <c r="R7" s="3" t="s">
        <v>28</v>
      </c>
      <c r="S7" s="3"/>
      <c r="T7" s="3" t="s">
        <v>29</v>
      </c>
      <c r="U7" s="3" t="s">
        <v>30</v>
      </c>
      <c r="V7" s="3" t="s">
        <v>31</v>
      </c>
      <c r="W7" s="3"/>
      <c r="X7" s="3"/>
      <c r="Y7" s="3" t="s">
        <v>32</v>
      </c>
      <c r="Z7" s="3"/>
      <c r="AA7" s="3" t="s">
        <v>33</v>
      </c>
      <c r="AB7" s="3" t="s">
        <v>34</v>
      </c>
      <c r="AC7" s="3"/>
      <c r="AD7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2003-02-19T23:21:21Z</dcterms:created>
  <dc:creator>MARY TUCKER</dc:creator>
  <dc:description/>
  <dc:language>en-US</dc:language>
  <cp:lastModifiedBy>Concord College</cp:lastModifiedBy>
  <dcterms:modified xsi:type="dcterms:W3CDTF">2003-03-26T20:26:39Z</dcterms:modified>
  <cp:revision>0</cp:revision>
  <dc:subject/>
  <dc:title/>
</cp:coreProperties>
</file>