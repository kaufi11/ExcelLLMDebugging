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D5BB85A-66CD-43F2-8C46-ACEB1929D7EA}" xr6:coauthVersionLast="47" xr6:coauthVersionMax="47" xr10:uidLastSave="{00000000-0000-0000-0000-000000000000}"/>
  <bookViews>
    <workbookView xWindow="2190" yWindow="2085" windowWidth="15330" windowHeight="10770" xr2:uid="{15440507-CE4D-4251-8084-54CE19242AE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72" i="1" s="1"/>
  <c r="Q4" i="1"/>
  <c r="Q72" i="1" s="1"/>
  <c r="N5" i="1"/>
  <c r="N6" i="1"/>
  <c r="N7" i="1"/>
  <c r="Q7" i="1"/>
  <c r="N8" i="1"/>
  <c r="N9" i="1"/>
  <c r="Q9" i="1"/>
  <c r="N10" i="1"/>
  <c r="Q10" i="1"/>
  <c r="N11" i="1"/>
  <c r="Q11" i="1"/>
  <c r="N12" i="1"/>
  <c r="N13" i="1"/>
  <c r="N14" i="1"/>
  <c r="N15" i="1"/>
  <c r="N71" i="1" s="1"/>
  <c r="N17" i="1"/>
  <c r="N69" i="1" s="1"/>
  <c r="N18" i="1"/>
  <c r="N19" i="1"/>
  <c r="N20" i="1"/>
  <c r="N21" i="1"/>
  <c r="Q21" i="1"/>
  <c r="Q69" i="1" s="1"/>
  <c r="N22" i="1"/>
  <c r="N23" i="1"/>
  <c r="Q23" i="1"/>
  <c r="N24" i="1"/>
  <c r="Q24" i="1"/>
  <c r="N25" i="1"/>
  <c r="N26" i="1"/>
  <c r="N27" i="1"/>
  <c r="Q27" i="1"/>
  <c r="Q70" i="1" s="1"/>
  <c r="N28" i="1"/>
  <c r="N29" i="1"/>
  <c r="Q29" i="1"/>
  <c r="N30" i="1"/>
  <c r="Q30" i="1"/>
  <c r="N31" i="1"/>
  <c r="Q31" i="1"/>
  <c r="N32" i="1"/>
  <c r="N33" i="1"/>
  <c r="Q33" i="1"/>
  <c r="Q71" i="1" s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N70" i="1" l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<sst xmlns="http://schemas.openxmlformats.org/spreadsheetml/2006/main" count="17" uniqueCount="17">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</sst>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A440-FDBC-4229-8674-B1B80C1851D8}">
  <dimension ref="A1:Q72"/>
  <sheetViews>
    <sheetView tabSelected="1" zoomScale="60" workbookViewId="0">
      <selection activeCell="H7" sqref="H7"/>
    </sheetView>
  </sheetViews>
  <sheetFormatPr baseColWidth="10" defaultRowHeight="15.75" x14ac:dyDescent="0.25"/>
  <cols>
    <col min="1" max="1" width="9.77734375" bestFit="1" customWidth="1"/>
    <col min="2" max="4" width="12" bestFit="1" customWidth="1"/>
    <col min="5" max="5" width="11.44140625" bestFit="1" customWidth="1"/>
    <col min="6" max="6" width="8.88671875" customWidth="1"/>
    <col min="7" max="7" width="12" bestFit="1" customWidth="1"/>
    <col min="8" max="9" width="8.88671875" customWidth="1"/>
    <col min="10" max="11" width="8.21875" style="1" bestFit="1" customWidth="1"/>
    <col min="12" max="13" width="8.21875" style="3" customWidth="1"/>
    <col min="14" max="14" width="12" bestFit="1" customWidth="1"/>
    <col min="15" max="15" width="10.88671875" bestFit="1" customWidth="1"/>
    <col min="16" max="16" width="10.88671875" customWidth="1"/>
    <col min="17" max="17" width="12" bestFit="1" customWidth="1"/>
    <col min="18" max="256" width="8.88671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25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25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25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25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15+5</f>
        <v>20</v>
      </c>
      <c r="O5">
        <v>10</v>
      </c>
      <c r="P5">
        <v>8.5</v>
      </c>
      <c r="Q5">
        <v>40</v>
      </c>
    </row>
    <row r="6" spans="1:17" x14ac:dyDescent="0.25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25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25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25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25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25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25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25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25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25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25">
      <c r="A16">
        <v>98227577</v>
      </c>
    </row>
    <row r="17" spans="1:17" x14ac:dyDescent="0.25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25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25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16+4</f>
        <v>20</v>
      </c>
      <c r="O19">
        <v>10</v>
      </c>
      <c r="P19">
        <v>7</v>
      </c>
      <c r="Q19">
        <v>30</v>
      </c>
    </row>
    <row r="20" spans="1:17" x14ac:dyDescent="0.25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25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25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25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25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25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25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25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25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25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25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25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25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25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25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25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25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25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25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25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25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25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25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25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25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25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25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25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8-4</f>
        <v>4</v>
      </c>
      <c r="O47">
        <v>10</v>
      </c>
      <c r="P47">
        <v>9</v>
      </c>
      <c r="Q47">
        <v>24</v>
      </c>
    </row>
    <row r="48" spans="1:17" x14ac:dyDescent="0.25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25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25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25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25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25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25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25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25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25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25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25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25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25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25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25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25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25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25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25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25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25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25</v>
      </c>
      <c r="Q69">
        <f>MAX(Q17:Q68)</f>
        <v>87</v>
      </c>
    </row>
    <row r="70" spans="1:17" x14ac:dyDescent="0.25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4</v>
      </c>
      <c r="Q70">
        <f>MIN(Q17:Q69)</f>
        <v>6.5</v>
      </c>
    </row>
    <row r="71" spans="1:17" x14ac:dyDescent="0.25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20.068181818181817</v>
      </c>
      <c r="Q71">
        <f>AVERAGE(Q2:Q68)</f>
        <v>44.272727272727273</v>
      </c>
    </row>
    <row r="72" spans="1:17" x14ac:dyDescent="0.25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4.5487837458416882</v>
      </c>
      <c r="Q72">
        <f>STDEV(Q2:Q68)</f>
        <v>16.682367895517672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3BD8-B7A9-45CD-96D8-5B51D99BF23B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53DE-5D27-4D0B-8771-CB009DADDC73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Kaufmann Timon</cp:lastModifiedBy>
  <dcterms:created xsi:type="dcterms:W3CDTF">2003-02-18T01:22:48Z</dcterms:created>
  <dcterms:modified xsi:type="dcterms:W3CDTF">2026-03-11T23:05:40Z</dcterms:modified>
</cp:coreProperties>
</file>