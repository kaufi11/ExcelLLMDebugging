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39EE7C8F-E29F-411B-9365-1735649B8A5D}" xr6:coauthVersionLast="47" xr6:coauthVersionMax="47" xr10:uidLastSave="{00000000-0000-0000-0000-000000000000}"/>
  <bookViews>
    <workbookView xWindow="2190" yWindow="2085" windowWidth="15330" windowHeight="10770" xr2:uid="{5D096E32-2733-4822-A178-B10813F9282B}"/>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C5" i="1" s="1"/>
  <c r="G6" i="1"/>
  <c r="C6" i="1" s="1"/>
  <c r="H8" i="1"/>
  <c r="C8" i="1" s="1"/>
  <c r="I8" i="1"/>
  <c r="J8" i="1"/>
  <c r="K8" i="1"/>
  <c r="L8" i="1"/>
  <c r="M8" i="1"/>
  <c r="N8" i="1"/>
  <c r="O8" i="1"/>
  <c r="O18" i="1" s="1"/>
  <c r="O20" i="1" s="1"/>
  <c r="P8" i="1"/>
  <c r="P18" i="1" s="1"/>
  <c r="P20" i="1" s="1"/>
  <c r="Q8" i="1"/>
  <c r="Q18" i="1" s="1"/>
  <c r="Q20" i="1" s="1"/>
  <c r="R8" i="1"/>
  <c r="R18" i="1" s="1"/>
  <c r="R20" i="1" s="1"/>
  <c r="S8" i="1"/>
  <c r="S18" i="1" s="1"/>
  <c r="S20" i="1" s="1"/>
  <c r="T8" i="1"/>
  <c r="T18" i="1" s="1"/>
  <c r="T20" i="1" s="1"/>
  <c r="U8" i="1"/>
  <c r="U18" i="1" s="1"/>
  <c r="U20" i="1" s="1"/>
  <c r="V8" i="1"/>
  <c r="V18" i="1" s="1"/>
  <c r="V20" i="1" s="1"/>
  <c r="W8" i="1"/>
  <c r="W18" i="1" s="1"/>
  <c r="W20" i="1" s="1"/>
  <c r="X8" i="1"/>
  <c r="X18" i="1" s="1"/>
  <c r="X20" i="1" s="1"/>
  <c r="Y8" i="1"/>
  <c r="Z8" i="1"/>
  <c r="AA8" i="1"/>
  <c r="H9" i="1"/>
  <c r="C9" i="1" s="1"/>
  <c r="I9" i="1"/>
  <c r="H10" i="1"/>
  <c r="C10" i="1" s="1"/>
  <c r="I10" i="1"/>
  <c r="Q10" i="1"/>
  <c r="H11" i="1"/>
  <c r="H28" i="1" s="1"/>
  <c r="I11" i="1"/>
  <c r="I28" i="1" s="1"/>
  <c r="J11" i="1"/>
  <c r="J28" i="1" s="1"/>
  <c r="K11" i="1"/>
  <c r="K28" i="1" s="1"/>
  <c r="L11" i="1"/>
  <c r="L28" i="1" s="1"/>
  <c r="M11" i="1"/>
  <c r="M28" i="1" s="1"/>
  <c r="N11" i="1"/>
  <c r="N28" i="1" s="1"/>
  <c r="O11" i="1"/>
  <c r="O28" i="1" s="1"/>
  <c r="P11" i="1"/>
  <c r="P28" i="1" s="1"/>
  <c r="Q11" i="1"/>
  <c r="Q28" i="1" s="1"/>
  <c r="R11" i="1"/>
  <c r="S11" i="1"/>
  <c r="T11" i="1"/>
  <c r="U11" i="1"/>
  <c r="V11" i="1"/>
  <c r="W11" i="1"/>
  <c r="X11" i="1"/>
  <c r="Y11" i="1"/>
  <c r="Z11" i="1"/>
  <c r="Z28" i="1" s="1"/>
  <c r="AA11" i="1"/>
  <c r="AA28" i="1" s="1"/>
  <c r="H12" i="1"/>
  <c r="I12" i="1"/>
  <c r="J12" i="1"/>
  <c r="K12" i="1"/>
  <c r="L12" i="1"/>
  <c r="M12" i="1"/>
  <c r="N12" i="1"/>
  <c r="O12" i="1"/>
  <c r="P12" i="1"/>
  <c r="Q12" i="1"/>
  <c r="R12" i="1"/>
  <c r="S12" i="1"/>
  <c r="T12" i="1"/>
  <c r="U12" i="1"/>
  <c r="V12" i="1"/>
  <c r="W12" i="1"/>
  <c r="X12" i="1"/>
  <c r="Y12" i="1"/>
  <c r="Z12" i="1"/>
  <c r="AA12" i="1"/>
  <c r="H13" i="1"/>
  <c r="I13" i="1"/>
  <c r="J13" i="1"/>
  <c r="K13" i="1"/>
  <c r="C13" i="1" s="1"/>
  <c r="L13" i="1"/>
  <c r="M13" i="1"/>
  <c r="N13" i="1"/>
  <c r="O13" i="1"/>
  <c r="P13" i="1"/>
  <c r="Q13" i="1"/>
  <c r="R13" i="1"/>
  <c r="R28" i="1" s="1"/>
  <c r="S13" i="1"/>
  <c r="S28" i="1" s="1"/>
  <c r="T13" i="1"/>
  <c r="T28" i="1" s="1"/>
  <c r="U13" i="1"/>
  <c r="V13" i="1"/>
  <c r="W13" i="1"/>
  <c r="X13" i="1"/>
  <c r="Y13" i="1"/>
  <c r="Z13" i="1"/>
  <c r="AA13" i="1"/>
  <c r="H14" i="1"/>
  <c r="I14" i="1"/>
  <c r="J14" i="1"/>
  <c r="K14" i="1"/>
  <c r="L14" i="1"/>
  <c r="M14" i="1"/>
  <c r="N14" i="1"/>
  <c r="O14" i="1"/>
  <c r="P14" i="1"/>
  <c r="Q14" i="1"/>
  <c r="R14" i="1"/>
  <c r="S14" i="1"/>
  <c r="T14" i="1"/>
  <c r="U14" i="1"/>
  <c r="V14" i="1"/>
  <c r="W14" i="1"/>
  <c r="X14" i="1"/>
  <c r="Y14" i="1"/>
  <c r="Z14" i="1"/>
  <c r="AA14" i="1"/>
  <c r="J15" i="1"/>
  <c r="K15" i="1"/>
  <c r="L15" i="1"/>
  <c r="H16" i="1"/>
  <c r="I16" i="1"/>
  <c r="J16" i="1"/>
  <c r="K16" i="1"/>
  <c r="L16" i="1"/>
  <c r="AA17" i="1"/>
  <c r="AA18" i="1" s="1"/>
  <c r="G18" i="1"/>
  <c r="H18" i="1"/>
  <c r="H20" i="1" s="1"/>
  <c r="I18" i="1"/>
  <c r="I20" i="1" s="1"/>
  <c r="J18" i="1"/>
  <c r="J20" i="1" s="1"/>
  <c r="K18" i="1"/>
  <c r="K20" i="1" s="1"/>
  <c r="L18" i="1"/>
  <c r="L20" i="1" s="1"/>
  <c r="M18" i="1"/>
  <c r="M20" i="1" s="1"/>
  <c r="Y18" i="1"/>
  <c r="Y20" i="1" s="1"/>
  <c r="Z18" i="1"/>
  <c r="H19" i="1"/>
  <c r="I19" i="1"/>
  <c r="J19" i="1"/>
  <c r="K19" i="1"/>
  <c r="L19" i="1"/>
  <c r="M19" i="1"/>
  <c r="N19" i="1"/>
  <c r="O19" i="1"/>
  <c r="P19" i="1" s="1"/>
  <c r="Q19" i="1" s="1"/>
  <c r="R19" i="1" s="1"/>
  <c r="S19" i="1" s="1"/>
  <c r="T19" i="1" s="1"/>
  <c r="U19" i="1" s="1"/>
  <c r="V19" i="1" s="1"/>
  <c r="W19" i="1" s="1"/>
  <c r="X19" i="1" s="1"/>
  <c r="Y19" i="1" s="1"/>
  <c r="Z19" i="1" s="1"/>
  <c r="H23" i="1"/>
  <c r="C23" i="1" s="1"/>
  <c r="I23" i="1"/>
  <c r="I30" i="1" s="1"/>
  <c r="I32" i="1" s="1"/>
  <c r="J23" i="1"/>
  <c r="K23" i="1"/>
  <c r="L23" i="1"/>
  <c r="M23" i="1"/>
  <c r="N23" i="1"/>
  <c r="O23" i="1"/>
  <c r="P23" i="1"/>
  <c r="Q23" i="1"/>
  <c r="R23" i="1"/>
  <c r="S23" i="1"/>
  <c r="T23" i="1"/>
  <c r="U23" i="1"/>
  <c r="V23" i="1"/>
  <c r="W23" i="1"/>
  <c r="X23" i="1"/>
  <c r="X30" i="1" s="1"/>
  <c r="X32" i="1" s="1"/>
  <c r="Y23" i="1"/>
  <c r="Y30" i="1" s="1"/>
  <c r="Y32" i="1" s="1"/>
  <c r="Z23" i="1"/>
  <c r="Z30" i="1" s="1"/>
  <c r="Z32" i="1" s="1"/>
  <c r="AA23" i="1"/>
  <c r="AA30" i="1" s="1"/>
  <c r="AA32" i="1" s="1"/>
  <c r="H24" i="1"/>
  <c r="C24" i="1" s="1"/>
  <c r="I24" i="1"/>
  <c r="J24" i="1"/>
  <c r="K24" i="1"/>
  <c r="L24" i="1"/>
  <c r="M24" i="1"/>
  <c r="N24" i="1"/>
  <c r="O24" i="1"/>
  <c r="P24" i="1"/>
  <c r="Q24" i="1"/>
  <c r="R24" i="1"/>
  <c r="S24" i="1"/>
  <c r="T24" i="1"/>
  <c r="U24" i="1"/>
  <c r="V24" i="1"/>
  <c r="W24" i="1"/>
  <c r="W30" i="1" s="1"/>
  <c r="W32" i="1" s="1"/>
  <c r="X24" i="1"/>
  <c r="Y24" i="1"/>
  <c r="Z24" i="1"/>
  <c r="AA24" i="1"/>
  <c r="H25" i="1"/>
  <c r="C25" i="1" s="1"/>
  <c r="I25" i="1"/>
  <c r="J25" i="1"/>
  <c r="K25" i="1"/>
  <c r="L25" i="1"/>
  <c r="M25" i="1"/>
  <c r="N25" i="1"/>
  <c r="O25" i="1"/>
  <c r="P25" i="1"/>
  <c r="Q25" i="1"/>
  <c r="R25" i="1"/>
  <c r="S25" i="1"/>
  <c r="T25" i="1"/>
  <c r="U25" i="1"/>
  <c r="V25" i="1"/>
  <c r="W25" i="1"/>
  <c r="X25" i="1"/>
  <c r="Y25" i="1"/>
  <c r="Z25" i="1"/>
  <c r="AA25" i="1"/>
  <c r="H26" i="1"/>
  <c r="C26" i="1" s="1"/>
  <c r="I26" i="1"/>
  <c r="J26" i="1"/>
  <c r="K26" i="1"/>
  <c r="L26" i="1"/>
  <c r="M26" i="1"/>
  <c r="N26" i="1"/>
  <c r="O26" i="1"/>
  <c r="P26" i="1"/>
  <c r="Q26" i="1"/>
  <c r="R26" i="1"/>
  <c r="S26" i="1"/>
  <c r="T26" i="1"/>
  <c r="U26" i="1"/>
  <c r="V26" i="1"/>
  <c r="W26" i="1"/>
  <c r="X26" i="1"/>
  <c r="Y26" i="1"/>
  <c r="Z26" i="1"/>
  <c r="AA26" i="1"/>
  <c r="H27" i="1"/>
  <c r="I27" i="1"/>
  <c r="C27" i="1" s="1"/>
  <c r="J27" i="1"/>
  <c r="K27" i="1"/>
  <c r="L27" i="1"/>
  <c r="M27" i="1"/>
  <c r="N27" i="1"/>
  <c r="O27" i="1"/>
  <c r="P27" i="1"/>
  <c r="Q27" i="1"/>
  <c r="R27" i="1"/>
  <c r="S27" i="1"/>
  <c r="T27" i="1"/>
  <c r="U27" i="1"/>
  <c r="V27" i="1"/>
  <c r="W27" i="1"/>
  <c r="X27" i="1"/>
  <c r="Y27" i="1"/>
  <c r="Z27" i="1"/>
  <c r="AA27" i="1"/>
  <c r="U28" i="1"/>
  <c r="V28" i="1"/>
  <c r="V30" i="1" s="1"/>
  <c r="V32" i="1" s="1"/>
  <c r="W28" i="1"/>
  <c r="X28" i="1"/>
  <c r="Y28" i="1"/>
  <c r="AA29" i="1"/>
  <c r="G30" i="1"/>
  <c r="U30" i="1"/>
  <c r="U32" i="1" s="1"/>
  <c r="H31" i="1"/>
  <c r="I31" i="1"/>
  <c r="J31" i="1"/>
  <c r="K31" i="1" s="1"/>
  <c r="L31" i="1" s="1"/>
  <c r="M31" i="1" s="1"/>
  <c r="N31" i="1" s="1"/>
  <c r="O31" i="1" s="1"/>
  <c r="P31" i="1" s="1"/>
  <c r="Q31" i="1" s="1"/>
  <c r="R31" i="1" s="1"/>
  <c r="S31" i="1" s="1"/>
  <c r="T31" i="1" s="1"/>
  <c r="U31" i="1" s="1"/>
  <c r="V31" i="1" s="1"/>
  <c r="W31" i="1" s="1"/>
  <c r="X31" i="1" s="1"/>
  <c r="Y31" i="1" s="1"/>
  <c r="Z31" i="1" s="1"/>
  <c r="AA31" i="1" s="1"/>
  <c r="G32" i="1"/>
  <c r="T3" i="2"/>
  <c r="W3" i="2"/>
  <c r="X3" i="2"/>
  <c r="AE3" i="2"/>
  <c r="W5" i="2"/>
  <c r="W6" i="2"/>
  <c r="AA6" i="2"/>
  <c r="W7" i="2"/>
  <c r="AE7" i="2"/>
  <c r="T8" i="2"/>
  <c r="T13" i="2" s="1"/>
  <c r="W8" i="2"/>
  <c r="AE8" i="2"/>
  <c r="T9" i="2"/>
  <c r="W9" i="2"/>
  <c r="AA9" i="2"/>
  <c r="T10" i="2"/>
  <c r="X10" i="2"/>
  <c r="AE10" i="2"/>
  <c r="K11" i="2"/>
  <c r="T11" i="2"/>
  <c r="W11" i="2"/>
  <c r="AA11" i="2"/>
  <c r="V13" i="2"/>
  <c r="X13" i="2"/>
  <c r="Y13" i="2"/>
  <c r="Z13" i="2"/>
  <c r="AB13" i="2"/>
  <c r="C81" i="2" s="1"/>
  <c r="C82" i="2" s="1"/>
  <c r="C83" i="2" s="1"/>
  <c r="AC13" i="2"/>
  <c r="C86" i="2" s="1"/>
  <c r="C87" i="2" s="1"/>
  <c r="C88" i="2" s="1"/>
  <c r="AD13" i="2"/>
  <c r="C92" i="2" s="1"/>
  <c r="C93" i="2" s="1"/>
  <c r="C94" i="2" s="1"/>
  <c r="AE13" i="2"/>
  <c r="C112" i="2" s="1"/>
  <c r="C113" i="2" s="1"/>
  <c r="C34" i="2"/>
  <c r="C37" i="2" s="1"/>
  <c r="C40" i="2" s="1"/>
  <c r="C44" i="2" s="1"/>
  <c r="C35" i="2"/>
  <c r="C38" i="2" s="1"/>
  <c r="C41" i="2" s="1"/>
  <c r="C47" i="2"/>
  <c r="C48" i="2"/>
  <c r="C50" i="2"/>
  <c r="C51" i="2"/>
  <c r="C53" i="2"/>
  <c r="C54" i="2"/>
  <c r="C57" i="2"/>
  <c r="C60" i="2"/>
  <c r="C61" i="2"/>
  <c r="C63" i="2"/>
  <c r="C64" i="2"/>
  <c r="C66" i="2"/>
  <c r="C67" i="2"/>
  <c r="C70" i="2"/>
  <c r="C74" i="2"/>
  <c r="C75" i="2"/>
  <c r="C76" i="2" s="1"/>
  <c r="C77" i="2" s="1"/>
  <c r="C101" i="2"/>
  <c r="C102" i="2"/>
  <c r="C103" i="2"/>
  <c r="C104" i="2"/>
  <c r="C105" i="2"/>
  <c r="C106" i="2"/>
  <c r="C107" i="2"/>
  <c r="C108" i="2"/>
  <c r="O30" i="1" l="1"/>
  <c r="O32" i="1" s="1"/>
  <c r="Q30" i="1"/>
  <c r="Q32" i="1" s="1"/>
  <c r="R30" i="1"/>
  <c r="R32" i="1" s="1"/>
  <c r="S30" i="1"/>
  <c r="S32" i="1" s="1"/>
  <c r="T30" i="1"/>
  <c r="T32" i="1" s="1"/>
  <c r="L30" i="1"/>
  <c r="L32" i="1" s="1"/>
  <c r="N30" i="1"/>
  <c r="N32" i="1" s="1"/>
  <c r="M30" i="1"/>
  <c r="M32" i="1" s="1"/>
  <c r="K30" i="1"/>
  <c r="K32" i="1" s="1"/>
  <c r="J30" i="1"/>
  <c r="J32" i="1" s="1"/>
  <c r="P30" i="1"/>
  <c r="P32" i="1" s="1"/>
  <c r="Z20" i="1"/>
  <c r="AA19" i="1"/>
  <c r="AA20" i="1" s="1"/>
  <c r="N18" i="1"/>
  <c r="N20" i="1" s="1"/>
  <c r="C11" i="1"/>
  <c r="G20" i="1"/>
  <c r="H30" i="1"/>
  <c r="H32" i="1" s="1"/>
  <c r="C32" i="1" s="1"/>
  <c r="C35" i="1" s="1"/>
  <c r="C39" i="1" l="1"/>
  <c r="C30" i="1"/>
  <c r="G35" i="1"/>
  <c r="G36" i="1"/>
  <c r="C20" i="1"/>
  <c r="C36" i="1" s="1"/>
  <c r="C38" i="1" s="1"/>
  <c r="C18" i="1"/>
  <c r="G38" i="1" l="1"/>
  <c r="G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<sst xmlns="http://schemas.openxmlformats.org/spreadsheetml/2006/main" count="292" uniqueCount="205">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</sst>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0.00000"/>
    <numFmt numFmtId="185" formatCode="0.000"/>
    <numFmt numFmtId="186"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84" fontId="0" fillId="3" borderId="1" xfId="0" applyNumberFormat="1" applyFill="1" applyBorder="1" applyAlignment="1">
      <alignment horizontal="center"/>
    </xf>
    <xf numFmtId="185" fontId="0" fillId="3" borderId="1" xfId="0" applyNumberFormat="1" applyFill="1" applyBorder="1" applyAlignment="1">
      <alignment horizontal="center"/>
    </xf>
    <xf numFmtId="1" fontId="0" fillId="4" borderId="1" xfId="0" applyNumberFormat="1" applyFill="1" applyBorder="1" applyAlignment="1">
      <alignment horizontal="center"/>
    </xf>
    <xf numFmtId="184"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84"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84"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6"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47058823529413"/>
          <c:y val="0.12254960626151895"/>
          <c:w val="0.80470588235294116"/>
          <c:h val="0.52941429904976189"/>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166847.09821428571</c:v>
                </c:pt>
                <c:pt idx="3">
                  <c:v>105156.99025145771</c:v>
                </c:pt>
                <c:pt idx="4">
                  <c:v>98148.140992685323</c:v>
                </c:pt>
                <c:pt idx="5">
                  <c:v>82638.912413145372</c:v>
                </c:pt>
                <c:pt idx="6">
                  <c:v>68515.779565778503</c:v>
                </c:pt>
                <c:pt idx="7">
                  <c:v>61174.803183730808</c:v>
                </c:pt>
                <c:pt idx="8">
                  <c:v>54620.35998547393</c:v>
                </c:pt>
                <c:pt idx="9">
                  <c:v>48768.178558458865</c:v>
                </c:pt>
                <c:pt idx="10">
                  <c:v>83648.807852881131</c:v>
                </c:pt>
                <c:pt idx="11">
                  <c:v>38877.693366118343</c:v>
                </c:pt>
                <c:pt idx="12">
                  <c:v>34712.226219748525</c:v>
                </c:pt>
                <c:pt idx="13">
                  <c:v>30993.059124775467</c:v>
                </c:pt>
                <c:pt idx="14">
                  <c:v>27672.374218549521</c:v>
                </c:pt>
                <c:pt idx="15">
                  <c:v>24707.476980847783</c:v>
                </c:pt>
                <c:pt idx="16">
                  <c:v>22060.247304328379</c:v>
                </c:pt>
                <c:pt idx="17">
                  <c:v>22038.199042181615</c:v>
                </c:pt>
                <c:pt idx="18">
                  <c:v>19676.963430519296</c:v>
                </c:pt>
                <c:pt idx="19">
                  <c:v>17568.717348677939</c:v>
                </c:pt>
                <c:pt idx="20">
                  <c:v>21979.422990187901</c:v>
                </c:pt>
              </c:numCache>
            </c:numRef>
          </c:val>
          <c:smooth val="0"/>
          <c:extLst>
            <c:ext xmlns:c16="http://schemas.microsoft.com/office/drawing/2014/chart" uri="{C3380CC4-5D6E-409C-BE32-E72D297353CC}">
              <c16:uniqueId val="{00000000-4AAC-4FD8-B971-C2714548A8B8}"/>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4AAC-4FD8-B971-C2714548A8B8}"/>
            </c:ext>
          </c:extLst>
        </c:ser>
        <c:dLbls>
          <c:showLegendKey val="0"/>
          <c:showVal val="0"/>
          <c:showCatName val="0"/>
          <c:showSerName val="0"/>
          <c:showPercent val="0"/>
          <c:showBubbleSize val="0"/>
        </c:dLbls>
        <c:marker val="1"/>
        <c:smooth val="0"/>
        <c:axId val="1375391024"/>
        <c:axId val="1"/>
      </c:lineChart>
      <c:catAx>
        <c:axId val="1375391024"/>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10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375391024"/>
        <c:crosses val="autoZero"/>
        <c:crossBetween val="between"/>
      </c:valAx>
      <c:spPr>
        <a:solidFill>
          <a:srgbClr val="C0C0C0"/>
        </a:solidFill>
        <a:ln w="12700">
          <a:solidFill>
            <a:srgbClr val="808080"/>
          </a:solidFill>
          <a:prstDash val="solid"/>
        </a:ln>
      </c:spPr>
    </c:plotArea>
    <c:legend>
      <c:legendPos val="b"/>
      <c:layout>
        <c:manualLayout>
          <c:xMode val="edge"/>
          <c:yMode val="edge"/>
          <c:x val="0.29882352941176471"/>
          <c:y val="0.84804327532971113"/>
          <c:w val="0.53176470588235292"/>
          <c:h val="0.117647622011058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361950</xdr:colOff>
      <xdr:row>18</xdr:row>
      <xdr:rowOff>123825</xdr:rowOff>
    </xdr:from>
    <xdr:to>
      <xdr:col>34</xdr:col>
      <xdr:colOff>142875</xdr:colOff>
      <xdr:row>30</xdr:row>
      <xdr:rowOff>85725</xdr:rowOff>
    </xdr:to>
    <xdr:graphicFrame macro="">
      <xdr:nvGraphicFramePr>
        <xdr:cNvPr id="1026" name="Diagramm 2">
          <a:extLst>
            <a:ext uri="{FF2B5EF4-FFF2-40B4-BE49-F238E27FC236}">
              <a16:creationId xmlns:a16="http://schemas.microsoft.com/office/drawing/2014/main" id="{BCA4C243-A162-F42D-7750-FB47107D6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BAF00-435D-4B09-991D-3A7508743C00}">
  <sheetPr>
    <pageSetUpPr fitToPage="1"/>
  </sheetPr>
  <dimension ref="A1:BI99"/>
  <sheetViews>
    <sheetView tabSelected="1" topLeftCell="Y15" workbookViewId="0">
      <selection activeCell="AB17" sqref="AB17:AI31"/>
    </sheetView>
  </sheetViews>
  <sheetFormatPr baseColWidth="10" defaultColWidth="9.140625" defaultRowHeight="12.75" x14ac:dyDescent="0.2"/>
  <cols>
    <col min="1" max="1" width="6" style="14" customWidth="1"/>
    <col min="2" max="2" width="108.42578125" style="14" customWidth="1"/>
    <col min="3" max="3" width="81.140625" style="23" customWidth="1"/>
    <col min="4" max="4" width="7" style="21" customWidth="1"/>
    <col min="5" max="5" width="5.7109375" style="14" customWidth="1"/>
    <col min="6" max="6" width="49" style="14" customWidth="1"/>
    <col min="7" max="8" width="16" style="14" customWidth="1"/>
    <col min="9" max="9" width="17.7109375" style="14" bestFit="1" customWidth="1"/>
    <col min="10" max="10" width="13.28515625" style="14" customWidth="1"/>
    <col min="11" max="11" width="16.42578125" style="14" customWidth="1"/>
    <col min="12" max="12" width="9.140625" style="14"/>
    <col min="13" max="13" width="12.7109375" style="14" customWidth="1"/>
    <col min="14" max="17" width="9.140625" style="14"/>
    <col min="18" max="18" width="10.140625" style="14" customWidth="1"/>
    <col min="19" max="16384" width="9.140625" style="14"/>
  </cols>
  <sheetData>
    <row r="1" spans="1:27" ht="18" x14ac:dyDescent="0.25">
      <c r="A1" s="24"/>
      <c r="B1" s="40" t="s">
        <v>185</v>
      </c>
      <c r="C1" s="25"/>
    </row>
    <row r="2" spans="1:27" ht="15.75" x14ac:dyDescent="0.2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75" x14ac:dyDescent="0.25">
      <c r="A3" s="24" t="s">
        <v>186</v>
      </c>
      <c r="B3" s="31" t="s">
        <v>162</v>
      </c>
      <c r="C3" s="25"/>
    </row>
    <row r="4" spans="1:27" x14ac:dyDescent="0.2">
      <c r="A4" s="24"/>
      <c r="B4" s="27"/>
      <c r="C4" s="25"/>
      <c r="F4" s="15" t="s">
        <v>68</v>
      </c>
    </row>
    <row r="5" spans="1:27" x14ac:dyDescent="0.2">
      <c r="A5" s="24">
        <v>1</v>
      </c>
      <c r="B5" s="41" t="s">
        <v>163</v>
      </c>
      <c r="C5" s="25">
        <f>SUM(G5:AA5)</f>
        <v>497409.32642487047</v>
      </c>
      <c r="E5" s="14">
        <v>1</v>
      </c>
      <c r="F5" s="14" t="s">
        <v>66</v>
      </c>
      <c r="G5" s="14">
        <f>240000/0.4825</f>
        <v>497409.32642487047</v>
      </c>
    </row>
    <row r="6" spans="1:27" x14ac:dyDescent="0.2">
      <c r="A6" s="24">
        <v>2</v>
      </c>
      <c r="B6" s="24" t="s">
        <v>164</v>
      </c>
      <c r="C6" s="25">
        <f t="shared" ref="C6:C32" si="0">SUM(G6:AA6)</f>
        <v>45139.896373056996</v>
      </c>
      <c r="E6" s="14">
        <v>2</v>
      </c>
      <c r="F6" s="14" t="s">
        <v>67</v>
      </c>
      <c r="G6" s="14">
        <f>21780/0.4825</f>
        <v>45139.896373056996</v>
      </c>
    </row>
    <row r="7" spans="1:27" x14ac:dyDescent="0.2">
      <c r="A7" s="24"/>
      <c r="B7" s="24"/>
      <c r="C7" s="25"/>
    </row>
    <row r="8" spans="1:27" x14ac:dyDescent="0.2">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
      <c r="A9" s="24">
        <v>4</v>
      </c>
      <c r="B9" s="24" t="s">
        <v>182</v>
      </c>
      <c r="C9" s="25">
        <f t="shared" si="0"/>
        <v>15000</v>
      </c>
      <c r="E9" s="14">
        <v>4</v>
      </c>
      <c r="F9" s="14" t="s">
        <v>182</v>
      </c>
      <c r="H9" s="14">
        <f>500*15</f>
        <v>7500</v>
      </c>
      <c r="I9" s="14">
        <f>500*15</f>
        <v>7500</v>
      </c>
    </row>
    <row r="10" spans="1:27" x14ac:dyDescent="0.2">
      <c r="A10" s="24">
        <v>6</v>
      </c>
      <c r="B10" s="24" t="s">
        <v>165</v>
      </c>
      <c r="C10" s="25">
        <f t="shared" si="0"/>
        <v>160972.5</v>
      </c>
      <c r="E10" s="14">
        <v>6</v>
      </c>
      <c r="F10" s="14" t="s">
        <v>70</v>
      </c>
      <c r="H10" s="14">
        <f>4297*15</f>
        <v>64455</v>
      </c>
      <c r="I10" s="14">
        <f>4297*15</f>
        <v>64455</v>
      </c>
      <c r="Q10" s="14">
        <f>4275*7.5</f>
        <v>32062.5</v>
      </c>
    </row>
    <row r="11" spans="1:27" x14ac:dyDescent="0.2">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
      <c r="A15" s="24"/>
      <c r="B15" s="24"/>
      <c r="C15" s="25"/>
      <c r="E15" s="14">
        <v>11</v>
      </c>
      <c r="F15" s="14" t="s">
        <v>200</v>
      </c>
      <c r="J15" s="14">
        <f>3*3000</f>
        <v>9000</v>
      </c>
      <c r="K15" s="14">
        <f>5*3000</f>
        <v>15000</v>
      </c>
      <c r="L15" s="14">
        <f>3*3000</f>
        <v>9000</v>
      </c>
    </row>
    <row r="16" spans="1:27" x14ac:dyDescent="0.2">
      <c r="A16" s="24"/>
      <c r="B16" s="24"/>
      <c r="C16" s="25"/>
      <c r="E16" s="14">
        <v>12</v>
      </c>
      <c r="F16" s="14" t="s">
        <v>201</v>
      </c>
      <c r="H16" s="14">
        <f>4*700</f>
        <v>2800</v>
      </c>
      <c r="I16" s="14">
        <f>3*700</f>
        <v>2100</v>
      </c>
      <c r="J16" s="14">
        <f>5*700</f>
        <v>3500</v>
      </c>
      <c r="K16" s="14">
        <f>6*700</f>
        <v>4200</v>
      </c>
      <c r="L16" s="14">
        <f>2*700</f>
        <v>1400</v>
      </c>
    </row>
    <row r="17" spans="1:31" x14ac:dyDescent="0.2">
      <c r="A17" s="24"/>
      <c r="B17" s="24"/>
      <c r="C17" s="25"/>
      <c r="E17" s="14">
        <v>13</v>
      </c>
      <c r="F17" s="14" t="s">
        <v>202</v>
      </c>
      <c r="AA17" s="14">
        <f>0.1*G5+0.1*G6</f>
        <v>54254.92227979275</v>
      </c>
    </row>
    <row r="18" spans="1:31" s="17" customFormat="1" x14ac:dyDescent="0.2">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x14ac:dyDescent="0.2">
      <c r="A19" s="28"/>
      <c r="B19" s="32"/>
      <c r="C19" s="26"/>
      <c r="D19" s="22"/>
      <c r="F19" s="19" t="s">
        <v>3</v>
      </c>
      <c r="G19" s="19">
        <v>1</v>
      </c>
      <c r="H19" s="19">
        <f t="shared" ref="H19:W19" si="7">G19*(1/1.12)</f>
        <v>0.89285714285714279</v>
      </c>
      <c r="I19" s="19">
        <f t="shared" si="7"/>
        <v>0.79719387755102034</v>
      </c>
      <c r="J19" s="19">
        <f t="shared" si="7"/>
        <v>0.71178024781341098</v>
      </c>
      <c r="K19" s="19">
        <f t="shared" si="7"/>
        <v>0.63551807840483121</v>
      </c>
      <c r="L19" s="19">
        <f t="shared" si="7"/>
        <v>0.5674268557185993</v>
      </c>
      <c r="M19" s="19">
        <f t="shared" si="7"/>
        <v>0.50663112117732079</v>
      </c>
      <c r="N19" s="19">
        <f t="shared" si="7"/>
        <v>0.45234921533689354</v>
      </c>
      <c r="O19" s="19">
        <f t="shared" si="7"/>
        <v>0.40388322797936921</v>
      </c>
      <c r="P19" s="19">
        <f t="shared" si="7"/>
        <v>0.36061002498157962</v>
      </c>
      <c r="Q19" s="19">
        <f t="shared" si="7"/>
        <v>0.32197323659069604</v>
      </c>
      <c r="R19" s="19">
        <f t="shared" si="7"/>
        <v>0.28747610409883573</v>
      </c>
      <c r="S19" s="19">
        <f t="shared" si="7"/>
        <v>0.25667509294538904</v>
      </c>
      <c r="T19" s="19">
        <f t="shared" si="7"/>
        <v>0.22917419012981163</v>
      </c>
      <c r="U19" s="19">
        <f t="shared" si="7"/>
        <v>0.20461981261590323</v>
      </c>
      <c r="V19" s="19">
        <f t="shared" si="7"/>
        <v>0.1826962612641993</v>
      </c>
      <c r="W19" s="19">
        <f t="shared" si="7"/>
        <v>0.16312166184303509</v>
      </c>
      <c r="X19" s="19">
        <f>W19*(438/438.4382)</f>
        <v>0.16295862880389841</v>
      </c>
      <c r="Y19" s="19">
        <f>X19*(1/1.12)</f>
        <v>0.14549877571776643</v>
      </c>
      <c r="Z19" s="19">
        <f>Y19*(1/1.12)</f>
        <v>0.12990962117657714</v>
      </c>
      <c r="AA19" s="19">
        <f>Z19*(1/1.12)</f>
        <v>0.11599073319337244</v>
      </c>
    </row>
    <row r="20" spans="1:31" s="17" customFormat="1" x14ac:dyDescent="0.2">
      <c r="A20" s="24"/>
      <c r="B20" s="29" t="s">
        <v>4</v>
      </c>
      <c r="C20" s="26">
        <f t="shared" si="0"/>
        <v>1759848.42384176</v>
      </c>
      <c r="D20" s="21"/>
      <c r="F20" s="17" t="s">
        <v>4</v>
      </c>
      <c r="G20" s="17">
        <f>G18*G19</f>
        <v>542549.22279792745</v>
      </c>
      <c r="H20" s="17">
        <f t="shared" ref="H20:AA20" si="8">H18*H19</f>
        <v>187493.75</v>
      </c>
      <c r="I20" s="17">
        <f t="shared" si="8"/>
        <v>166847.09821428571</v>
      </c>
      <c r="J20" s="17">
        <f t="shared" si="8"/>
        <v>105156.99025145771</v>
      </c>
      <c r="K20" s="17">
        <f t="shared" si="8"/>
        <v>98148.140992685323</v>
      </c>
      <c r="L20" s="17">
        <f t="shared" si="8"/>
        <v>82638.912413145372</v>
      </c>
      <c r="M20" s="17">
        <f t="shared" si="8"/>
        <v>68515.779565778503</v>
      </c>
      <c r="N20" s="17">
        <f t="shared" si="8"/>
        <v>61174.803183730808</v>
      </c>
      <c r="O20" s="17">
        <f t="shared" si="8"/>
        <v>54620.35998547393</v>
      </c>
      <c r="P20" s="17">
        <f t="shared" si="8"/>
        <v>48768.178558458865</v>
      </c>
      <c r="Q20" s="17">
        <f t="shared" si="8"/>
        <v>83648.807852881131</v>
      </c>
      <c r="R20" s="17">
        <f t="shared" si="8"/>
        <v>38877.693366118343</v>
      </c>
      <c r="S20" s="17">
        <f t="shared" si="8"/>
        <v>34712.226219748525</v>
      </c>
      <c r="T20" s="17">
        <f t="shared" si="8"/>
        <v>30993.059124775467</v>
      </c>
      <c r="U20" s="17">
        <f t="shared" si="8"/>
        <v>27672.374218549521</v>
      </c>
      <c r="V20" s="17">
        <f t="shared" si="8"/>
        <v>24707.476980847783</v>
      </c>
      <c r="W20" s="17">
        <f t="shared" si="8"/>
        <v>22060.247304328379</v>
      </c>
      <c r="X20" s="17">
        <f t="shared" si="8"/>
        <v>22038.199042181615</v>
      </c>
      <c r="Y20" s="17">
        <f t="shared" si="8"/>
        <v>19676.963430519296</v>
      </c>
      <c r="Z20" s="17">
        <f t="shared" si="8"/>
        <v>17568.717348677939</v>
      </c>
      <c r="AA20" s="17">
        <f t="shared" si="8"/>
        <v>21979.422990187901</v>
      </c>
    </row>
    <row r="21" spans="1:31" x14ac:dyDescent="0.2">
      <c r="A21" s="24"/>
      <c r="B21" s="24"/>
      <c r="C21" s="25"/>
    </row>
    <row r="22" spans="1:31" ht="15.75" x14ac:dyDescent="0.25">
      <c r="A22" s="24"/>
      <c r="B22" s="31" t="s">
        <v>161</v>
      </c>
      <c r="C22" s="25"/>
    </row>
    <row r="23" spans="1:31" x14ac:dyDescent="0.2">
      <c r="A23" s="24">
        <v>9</v>
      </c>
      <c r="B23" s="36" t="s">
        <v>0</v>
      </c>
      <c r="C23" s="25">
        <f t="shared" si="0"/>
        <v>1076400</v>
      </c>
      <c r="E23" s="14">
        <v>9</v>
      </c>
      <c r="F23" s="14" t="s">
        <v>0</v>
      </c>
      <c r="H23" s="14">
        <f>(164-26)*30*13</f>
        <v>53820</v>
      </c>
      <c r="I23" s="14">
        <f t="shared" ref="I23:AA23" si="9">(164-26)*30*13</f>
        <v>53820</v>
      </c>
      <c r="J23" s="14">
        <f t="shared" si="9"/>
        <v>53820</v>
      </c>
      <c r="K23" s="14">
        <f t="shared" si="9"/>
        <v>53820</v>
      </c>
      <c r="L23" s="14">
        <f t="shared" si="9"/>
        <v>53820</v>
      </c>
      <c r="M23" s="14">
        <f t="shared" si="9"/>
        <v>53820</v>
      </c>
      <c r="N23" s="14">
        <f t="shared" si="9"/>
        <v>53820</v>
      </c>
      <c r="O23" s="14">
        <f t="shared" si="9"/>
        <v>53820</v>
      </c>
      <c r="P23" s="14">
        <f t="shared" si="9"/>
        <v>53820</v>
      </c>
      <c r="Q23" s="14">
        <f t="shared" si="9"/>
        <v>53820</v>
      </c>
      <c r="R23" s="14">
        <f t="shared" si="9"/>
        <v>53820</v>
      </c>
      <c r="S23" s="14">
        <f t="shared" si="9"/>
        <v>53820</v>
      </c>
      <c r="T23" s="14">
        <f t="shared" si="9"/>
        <v>53820</v>
      </c>
      <c r="U23" s="14">
        <f t="shared" si="9"/>
        <v>53820</v>
      </c>
      <c r="V23" s="14">
        <f t="shared" si="9"/>
        <v>53820</v>
      </c>
      <c r="W23" s="14">
        <f t="shared" si="9"/>
        <v>53820</v>
      </c>
      <c r="X23" s="14">
        <f t="shared" si="9"/>
        <v>53820</v>
      </c>
      <c r="Y23" s="14">
        <f t="shared" si="9"/>
        <v>53820</v>
      </c>
      <c r="Z23" s="14">
        <f t="shared" si="9"/>
        <v>53820</v>
      </c>
      <c r="AA23" s="14">
        <f t="shared" si="9"/>
        <v>53820</v>
      </c>
    </row>
    <row r="24" spans="1:31" x14ac:dyDescent="0.2">
      <c r="A24" s="24">
        <v>10</v>
      </c>
      <c r="B24" s="36" t="s">
        <v>1</v>
      </c>
      <c r="C24" s="25">
        <f t="shared" si="0"/>
        <v>863136.00000000023</v>
      </c>
      <c r="E24" s="14">
        <v>10</v>
      </c>
      <c r="F24" s="14" t="s">
        <v>1</v>
      </c>
      <c r="H24" s="14">
        <f>(7.44-0.78)*12*30*18</f>
        <v>43156.799999999996</v>
      </c>
      <c r="I24" s="14">
        <f t="shared" ref="I24:AA24" si="10">(7.44-0.78)*12*30*18</f>
        <v>43156.799999999996</v>
      </c>
      <c r="J24" s="14">
        <f t="shared" si="10"/>
        <v>43156.799999999996</v>
      </c>
      <c r="K24" s="14">
        <f t="shared" si="10"/>
        <v>43156.799999999996</v>
      </c>
      <c r="L24" s="14">
        <f t="shared" si="10"/>
        <v>43156.799999999996</v>
      </c>
      <c r="M24" s="14">
        <f t="shared" si="10"/>
        <v>43156.799999999996</v>
      </c>
      <c r="N24" s="14">
        <f t="shared" si="10"/>
        <v>43156.799999999996</v>
      </c>
      <c r="O24" s="14">
        <f t="shared" si="10"/>
        <v>43156.799999999996</v>
      </c>
      <c r="P24" s="14">
        <f t="shared" si="10"/>
        <v>43156.799999999996</v>
      </c>
      <c r="Q24" s="14">
        <f t="shared" si="10"/>
        <v>43156.799999999996</v>
      </c>
      <c r="R24" s="14">
        <f t="shared" si="10"/>
        <v>43156.799999999996</v>
      </c>
      <c r="S24" s="14">
        <f t="shared" si="10"/>
        <v>43156.799999999996</v>
      </c>
      <c r="T24" s="14">
        <f t="shared" si="10"/>
        <v>43156.799999999996</v>
      </c>
      <c r="U24" s="14">
        <f t="shared" si="10"/>
        <v>43156.799999999996</v>
      </c>
      <c r="V24" s="14">
        <f t="shared" si="10"/>
        <v>43156.799999999996</v>
      </c>
      <c r="W24" s="14">
        <f t="shared" si="10"/>
        <v>43156.799999999996</v>
      </c>
      <c r="X24" s="14">
        <f t="shared" si="10"/>
        <v>43156.799999999996</v>
      </c>
      <c r="Y24" s="14">
        <f t="shared" si="10"/>
        <v>43156.799999999996</v>
      </c>
      <c r="Z24" s="14">
        <f t="shared" si="10"/>
        <v>43156.799999999996</v>
      </c>
      <c r="AA24" s="14">
        <f t="shared" si="10"/>
        <v>43156.799999999996</v>
      </c>
    </row>
    <row r="25" spans="1:31" x14ac:dyDescent="0.2">
      <c r="A25" s="24">
        <v>11</v>
      </c>
      <c r="B25" s="35" t="s">
        <v>183</v>
      </c>
      <c r="C25" s="25">
        <f t="shared" si="0"/>
        <v>2160000</v>
      </c>
      <c r="E25" s="14">
        <v>11</v>
      </c>
      <c r="F25" s="14" t="s">
        <v>183</v>
      </c>
      <c r="H25" s="14">
        <f>300*12*30</f>
        <v>108000</v>
      </c>
      <c r="I25" s="14">
        <f t="shared" ref="I25:AA25" si="11">300*12*30</f>
        <v>108000</v>
      </c>
      <c r="J25" s="14">
        <f t="shared" si="11"/>
        <v>108000</v>
      </c>
      <c r="K25" s="14">
        <f t="shared" si="11"/>
        <v>108000</v>
      </c>
      <c r="L25" s="14">
        <f t="shared" si="11"/>
        <v>108000</v>
      </c>
      <c r="M25" s="14">
        <f t="shared" si="11"/>
        <v>108000</v>
      </c>
      <c r="N25" s="14">
        <f t="shared" si="11"/>
        <v>108000</v>
      </c>
      <c r="O25" s="14">
        <f t="shared" si="11"/>
        <v>108000</v>
      </c>
      <c r="P25" s="14">
        <f t="shared" si="11"/>
        <v>108000</v>
      </c>
      <c r="Q25" s="14">
        <f t="shared" si="11"/>
        <v>108000</v>
      </c>
      <c r="R25" s="14">
        <f t="shared" si="11"/>
        <v>108000</v>
      </c>
      <c r="S25" s="14">
        <f t="shared" si="11"/>
        <v>108000</v>
      </c>
      <c r="T25" s="14">
        <f t="shared" si="11"/>
        <v>108000</v>
      </c>
      <c r="U25" s="14">
        <f t="shared" si="11"/>
        <v>108000</v>
      </c>
      <c r="V25" s="14">
        <f t="shared" si="11"/>
        <v>108000</v>
      </c>
      <c r="W25" s="14">
        <f t="shared" si="11"/>
        <v>108000</v>
      </c>
      <c r="X25" s="14">
        <f t="shared" si="11"/>
        <v>108000</v>
      </c>
      <c r="Y25" s="14">
        <f t="shared" si="11"/>
        <v>108000</v>
      </c>
      <c r="Z25" s="14">
        <f t="shared" si="11"/>
        <v>108000</v>
      </c>
      <c r="AA25" s="14">
        <f t="shared" si="11"/>
        <v>108000</v>
      </c>
    </row>
    <row r="26" spans="1:31" x14ac:dyDescent="0.2">
      <c r="A26" s="24">
        <v>12</v>
      </c>
      <c r="B26" s="35" t="s">
        <v>155</v>
      </c>
      <c r="C26" s="25">
        <f t="shared" si="0"/>
        <v>858000</v>
      </c>
      <c r="E26" s="14">
        <v>12</v>
      </c>
      <c r="F26" s="14" t="s">
        <v>155</v>
      </c>
      <c r="H26" s="14">
        <f>((11*10*52)/8)*60</f>
        <v>42900</v>
      </c>
      <c r="I26" s="14">
        <f t="shared" ref="I26:AA26" si="12">((11*10*52)/8)*60</f>
        <v>42900</v>
      </c>
      <c r="J26" s="14">
        <f t="shared" si="12"/>
        <v>42900</v>
      </c>
      <c r="K26" s="14">
        <f t="shared" si="12"/>
        <v>42900</v>
      </c>
      <c r="L26" s="14">
        <f t="shared" si="12"/>
        <v>42900</v>
      </c>
      <c r="M26" s="14">
        <f t="shared" si="12"/>
        <v>42900</v>
      </c>
      <c r="N26" s="14">
        <f t="shared" si="12"/>
        <v>42900</v>
      </c>
      <c r="O26" s="14">
        <f t="shared" si="12"/>
        <v>42900</v>
      </c>
      <c r="P26" s="14">
        <f t="shared" si="12"/>
        <v>42900</v>
      </c>
      <c r="Q26" s="14">
        <f t="shared" si="12"/>
        <v>42900</v>
      </c>
      <c r="R26" s="14">
        <f t="shared" si="12"/>
        <v>42900</v>
      </c>
      <c r="S26" s="14">
        <f t="shared" si="12"/>
        <v>42900</v>
      </c>
      <c r="T26" s="14">
        <f t="shared" si="12"/>
        <v>42900</v>
      </c>
      <c r="U26" s="14">
        <f t="shared" si="12"/>
        <v>42900</v>
      </c>
      <c r="V26" s="14">
        <f t="shared" si="12"/>
        <v>42900</v>
      </c>
      <c r="W26" s="14">
        <f t="shared" si="12"/>
        <v>42900</v>
      </c>
      <c r="X26" s="14">
        <f t="shared" si="12"/>
        <v>42900</v>
      </c>
      <c r="Y26" s="14">
        <f t="shared" si="12"/>
        <v>42900</v>
      </c>
      <c r="Z26" s="14">
        <f t="shared" si="12"/>
        <v>42900</v>
      </c>
      <c r="AA26" s="14">
        <f t="shared" si="12"/>
        <v>42900</v>
      </c>
    </row>
    <row r="27" spans="1:31" x14ac:dyDescent="0.2">
      <c r="A27" s="24">
        <v>13</v>
      </c>
      <c r="B27" s="35" t="s">
        <v>156</v>
      </c>
      <c r="C27" s="25">
        <f t="shared" si="0"/>
        <v>936000</v>
      </c>
      <c r="E27" s="14">
        <v>13</v>
      </c>
      <c r="F27" s="14" t="s">
        <v>156</v>
      </c>
      <c r="H27" s="14">
        <f>((20*6*52)/8)*60</f>
        <v>46800</v>
      </c>
      <c r="I27" s="14">
        <f t="shared" ref="I27:AA27" si="13">((20*6*52)/8)*60</f>
        <v>46800</v>
      </c>
      <c r="J27" s="14">
        <f t="shared" si="13"/>
        <v>46800</v>
      </c>
      <c r="K27" s="14">
        <f t="shared" si="13"/>
        <v>46800</v>
      </c>
      <c r="L27" s="14">
        <f t="shared" si="13"/>
        <v>46800</v>
      </c>
      <c r="M27" s="14">
        <f t="shared" si="13"/>
        <v>46800</v>
      </c>
      <c r="N27" s="14">
        <f t="shared" si="13"/>
        <v>46800</v>
      </c>
      <c r="O27" s="14">
        <f t="shared" si="13"/>
        <v>46800</v>
      </c>
      <c r="P27" s="14">
        <f t="shared" si="13"/>
        <v>46800</v>
      </c>
      <c r="Q27" s="14">
        <f t="shared" si="13"/>
        <v>46800</v>
      </c>
      <c r="R27" s="14">
        <f t="shared" si="13"/>
        <v>46800</v>
      </c>
      <c r="S27" s="14">
        <f t="shared" si="13"/>
        <v>46800</v>
      </c>
      <c r="T27" s="14">
        <f t="shared" si="13"/>
        <v>46800</v>
      </c>
      <c r="U27" s="14">
        <f t="shared" si="13"/>
        <v>46800</v>
      </c>
      <c r="V27" s="14">
        <f t="shared" si="13"/>
        <v>46800</v>
      </c>
      <c r="W27" s="14">
        <f t="shared" si="13"/>
        <v>46800</v>
      </c>
      <c r="X27" s="14">
        <f t="shared" si="13"/>
        <v>46800</v>
      </c>
      <c r="Y27" s="14">
        <f t="shared" si="13"/>
        <v>46800</v>
      </c>
      <c r="Z27" s="14">
        <f t="shared" si="13"/>
        <v>46800</v>
      </c>
      <c r="AA27" s="14">
        <f t="shared" si="13"/>
        <v>46800</v>
      </c>
    </row>
    <row r="28" spans="1:31" x14ac:dyDescent="0.2">
      <c r="A28" s="24"/>
      <c r="B28" s="24"/>
      <c r="C28" s="25"/>
      <c r="E28" s="14">
        <v>14</v>
      </c>
      <c r="F28" s="14" t="s">
        <v>197</v>
      </c>
      <c r="H28" s="14">
        <f>0.1*(H11)+0.1*(H13)</f>
        <v>7381.7999999999993</v>
      </c>
      <c r="I28" s="14">
        <f t="shared" ref="I28:AA28" si="14">0.1*(I11)+0.1*(I13)</f>
        <v>7381.7999999999993</v>
      </c>
      <c r="J28" s="14">
        <f t="shared" si="14"/>
        <v>7381.7999999999993</v>
      </c>
      <c r="K28" s="14">
        <f t="shared" si="14"/>
        <v>7381.7999999999993</v>
      </c>
      <c r="L28" s="14">
        <f t="shared" si="14"/>
        <v>7381.7999999999993</v>
      </c>
      <c r="M28" s="14">
        <f t="shared" si="14"/>
        <v>7381.7999999999993</v>
      </c>
      <c r="N28" s="14">
        <f t="shared" si="14"/>
        <v>7381.7999999999993</v>
      </c>
      <c r="O28" s="14">
        <f t="shared" si="14"/>
        <v>7381.7999999999993</v>
      </c>
      <c r="P28" s="14">
        <f t="shared" si="14"/>
        <v>7381.7999999999993</v>
      </c>
      <c r="Q28" s="14">
        <f t="shared" si="14"/>
        <v>7381.7999999999993</v>
      </c>
      <c r="R28" s="14">
        <f t="shared" si="14"/>
        <v>7381.7999999999993</v>
      </c>
      <c r="S28" s="14">
        <f t="shared" si="14"/>
        <v>7381.7999999999993</v>
      </c>
      <c r="T28" s="14">
        <f t="shared" si="14"/>
        <v>7381.7999999999993</v>
      </c>
      <c r="U28" s="14">
        <f t="shared" si="14"/>
        <v>7381.7999999999993</v>
      </c>
      <c r="V28" s="14">
        <f t="shared" si="14"/>
        <v>7381.7999999999993</v>
      </c>
      <c r="W28" s="14">
        <f t="shared" si="14"/>
        <v>7381.7999999999993</v>
      </c>
      <c r="X28" s="14">
        <f t="shared" si="14"/>
        <v>7381.7999999999993</v>
      </c>
      <c r="Y28" s="14">
        <f t="shared" si="14"/>
        <v>7381.7999999999993</v>
      </c>
      <c r="Z28" s="14">
        <f t="shared" si="14"/>
        <v>7381.7999999999993</v>
      </c>
      <c r="AA28" s="14">
        <f t="shared" si="14"/>
        <v>7381.7999999999993</v>
      </c>
    </row>
    <row r="29" spans="1:31" x14ac:dyDescent="0.2">
      <c r="A29" s="24"/>
      <c r="B29" s="24"/>
      <c r="C29" s="25"/>
      <c r="F29" s="14" t="s">
        <v>203</v>
      </c>
      <c r="AA29" s="14">
        <f>0.02*G5+0.02*G6</f>
        <v>10850.984455958551</v>
      </c>
    </row>
    <row r="30" spans="1:31" s="17" customFormat="1" x14ac:dyDescent="0.2">
      <c r="A30" s="24"/>
      <c r="B30" s="29" t="s">
        <v>5</v>
      </c>
      <c r="C30" s="26">
        <f t="shared" si="0"/>
        <v>6052022.9844559571</v>
      </c>
      <c r="D30" s="21"/>
      <c r="F30" s="17" t="s">
        <v>5</v>
      </c>
      <c r="G30" s="17">
        <f>SUM(G23:G29)</f>
        <v>0</v>
      </c>
      <c r="H30" s="17">
        <f t="shared" ref="H30:AA30" si="15">SUM(H23:H29)</f>
        <v>302058.59999999998</v>
      </c>
      <c r="I30" s="17">
        <f t="shared" si="15"/>
        <v>302058.59999999998</v>
      </c>
      <c r="J30" s="17">
        <f t="shared" si="15"/>
        <v>302058.59999999998</v>
      </c>
      <c r="K30" s="17">
        <f t="shared" si="15"/>
        <v>302058.59999999998</v>
      </c>
      <c r="L30" s="17">
        <f t="shared" si="15"/>
        <v>302058.59999999998</v>
      </c>
      <c r="M30" s="17">
        <f t="shared" si="15"/>
        <v>302058.59999999998</v>
      </c>
      <c r="N30" s="17">
        <f t="shared" si="15"/>
        <v>302058.59999999998</v>
      </c>
      <c r="O30" s="17">
        <f t="shared" si="15"/>
        <v>302058.59999999998</v>
      </c>
      <c r="P30" s="17">
        <f t="shared" si="15"/>
        <v>302058.59999999998</v>
      </c>
      <c r="Q30" s="17">
        <f t="shared" si="15"/>
        <v>302058.59999999998</v>
      </c>
      <c r="R30" s="17">
        <f t="shared" si="15"/>
        <v>302058.59999999998</v>
      </c>
      <c r="S30" s="17">
        <f t="shared" si="15"/>
        <v>302058.59999999998</v>
      </c>
      <c r="T30" s="17">
        <f t="shared" si="15"/>
        <v>302058.59999999998</v>
      </c>
      <c r="U30" s="17">
        <f t="shared" si="15"/>
        <v>302058.59999999998</v>
      </c>
      <c r="V30" s="17">
        <f t="shared" si="15"/>
        <v>302058.59999999998</v>
      </c>
      <c r="W30" s="17">
        <f t="shared" si="15"/>
        <v>302058.59999999998</v>
      </c>
      <c r="X30" s="17">
        <f t="shared" si="15"/>
        <v>302058.59999999998</v>
      </c>
      <c r="Y30" s="17">
        <f t="shared" si="15"/>
        <v>302058.59999999998</v>
      </c>
      <c r="Z30" s="17">
        <f t="shared" si="15"/>
        <v>302058.59999999998</v>
      </c>
      <c r="AA30" s="17">
        <f t="shared" si="15"/>
        <v>312909.58445595851</v>
      </c>
    </row>
    <row r="31" spans="1:31" s="19" customFormat="1" x14ac:dyDescent="0.2">
      <c r="A31" s="28"/>
      <c r="B31" s="32"/>
      <c r="C31" s="26"/>
      <c r="D31" s="22"/>
      <c r="F31" s="19" t="s">
        <v>3</v>
      </c>
      <c r="G31" s="19">
        <v>1</v>
      </c>
      <c r="H31" s="19">
        <f>G31*(1/1.12)</f>
        <v>0.89285714285714279</v>
      </c>
      <c r="I31" s="19">
        <f t="shared" ref="I31:AA31" si="16">H31*(1/1.12)</f>
        <v>0.79719387755102034</v>
      </c>
      <c r="J31" s="19">
        <f t="shared" si="16"/>
        <v>0.71178024781341098</v>
      </c>
      <c r="K31" s="19">
        <f t="shared" si="16"/>
        <v>0.63551807840483121</v>
      </c>
      <c r="L31" s="19">
        <f t="shared" si="16"/>
        <v>0.5674268557185993</v>
      </c>
      <c r="M31" s="19">
        <f t="shared" si="16"/>
        <v>0.50663112117732079</v>
      </c>
      <c r="N31" s="19">
        <f t="shared" si="16"/>
        <v>0.45234921533689354</v>
      </c>
      <c r="O31" s="19">
        <f t="shared" si="16"/>
        <v>0.40388322797936921</v>
      </c>
      <c r="P31" s="19">
        <f t="shared" si="16"/>
        <v>0.36061002498157962</v>
      </c>
      <c r="Q31" s="19">
        <f t="shared" si="16"/>
        <v>0.32197323659069604</v>
      </c>
      <c r="R31" s="19">
        <f t="shared" si="16"/>
        <v>0.28747610409883573</v>
      </c>
      <c r="S31" s="19">
        <f t="shared" si="16"/>
        <v>0.25667509294538904</v>
      </c>
      <c r="T31" s="19">
        <f t="shared" si="16"/>
        <v>0.22917419012981163</v>
      </c>
      <c r="U31" s="19">
        <f t="shared" si="16"/>
        <v>0.20461981261590323</v>
      </c>
      <c r="V31" s="19">
        <f t="shared" si="16"/>
        <v>0.1826962612641993</v>
      </c>
      <c r="W31" s="19">
        <f t="shared" si="16"/>
        <v>0.16312166184303509</v>
      </c>
      <c r="X31" s="19">
        <f t="shared" si="16"/>
        <v>0.14564434093128131</v>
      </c>
      <c r="Y31" s="19">
        <f t="shared" si="16"/>
        <v>0.13003959011721544</v>
      </c>
      <c r="Z31" s="19">
        <f t="shared" si="16"/>
        <v>0.11610677689037092</v>
      </c>
      <c r="AA31" s="19">
        <f t="shared" si="16"/>
        <v>0.10366676508068833</v>
      </c>
    </row>
    <row r="32" spans="1:31" s="17" customFormat="1" x14ac:dyDescent="0.2">
      <c r="A32" s="24"/>
      <c r="B32" s="29" t="s">
        <v>6</v>
      </c>
      <c r="C32" s="26">
        <f t="shared" si="0"/>
        <v>2257334.5703998092</v>
      </c>
      <c r="D32" s="21"/>
      <c r="F32" s="17" t="s">
        <v>6</v>
      </c>
      <c r="G32" s="17">
        <f>G30*G31</f>
        <v>0</v>
      </c>
      <c r="H32" s="17">
        <f t="shared" ref="H32:AA32" si="17">H30*H31</f>
        <v>269695.17857142852</v>
      </c>
      <c r="I32" s="17">
        <f t="shared" si="17"/>
        <v>240799.2665816326</v>
      </c>
      <c r="J32" s="17">
        <f t="shared" si="17"/>
        <v>214999.34516217196</v>
      </c>
      <c r="K32" s="17">
        <f t="shared" si="17"/>
        <v>191963.70103765355</v>
      </c>
      <c r="L32" s="17">
        <f t="shared" si="17"/>
        <v>171396.16164076209</v>
      </c>
      <c r="M32" s="17">
        <f t="shared" si="17"/>
        <v>153032.28717925187</v>
      </c>
      <c r="N32" s="17">
        <f t="shared" si="17"/>
        <v>136635.97069576057</v>
      </c>
      <c r="O32" s="17">
        <f t="shared" si="17"/>
        <v>121996.40240692908</v>
      </c>
      <c r="P32" s="17">
        <f t="shared" si="17"/>
        <v>108925.35929190095</v>
      </c>
      <c r="Q32" s="17">
        <f t="shared" si="17"/>
        <v>97254.785082054412</v>
      </c>
      <c r="R32" s="17">
        <f t="shared" si="17"/>
        <v>86834.629537548579</v>
      </c>
      <c r="S32" s="17">
        <f t="shared" si="17"/>
        <v>77530.919229954088</v>
      </c>
      <c r="T32" s="17">
        <f t="shared" si="17"/>
        <v>69224.035026744721</v>
      </c>
      <c r="U32" s="17">
        <f t="shared" si="17"/>
        <v>61807.17413102206</v>
      </c>
      <c r="V32" s="17">
        <f t="shared" si="17"/>
        <v>55184.976902698269</v>
      </c>
      <c r="W32" s="17">
        <f t="shared" si="17"/>
        <v>49272.300805980594</v>
      </c>
      <c r="X32" s="17">
        <f t="shared" si="17"/>
        <v>43993.125719625525</v>
      </c>
      <c r="Y32" s="17">
        <f t="shared" si="17"/>
        <v>39279.576535379929</v>
      </c>
      <c r="Z32" s="17">
        <f t="shared" si="17"/>
        <v>35071.050478017794</v>
      </c>
      <c r="AA32" s="17">
        <f t="shared" si="17"/>
        <v>32438.324383291652</v>
      </c>
    </row>
    <row r="33" spans="1:61" x14ac:dyDescent="0.2">
      <c r="A33" s="24"/>
      <c r="B33" s="24"/>
      <c r="C33" s="25"/>
    </row>
    <row r="34" spans="1:61" x14ac:dyDescent="0.2">
      <c r="A34" s="24"/>
      <c r="B34" s="24"/>
      <c r="C34" s="25"/>
    </row>
    <row r="35" spans="1:61" x14ac:dyDescent="0.2">
      <c r="A35" s="24"/>
      <c r="B35" s="33" t="s">
        <v>149</v>
      </c>
      <c r="C35" s="34">
        <f>C32</f>
        <v>2257334.5703998092</v>
      </c>
      <c r="F35" s="18" t="s">
        <v>149</v>
      </c>
      <c r="G35" s="17">
        <f>SUM(G32:AA32)</f>
        <v>2257334.5703998092</v>
      </c>
    </row>
    <row r="36" spans="1:61" x14ac:dyDescent="0.2">
      <c r="A36" s="24"/>
      <c r="B36" s="33" t="s">
        <v>150</v>
      </c>
      <c r="C36" s="34">
        <f>C20</f>
        <v>1759848.42384176</v>
      </c>
      <c r="F36" s="18" t="s">
        <v>150</v>
      </c>
      <c r="G36" s="17">
        <f>SUM(G20:AA20)</f>
        <v>1759848.42384176</v>
      </c>
    </row>
    <row r="37" spans="1:61" x14ac:dyDescent="0.2">
      <c r="A37" s="24"/>
      <c r="B37" s="33"/>
      <c r="C37" s="34"/>
      <c r="F37" s="18"/>
      <c r="G37" s="17"/>
    </row>
    <row r="38" spans="1:61" x14ac:dyDescent="0.2">
      <c r="A38" s="24"/>
      <c r="B38" s="33" t="s">
        <v>151</v>
      </c>
      <c r="C38" s="61">
        <f>C35/C36</f>
        <v>1.2826869290663305</v>
      </c>
      <c r="F38" s="18" t="s">
        <v>151</v>
      </c>
      <c r="G38" s="20">
        <f>G35/G36</f>
        <v>1.2826869290663305</v>
      </c>
    </row>
    <row r="39" spans="1:61" ht="13.5" thickBot="1" x14ac:dyDescent="0.25">
      <c r="A39" s="24"/>
      <c r="B39" s="33" t="s">
        <v>147</v>
      </c>
      <c r="C39" s="34">
        <f>C35-C36</f>
        <v>497486.14655804913</v>
      </c>
      <c r="E39" s="50"/>
      <c r="F39" s="51" t="s">
        <v>147</v>
      </c>
      <c r="G39" s="52">
        <f>G35-G36</f>
        <v>497486.14655804913</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25">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25">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25">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25">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25">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25">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25">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25">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25">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25">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25">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25">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25">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25">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25">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25">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75" x14ac:dyDescent="0.2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75" x14ac:dyDescent="0.2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75" x14ac:dyDescent="0.2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75" x14ac:dyDescent="0.2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75" x14ac:dyDescent="0.2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75" x14ac:dyDescent="0.2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75" x14ac:dyDescent="0.2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25">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75" x14ac:dyDescent="0.2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75" x14ac:dyDescent="0.2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75" x14ac:dyDescent="0.2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75" x14ac:dyDescent="0.2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75" x14ac:dyDescent="0.2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75" x14ac:dyDescent="0.2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8740157499999996" right="0.78740157499999996" top="0.984251969" bottom="0.984251969"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DA8A-B371-42B1-ADE5-D5E9D084FD5D}">
  <sheetPr>
    <pageSetUpPr fitToPage="1"/>
  </sheetPr>
  <dimension ref="A1:AR113"/>
  <sheetViews>
    <sheetView topLeftCell="AS1" zoomScale="75" workbookViewId="0">
      <selection activeCell="AE13" sqref="AE13"/>
    </sheetView>
  </sheetViews>
  <sheetFormatPr baseColWidth="10" defaultColWidth="9.140625" defaultRowHeight="12.75" x14ac:dyDescent="0.2"/>
  <cols>
    <col min="1" max="1" width="10.5703125" style="3" bestFit="1" customWidth="1"/>
    <col min="2" max="2" width="39.7109375" style="4" customWidth="1"/>
    <col min="3" max="3" width="26.5703125" style="12" bestFit="1" customWidth="1"/>
    <col min="4" max="5" width="26.5703125" style="3" customWidth="1"/>
    <col min="6" max="6" width="15" style="3" bestFit="1" customWidth="1"/>
    <col min="7" max="8" width="26" style="4" customWidth="1"/>
    <col min="9" max="9" width="16.5703125" style="4" customWidth="1"/>
    <col min="10" max="10" width="13.5703125" style="4" customWidth="1"/>
    <col min="11" max="11" width="30.140625" style="3" bestFit="1" customWidth="1"/>
    <col min="12" max="15" width="9.140625" style="4"/>
    <col min="16" max="19" width="9.140625" style="3"/>
    <col min="20" max="20" width="9.140625" style="4"/>
    <col min="21" max="21" width="10.7109375" style="4" bestFit="1" customWidth="1"/>
    <col min="22" max="22" width="22" style="4" customWidth="1"/>
    <col min="23" max="23" width="26.28515625" style="4" customWidth="1"/>
    <col min="24" max="24" width="9.140625" style="3"/>
    <col min="25" max="25" width="15.140625" style="3" customWidth="1"/>
    <col min="26" max="26" width="20.140625" style="3" customWidth="1"/>
    <col min="27" max="27" width="28.140625" style="3" customWidth="1"/>
    <col min="28" max="28" width="28.28515625" style="4" bestFit="1" customWidth="1"/>
    <col min="29" max="29" width="16.28515625" style="3" bestFit="1" customWidth="1"/>
    <col min="30" max="30" width="19.85546875" style="4" bestFit="1" customWidth="1"/>
    <col min="31" max="31" width="19.42578125" style="9" bestFit="1" customWidth="1"/>
    <col min="32" max="32" width="13.140625" style="4" bestFit="1" customWidth="1"/>
    <col min="33" max="33" width="25.140625" style="3" bestFit="1" customWidth="1"/>
    <col min="34" max="39" width="9.140625" style="3"/>
    <col min="40" max="40" width="11.7109375" style="3" bestFit="1" customWidth="1"/>
    <col min="41" max="41" width="9.140625" style="3"/>
    <col min="42" max="42" width="21.85546875" style="4" customWidth="1"/>
    <col min="43" max="43" width="12.5703125" style="4" customWidth="1"/>
    <col min="44" max="44" width="9.140625" style="3"/>
    <col min="45" max="16384" width="9.140625" style="4"/>
  </cols>
  <sheetData>
    <row r="1" spans="1:44" s="2" customFormat="1" x14ac:dyDescent="0.2">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x14ac:dyDescent="0.2">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
      <c r="AD14" s="13"/>
    </row>
    <row r="15" spans="1:44" x14ac:dyDescent="0.2">
      <c r="A15" s="1" t="s">
        <v>78</v>
      </c>
      <c r="T15" s="4" t="s">
        <v>76</v>
      </c>
      <c r="Y15" s="3" t="s">
        <v>75</v>
      </c>
    </row>
    <row r="16" spans="1:44" x14ac:dyDescent="0.2">
      <c r="A16" s="1" t="s">
        <v>80</v>
      </c>
    </row>
    <row r="17" spans="1:20" x14ac:dyDescent="0.2">
      <c r="A17" s="3" t="s">
        <v>79</v>
      </c>
      <c r="T17" s="4" t="s">
        <v>77</v>
      </c>
    </row>
    <row r="18" spans="1:20" x14ac:dyDescent="0.2">
      <c r="A18" s="3" t="s">
        <v>142</v>
      </c>
    </row>
    <row r="20" spans="1:20" x14ac:dyDescent="0.2">
      <c r="A20" s="1" t="s">
        <v>81</v>
      </c>
    </row>
    <row r="21" spans="1:20" x14ac:dyDescent="0.2">
      <c r="A21" s="3" t="s">
        <v>82</v>
      </c>
    </row>
    <row r="23" spans="1:20" x14ac:dyDescent="0.2">
      <c r="A23" s="1" t="s">
        <v>83</v>
      </c>
    </row>
    <row r="24" spans="1:20" x14ac:dyDescent="0.2">
      <c r="A24" s="3" t="s">
        <v>84</v>
      </c>
    </row>
    <row r="26" spans="1:20" x14ac:dyDescent="0.2">
      <c r="A26" s="1" t="s">
        <v>85</v>
      </c>
    </row>
    <row r="27" spans="1:20" x14ac:dyDescent="0.2">
      <c r="A27" s="3" t="s">
        <v>86</v>
      </c>
    </row>
    <row r="29" spans="1:20" x14ac:dyDescent="0.2">
      <c r="A29" s="1" t="s">
        <v>87</v>
      </c>
    </row>
    <row r="30" spans="1:20" x14ac:dyDescent="0.2">
      <c r="A30" s="3" t="s">
        <v>88</v>
      </c>
    </row>
    <row r="32" spans="1:20" x14ac:dyDescent="0.2">
      <c r="A32" s="1" t="s">
        <v>89</v>
      </c>
    </row>
    <row r="33" spans="1:3" x14ac:dyDescent="0.2">
      <c r="A33" s="1" t="s">
        <v>90</v>
      </c>
    </row>
    <row r="34" spans="1:3" x14ac:dyDescent="0.2">
      <c r="A34" s="3" t="s">
        <v>93</v>
      </c>
      <c r="C34" s="12">
        <f>13.66759*12</f>
        <v>164.01107999999999</v>
      </c>
    </row>
    <row r="35" spans="1:3" x14ac:dyDescent="0.2">
      <c r="A35" s="3" t="s">
        <v>91</v>
      </c>
      <c r="C35" s="12">
        <f>2.181987*12</f>
        <v>26.183844000000001</v>
      </c>
    </row>
    <row r="37" spans="1:3" x14ac:dyDescent="0.2">
      <c r="A37" s="3" t="s">
        <v>94</v>
      </c>
      <c r="C37" s="12">
        <f>C34*31</f>
        <v>5084.3434799999995</v>
      </c>
    </row>
    <row r="38" spans="1:3" x14ac:dyDescent="0.2">
      <c r="A38" s="3" t="s">
        <v>95</v>
      </c>
      <c r="C38" s="12">
        <f>C35*31</f>
        <v>811.699164</v>
      </c>
    </row>
    <row r="40" spans="1:3" x14ac:dyDescent="0.2">
      <c r="A40" s="3" t="s">
        <v>96</v>
      </c>
      <c r="C40" s="12">
        <f>(C37/4.54596)*50</f>
        <v>55921.559802549949</v>
      </c>
    </row>
    <row r="41" spans="1:3" x14ac:dyDescent="0.2">
      <c r="A41" s="3" t="s">
        <v>97</v>
      </c>
      <c r="C41" s="12">
        <f>(C38/4.54596)*50</f>
        <v>8927.6980439775107</v>
      </c>
    </row>
    <row r="42" spans="1:3" x14ac:dyDescent="0.2">
      <c r="A42" s="3" t="s">
        <v>98</v>
      </c>
    </row>
    <row r="44" spans="1:3" x14ac:dyDescent="0.2">
      <c r="A44" s="3" t="s">
        <v>99</v>
      </c>
      <c r="C44" s="12">
        <f>C40-C41</f>
        <v>46993.861758572442</v>
      </c>
    </row>
    <row r="46" spans="1:3" x14ac:dyDescent="0.2">
      <c r="A46" s="1" t="s">
        <v>100</v>
      </c>
    </row>
    <row r="47" spans="1:3" x14ac:dyDescent="0.2">
      <c r="A47" s="3" t="s">
        <v>143</v>
      </c>
      <c r="C47" s="12">
        <f>(8+0+8+15+15+16+1+0+4)/9</f>
        <v>7.4444444444444446</v>
      </c>
    </row>
    <row r="48" spans="1:3" x14ac:dyDescent="0.2">
      <c r="A48" s="3" t="s">
        <v>144</v>
      </c>
      <c r="C48" s="12">
        <f>(0+0+0+5+0+0+1+0+1)/9</f>
        <v>0.77777777777777779</v>
      </c>
    </row>
    <row r="50" spans="1:3" x14ac:dyDescent="0.2">
      <c r="A50" s="3" t="s">
        <v>101</v>
      </c>
      <c r="C50" s="12">
        <f>C47*31*12</f>
        <v>2769.333333333333</v>
      </c>
    </row>
    <row r="51" spans="1:3" x14ac:dyDescent="0.2">
      <c r="A51" s="3" t="s">
        <v>102</v>
      </c>
      <c r="C51" s="12">
        <f>C48*12*31</f>
        <v>289.33333333333337</v>
      </c>
    </row>
    <row r="53" spans="1:3" x14ac:dyDescent="0.2">
      <c r="A53" s="3" t="s">
        <v>96</v>
      </c>
      <c r="C53" s="12">
        <f>C50*18</f>
        <v>49847.999999999993</v>
      </c>
    </row>
    <row r="54" spans="1:3" x14ac:dyDescent="0.2">
      <c r="A54" s="3" t="s">
        <v>97</v>
      </c>
      <c r="C54" s="12">
        <f>C51*18</f>
        <v>5208.0000000000009</v>
      </c>
    </row>
    <row r="55" spans="1:3" x14ac:dyDescent="0.2">
      <c r="A55" s="3" t="s">
        <v>103</v>
      </c>
    </row>
    <row r="57" spans="1:3" x14ac:dyDescent="0.2">
      <c r="A57" s="3" t="s">
        <v>104</v>
      </c>
      <c r="C57" s="12">
        <f>C53-C54</f>
        <v>44639.999999999993</v>
      </c>
    </row>
    <row r="59" spans="1:3" x14ac:dyDescent="0.2">
      <c r="A59" s="1" t="s">
        <v>105</v>
      </c>
    </row>
    <row r="60" spans="1:3" x14ac:dyDescent="0.2">
      <c r="A60" s="3" t="s">
        <v>108</v>
      </c>
      <c r="C60" s="12">
        <f>10.44*12</f>
        <v>125.28</v>
      </c>
    </row>
    <row r="61" spans="1:3" x14ac:dyDescent="0.2">
      <c r="A61" s="3" t="s">
        <v>109</v>
      </c>
      <c r="C61" s="12">
        <f>9.66*12</f>
        <v>115.92</v>
      </c>
    </row>
    <row r="63" spans="1:3" x14ac:dyDescent="0.2">
      <c r="A63" s="3" t="s">
        <v>110</v>
      </c>
      <c r="C63" s="12">
        <f>C60*31</f>
        <v>3883.68</v>
      </c>
    </row>
    <row r="64" spans="1:3" x14ac:dyDescent="0.2">
      <c r="A64" s="3" t="s">
        <v>111</v>
      </c>
      <c r="C64" s="12">
        <f>C61*31</f>
        <v>3593.52</v>
      </c>
    </row>
    <row r="66" spans="1:3" x14ac:dyDescent="0.2">
      <c r="A66" s="3" t="s">
        <v>96</v>
      </c>
      <c r="C66" s="12">
        <f>C63*70</f>
        <v>271857.59999999998</v>
      </c>
    </row>
    <row r="67" spans="1:3" x14ac:dyDescent="0.2">
      <c r="A67" s="3" t="s">
        <v>97</v>
      </c>
      <c r="C67" s="12">
        <f>C64*70</f>
        <v>251546.4</v>
      </c>
    </row>
    <row r="68" spans="1:3" x14ac:dyDescent="0.2">
      <c r="A68" s="3" t="s">
        <v>106</v>
      </c>
    </row>
    <row r="70" spans="1:3" x14ac:dyDescent="0.2">
      <c r="A70" s="3" t="s">
        <v>107</v>
      </c>
      <c r="C70" s="12">
        <f>C66-C67</f>
        <v>20311.199999999983</v>
      </c>
    </row>
    <row r="72" spans="1:3" x14ac:dyDescent="0.2">
      <c r="A72" s="1" t="s">
        <v>112</v>
      </c>
    </row>
    <row r="73" spans="1:3" x14ac:dyDescent="0.2">
      <c r="A73" s="3" t="s">
        <v>113</v>
      </c>
    </row>
    <row r="74" spans="1:3" x14ac:dyDescent="0.2">
      <c r="A74" s="3" t="s">
        <v>114</v>
      </c>
      <c r="C74" s="12">
        <f>Y13</f>
        <v>4.4444444444444446</v>
      </c>
    </row>
    <row r="75" spans="1:3" x14ac:dyDescent="0.2">
      <c r="A75" s="3" t="s">
        <v>115</v>
      </c>
      <c r="C75" s="12">
        <f>C74*12</f>
        <v>53.333333333333336</v>
      </c>
    </row>
    <row r="76" spans="1:3" x14ac:dyDescent="0.2">
      <c r="A76" s="3" t="s">
        <v>116</v>
      </c>
      <c r="C76" s="12">
        <f>C75*31</f>
        <v>1653.3333333333335</v>
      </c>
    </row>
    <row r="77" spans="1:3" x14ac:dyDescent="0.2">
      <c r="A77" s="3" t="s">
        <v>117</v>
      </c>
      <c r="C77" s="12">
        <f>C76*35</f>
        <v>57866.666666666672</v>
      </c>
    </row>
    <row r="78" spans="1:3" x14ac:dyDescent="0.2">
      <c r="A78" s="3" t="s">
        <v>118</v>
      </c>
    </row>
    <row r="80" spans="1:3" x14ac:dyDescent="0.2">
      <c r="A80" s="1" t="s">
        <v>119</v>
      </c>
    </row>
    <row r="81" spans="1:3" x14ac:dyDescent="0.2">
      <c r="A81" s="3" t="s">
        <v>120</v>
      </c>
      <c r="C81" s="12">
        <f>AB13</f>
        <v>56.25</v>
      </c>
    </row>
    <row r="82" spans="1:3" x14ac:dyDescent="0.2">
      <c r="A82" s="3" t="s">
        <v>121</v>
      </c>
      <c r="C82" s="12">
        <f>C81*12</f>
        <v>675</v>
      </c>
    </row>
    <row r="83" spans="1:3" x14ac:dyDescent="0.2">
      <c r="A83" s="3" t="s">
        <v>122</v>
      </c>
      <c r="C83" s="12">
        <f>C82*31</f>
        <v>20925</v>
      </c>
    </row>
    <row r="85" spans="1:3" x14ac:dyDescent="0.2">
      <c r="A85" s="1" t="s">
        <v>123</v>
      </c>
    </row>
    <row r="86" spans="1:3" x14ac:dyDescent="0.2">
      <c r="A86" s="3" t="s">
        <v>124</v>
      </c>
      <c r="C86" s="12">
        <f>AC13</f>
        <v>5.666666666666667</v>
      </c>
    </row>
    <row r="87" spans="1:3" x14ac:dyDescent="0.2">
      <c r="A87" s="3" t="s">
        <v>125</v>
      </c>
      <c r="C87" s="12">
        <f>31*C86</f>
        <v>175.66666666666669</v>
      </c>
    </row>
    <row r="88" spans="1:3" x14ac:dyDescent="0.2">
      <c r="A88" s="3" t="s">
        <v>129</v>
      </c>
      <c r="C88" s="12">
        <f>C87*50*6</f>
        <v>52700</v>
      </c>
    </row>
    <row r="89" spans="1:3" x14ac:dyDescent="0.2">
      <c r="A89" s="3" t="s">
        <v>128</v>
      </c>
    </row>
    <row r="92" spans="1:3" x14ac:dyDescent="0.2">
      <c r="A92" s="3" t="s">
        <v>126</v>
      </c>
      <c r="C92" s="12">
        <f>AD13</f>
        <v>4.2222222222222223</v>
      </c>
    </row>
    <row r="93" spans="1:3" x14ac:dyDescent="0.2">
      <c r="A93" s="3" t="s">
        <v>127</v>
      </c>
      <c r="C93" s="12">
        <f>C92*31</f>
        <v>130.88888888888889</v>
      </c>
    </row>
    <row r="94" spans="1:3" x14ac:dyDescent="0.2">
      <c r="A94" s="3" t="s">
        <v>130</v>
      </c>
      <c r="C94" s="12">
        <f>C93*15</f>
        <v>1963.3333333333333</v>
      </c>
    </row>
    <row r="95" spans="1:3" x14ac:dyDescent="0.2">
      <c r="A95" s="3" t="s">
        <v>131</v>
      </c>
    </row>
    <row r="97" spans="1:3" x14ac:dyDescent="0.2">
      <c r="A97" s="1" t="s">
        <v>132</v>
      </c>
    </row>
    <row r="98" spans="1:3" x14ac:dyDescent="0.2">
      <c r="A98" s="3" t="s">
        <v>133</v>
      </c>
    </row>
    <row r="100" spans="1:3" x14ac:dyDescent="0.2">
      <c r="A100" s="1" t="s">
        <v>134</v>
      </c>
    </row>
    <row r="101" spans="1:3" x14ac:dyDescent="0.2">
      <c r="A101" s="3" t="s">
        <v>135</v>
      </c>
      <c r="C101" s="12">
        <f>6/9*100</f>
        <v>66.666666666666657</v>
      </c>
    </row>
    <row r="102" spans="1:3" x14ac:dyDescent="0.2">
      <c r="A102" s="3" t="s">
        <v>34</v>
      </c>
      <c r="C102" s="12">
        <f>5/9*100</f>
        <v>55.555555555555557</v>
      </c>
    </row>
    <row r="103" spans="1:3" x14ac:dyDescent="0.2">
      <c r="A103" s="3" t="s">
        <v>136</v>
      </c>
      <c r="C103" s="12">
        <f>2/9*100</f>
        <v>22.222222222222221</v>
      </c>
    </row>
    <row r="104" spans="1:3" x14ac:dyDescent="0.2">
      <c r="A104" s="3" t="s">
        <v>35</v>
      </c>
      <c r="C104" s="12">
        <f>1/9*100</f>
        <v>11.111111111111111</v>
      </c>
    </row>
    <row r="105" spans="1:3" x14ac:dyDescent="0.2">
      <c r="A105" s="3" t="s">
        <v>64</v>
      </c>
      <c r="C105" s="12">
        <f>1/9*100</f>
        <v>11.111111111111111</v>
      </c>
    </row>
    <row r="106" spans="1:3" x14ac:dyDescent="0.2">
      <c r="A106" s="3" t="s">
        <v>65</v>
      </c>
      <c r="C106" s="12">
        <f>2/9*100</f>
        <v>22.222222222222221</v>
      </c>
    </row>
    <row r="107" spans="1:3" x14ac:dyDescent="0.2">
      <c r="A107" s="3" t="s">
        <v>21</v>
      </c>
      <c r="C107" s="12">
        <f>7/9*100</f>
        <v>77.777777777777786</v>
      </c>
    </row>
    <row r="108" spans="1:3" x14ac:dyDescent="0.2">
      <c r="A108" s="3" t="s">
        <v>137</v>
      </c>
      <c r="C108" s="12">
        <f>5/9*100</f>
        <v>55.555555555555557</v>
      </c>
    </row>
    <row r="109" spans="1:3" x14ac:dyDescent="0.2">
      <c r="A109" s="3" t="s">
        <v>37</v>
      </c>
      <c r="C109" s="12">
        <v>100</v>
      </c>
    </row>
    <row r="111" spans="1:3" x14ac:dyDescent="0.2">
      <c r="A111" s="1" t="s">
        <v>138</v>
      </c>
    </row>
    <row r="112" spans="1:3" x14ac:dyDescent="0.2">
      <c r="A112" s="3" t="s">
        <v>140</v>
      </c>
      <c r="C112" s="12">
        <f>AE13</f>
        <v>4297.2422668473873</v>
      </c>
    </row>
    <row r="113" spans="1:3" x14ac:dyDescent="0.2">
      <c r="A113" s="3" t="s">
        <v>139</v>
      </c>
      <c r="C113" s="12">
        <f>C112*31</f>
        <v>133214.51027226902</v>
      </c>
    </row>
  </sheetData>
  <mergeCells count="8">
    <mergeCell ref="T1:W1"/>
    <mergeCell ref="X1:AA1"/>
    <mergeCell ref="AG1:AO1"/>
    <mergeCell ref="AP1:AQ1"/>
    <mergeCell ref="C1:F1"/>
    <mergeCell ref="G1:J1"/>
    <mergeCell ref="L1:O1"/>
    <mergeCell ref="P1:S1"/>
  </mergeCells>
  <pageMargins left="0.78740157499999996" right="0.78740157499999996" top="0.984251969" bottom="0.984251969"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CBA</vt:lpstr>
      <vt:lpstr>Individ. Hh. Analysis</vt:lpstr>
      <vt:lpstr>CBA!Druckbereich</vt:lpstr>
      <vt:lpstr>'Individ. Hh. Analysis'!Druckbereich</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Kaufmann Timon</cp:lastModifiedBy>
  <cp:lastPrinted>2000-05-25T18:42:32Z</cp:lastPrinted>
  <dcterms:created xsi:type="dcterms:W3CDTF">2000-02-07T12:43:48Z</dcterms:created>
  <dcterms:modified xsi:type="dcterms:W3CDTF">2026-03-11T23:05:38Z</dcterms:modified>
</cp:coreProperties>
</file>