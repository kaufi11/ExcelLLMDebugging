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3FA8EC0B-D89B-458B-8A1D-F4FBF18821F0}" xr6:coauthVersionLast="47" xr6:coauthVersionMax="47" xr10:uidLastSave="{00000000-0000-0000-0000-000000000000}"/>
  <bookViews>
    <workbookView xWindow="1950" yWindow="1950" windowWidth="21600" windowHeight="11295" tabRatio="878" firstSheet="1" activeTab="1" xr2:uid="{E8AD9DA5-386A-4BD0-B252-892A4BDEB042}"/>
  </bookViews>
  <sheets>
    <sheet name="Rules of thumb" sheetId="17" r:id="rId1"/>
    <sheet name="Mezzanine financial model" sheetId="7" r:id="rId2"/>
  </sheets>
  <definedNames>
    <definedName name="_xlnm.Print_Area" localSheetId="1">'Mezzanine financial model'!$A$1:$N$97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7" l="1"/>
  <c r="C7" i="7"/>
  <c r="H12" i="7"/>
  <c r="I12" i="7"/>
  <c r="J12" i="7"/>
  <c r="K12" i="7"/>
  <c r="L12" i="7"/>
  <c r="M12" i="7"/>
  <c r="H13" i="7"/>
  <c r="I13" i="7"/>
  <c r="J13" i="7"/>
  <c r="K13" i="7"/>
  <c r="L13" i="7"/>
  <c r="M13" i="7"/>
  <c r="H14" i="7"/>
  <c r="H29" i="7" s="1"/>
  <c r="H37" i="7" s="1"/>
  <c r="I14" i="7"/>
  <c r="I29" i="7" s="1"/>
  <c r="I37" i="7" s="1"/>
  <c r="I79" i="7" s="1"/>
  <c r="J14" i="7"/>
  <c r="J29" i="7" s="1"/>
  <c r="J37" i="7" s="1"/>
  <c r="K14" i="7"/>
  <c r="M14" i="7" s="1"/>
  <c r="L14" i="7"/>
  <c r="H15" i="7"/>
  <c r="I15" i="7"/>
  <c r="J15" i="7"/>
  <c r="K15" i="7"/>
  <c r="L15" i="7"/>
  <c r="M15" i="7"/>
  <c r="H16" i="7"/>
  <c r="I16" i="7"/>
  <c r="J16" i="7"/>
  <c r="K16" i="7"/>
  <c r="L16" i="7"/>
  <c r="M16" i="7"/>
  <c r="H17" i="7"/>
  <c r="I17" i="7"/>
  <c r="J17" i="7"/>
  <c r="K17" i="7"/>
  <c r="L17" i="7"/>
  <c r="M17" i="7"/>
  <c r="H18" i="7"/>
  <c r="I18" i="7"/>
  <c r="J18" i="7"/>
  <c r="K18" i="7"/>
  <c r="L18" i="7"/>
  <c r="M18" i="7"/>
  <c r="H19" i="7"/>
  <c r="I19" i="7"/>
  <c r="J19" i="7"/>
  <c r="K19" i="7"/>
  <c r="M19" i="7" s="1"/>
  <c r="L19" i="7"/>
  <c r="H20" i="7"/>
  <c r="I20" i="7"/>
  <c r="J20" i="7"/>
  <c r="K20" i="7"/>
  <c r="L20" i="7"/>
  <c r="M20" i="7"/>
  <c r="H21" i="7"/>
  <c r="I21" i="7"/>
  <c r="J21" i="7"/>
  <c r="K21" i="7"/>
  <c r="L21" i="7"/>
  <c r="M21" i="7"/>
  <c r="H22" i="7"/>
  <c r="I22" i="7"/>
  <c r="J22" i="7"/>
  <c r="L22" i="7" s="1"/>
  <c r="K22" i="7"/>
  <c r="M22" i="7" s="1"/>
  <c r="H23" i="7"/>
  <c r="I23" i="7"/>
  <c r="J23" i="7"/>
  <c r="K23" i="7"/>
  <c r="L23" i="7"/>
  <c r="M23" i="7"/>
  <c r="H24" i="7"/>
  <c r="I24" i="7"/>
  <c r="J24" i="7"/>
  <c r="K24" i="7"/>
  <c r="L24" i="7"/>
  <c r="M24" i="7"/>
  <c r="H25" i="7"/>
  <c r="I25" i="7"/>
  <c r="J25" i="7"/>
  <c r="K25" i="7"/>
  <c r="L25" i="7"/>
  <c r="M25" i="7"/>
  <c r="H26" i="7"/>
  <c r="I26" i="7"/>
  <c r="J26" i="7"/>
  <c r="K26" i="7"/>
  <c r="L26" i="7"/>
  <c r="M26" i="7"/>
  <c r="H27" i="7"/>
  <c r="I27" i="7"/>
  <c r="J27" i="7"/>
  <c r="K27" i="7"/>
  <c r="L27" i="7"/>
  <c r="M27" i="7"/>
  <c r="H31" i="7"/>
  <c r="I31" i="7"/>
  <c r="J31" i="7"/>
  <c r="K31" i="7"/>
  <c r="L31" i="7"/>
  <c r="M31" i="7"/>
  <c r="H32" i="7"/>
  <c r="I32" i="7"/>
  <c r="J32" i="7"/>
  <c r="K32" i="7"/>
  <c r="M32" i="7" s="1"/>
  <c r="L32" i="7"/>
  <c r="H33" i="7"/>
  <c r="I33" i="7"/>
  <c r="J33" i="7"/>
  <c r="K33" i="7"/>
  <c r="L33" i="7"/>
  <c r="M33" i="7"/>
  <c r="H34" i="7"/>
  <c r="I34" i="7"/>
  <c r="J34" i="7"/>
  <c r="K34" i="7"/>
  <c r="L34" i="7"/>
  <c r="M34" i="7"/>
  <c r="H35" i="7"/>
  <c r="I35" i="7"/>
  <c r="J35" i="7"/>
  <c r="L35" i="7" s="1"/>
  <c r="K35" i="7"/>
  <c r="M35" i="7" s="1"/>
  <c r="C37" i="7"/>
  <c r="F37" i="7"/>
  <c r="H43" i="7"/>
  <c r="J43" i="7"/>
  <c r="H44" i="7"/>
  <c r="J44" i="7"/>
  <c r="H45" i="7"/>
  <c r="J45" i="7"/>
  <c r="H46" i="7"/>
  <c r="H57" i="7" s="1"/>
  <c r="I74" i="7" s="1"/>
  <c r="I76" i="7" s="1"/>
  <c r="I90" i="7" s="1"/>
  <c r="J46" i="7"/>
  <c r="J57" i="7" s="1"/>
  <c r="K74" i="7" s="1"/>
  <c r="H47" i="7"/>
  <c r="J47" i="7"/>
  <c r="H48" i="7"/>
  <c r="J48" i="7"/>
  <c r="H49" i="7"/>
  <c r="J49" i="7"/>
  <c r="H50" i="7"/>
  <c r="J50" i="7"/>
  <c r="H51" i="7"/>
  <c r="J51" i="7"/>
  <c r="H52" i="7"/>
  <c r="J52" i="7"/>
  <c r="H53" i="7"/>
  <c r="J53" i="7"/>
  <c r="H54" i="7"/>
  <c r="J54" i="7"/>
  <c r="H55" i="7"/>
  <c r="J55" i="7"/>
  <c r="C57" i="7"/>
  <c r="I59" i="7"/>
  <c r="I75" i="7" s="1"/>
  <c r="K59" i="7"/>
  <c r="K75" i="7" s="1"/>
  <c r="M75" i="7" s="1"/>
  <c r="F74" i="7"/>
  <c r="F76" i="7" s="1"/>
  <c r="F75" i="7"/>
  <c r="F78" i="7"/>
  <c r="F79" i="7"/>
  <c r="F80" i="7"/>
  <c r="F91" i="7"/>
  <c r="B9" i="17"/>
  <c r="B12" i="17"/>
  <c r="B14" i="17"/>
  <c r="B15" i="17"/>
  <c r="B30" i="17" s="1"/>
  <c r="B32" i="17" s="1"/>
  <c r="B21" i="17"/>
  <c r="B22" i="17"/>
  <c r="B23" i="17"/>
  <c r="B29" i="17"/>
  <c r="F85" i="7" l="1"/>
  <c r="F90" i="7"/>
  <c r="F92" i="7" s="1"/>
  <c r="F95" i="7" s="1"/>
  <c r="F82" i="7"/>
  <c r="M74" i="7"/>
  <c r="M76" i="7" s="1"/>
  <c r="K76" i="7"/>
  <c r="K90" i="7" s="1"/>
  <c r="L29" i="7"/>
  <c r="L37" i="7" s="1"/>
  <c r="M78" i="7" s="1"/>
  <c r="M29" i="7"/>
  <c r="M37" i="7" s="1"/>
  <c r="M79" i="7" s="1"/>
  <c r="M80" i="7" s="1"/>
  <c r="K78" i="7"/>
  <c r="K91" i="7"/>
  <c r="M91" i="7" s="1"/>
  <c r="I78" i="7"/>
  <c r="I80" i="7" s="1"/>
  <c r="I91" i="7"/>
  <c r="I92" i="7" s="1"/>
  <c r="K29" i="7"/>
  <c r="K37" i="7" s="1"/>
  <c r="K79" i="7" s="1"/>
  <c r="K80" i="7" s="1"/>
  <c r="K92" i="7" l="1"/>
  <c r="M92" i="7" s="1"/>
  <c r="M90" i="7"/>
</calcChain>
</file>

<file path=xl/sharedStrings.xml><?xml version="1.0" encoding="utf-8"?>
<sst xmlns="http://schemas.openxmlformats.org/spreadsheetml/2006/main" count="148" uniqueCount="118">
  <si>
    <t>sq ft</t>
  </si>
  <si>
    <t>Security</t>
  </si>
  <si>
    <t>per desk</t>
  </si>
  <si>
    <t xml:space="preserve"> </t>
  </si>
  <si>
    <t>GENERAL INFORMATION</t>
  </si>
  <si>
    <t>COLOUR KEY</t>
  </si>
  <si>
    <t>Total Area</t>
  </si>
  <si>
    <t>= independent variables</t>
  </si>
  <si>
    <t>% Common Area</t>
  </si>
  <si>
    <t>= dependent variables</t>
  </si>
  <si>
    <t>ANNUAL</t>
  </si>
  <si>
    <t>%MARK UP</t>
  </si>
  <si>
    <t xml:space="preserve"> SQ FT/YEAR</t>
  </si>
  <si>
    <t>(Complete any that apply)</t>
  </si>
  <si>
    <t>COST</t>
  </si>
  <si>
    <t>Basic Rent</t>
  </si>
  <si>
    <t>Rates</t>
  </si>
  <si>
    <t>Services</t>
  </si>
  <si>
    <t>Meeting Rooms</t>
  </si>
  <si>
    <t>Furniture Leasing</t>
  </si>
  <si>
    <t>Office Equipment Leasing</t>
  </si>
  <si>
    <t>Telephone (excl call charges)</t>
  </si>
  <si>
    <t>Utilities (excl usage)</t>
  </si>
  <si>
    <t>Professional fees</t>
  </si>
  <si>
    <t>Insurance</t>
  </si>
  <si>
    <t>IT Support</t>
  </si>
  <si>
    <t>Other</t>
  </si>
  <si>
    <t>Additional Revenue or Charges</t>
  </si>
  <si>
    <t>INITIAL INVESTMENT</t>
  </si>
  <si>
    <t>Acquisition</t>
  </si>
  <si>
    <t>Agents/Surveyors/Legal</t>
  </si>
  <si>
    <t>Project Management</t>
  </si>
  <si>
    <t>Building Works</t>
  </si>
  <si>
    <t>Telephones system</t>
  </si>
  <si>
    <t>IT Infrastructure</t>
  </si>
  <si>
    <t>Utilities Connection Fees</t>
  </si>
  <si>
    <t>Furniture/Signage</t>
  </si>
  <si>
    <t>Relocation Costs</t>
  </si>
  <si>
    <t>Advertising (initial occupancy)</t>
  </si>
  <si>
    <t>TOTAL COSTS</t>
  </si>
  <si>
    <t>Startup Funding or Grants</t>
  </si>
  <si>
    <t>Length of Lease (years)</t>
  </si>
  <si>
    <t>years  (max = 10)</t>
  </si>
  <si>
    <t>Average Occupancy Rate</t>
  </si>
  <si>
    <t>Initial Investment</t>
  </si>
  <si>
    <t>Start Up Funding or Grants</t>
  </si>
  <si>
    <t>Net Initial Investment</t>
  </si>
  <si>
    <t>Operating Costs</t>
  </si>
  <si>
    <t>Operating Revenues ( x %Occupancy)</t>
  </si>
  <si>
    <t>Operating Profit</t>
  </si>
  <si>
    <t>Catering (tea, coffee, milk, water etc)</t>
  </si>
  <si>
    <t>Cleaning &amp; recycling/waste disposal</t>
  </si>
  <si>
    <t>Repairs &amp; Maintenance (inc. office equipmt.)</t>
  </si>
  <si>
    <t>Stationery</t>
  </si>
  <si>
    <t>Franking costs</t>
  </si>
  <si>
    <t>Photocopying costs</t>
  </si>
  <si>
    <t>Telephone charges</t>
  </si>
  <si>
    <t>Revenues</t>
  </si>
  <si>
    <t>DESK/MONTH</t>
  </si>
  <si>
    <t>DESK/YEAR</t>
  </si>
  <si>
    <t>Number of Desks</t>
  </si>
  <si>
    <t>desks</t>
  </si>
  <si>
    <t>CALCULATION OF BREAKEVEN AND VALUE OF THE PROJECT</t>
  </si>
  <si>
    <t>Average Mark Up on Operating Costs that is needed to breakeven</t>
  </si>
  <si>
    <t>Operating Revenues ( / %Occupancy) needed for breakeven</t>
  </si>
  <si>
    <t>Average Area per Desk</t>
  </si>
  <si>
    <t>Conference Room hire</t>
  </si>
  <si>
    <t xml:space="preserve">WACC/MARR = </t>
  </si>
  <si>
    <t>BREAK EVEN PROFIT</t>
  </si>
  <si>
    <t>sq ft/desk</t>
  </si>
  <si>
    <t>per sq ft</t>
  </si>
  <si>
    <t>set up cost</t>
  </si>
  <si>
    <t>length of lease</t>
  </si>
  <si>
    <t>yrs</t>
  </si>
  <si>
    <t>interest rate</t>
  </si>
  <si>
    <t>independent variables</t>
  </si>
  <si>
    <t>dependent variables</t>
  </si>
  <si>
    <t>Costs</t>
  </si>
  <si>
    <t>OPERATING COSTS/Revenues</t>
  </si>
  <si>
    <t>Office Manager</t>
  </si>
  <si>
    <t>sq ft per desk</t>
  </si>
  <si>
    <t>REVENUE</t>
  </si>
  <si>
    <t>PER SQ FT</t>
  </si>
  <si>
    <t xml:space="preserve">COST  </t>
  </si>
  <si>
    <t>PER DESK</t>
  </si>
  <si>
    <t>NET PRESENT VALUE OF THE PROJECT TODAY (NPV)</t>
  </si>
  <si>
    <t>(Net Present Value should be &gt; 0 to accept project)</t>
  </si>
  <si>
    <t>Given the above assumptions and costs, to return a Zero NPV (ie make it a worthwhile investment), you would need to generate the following revenue:</t>
  </si>
  <si>
    <t>Rules of thumb pricing</t>
  </si>
  <si>
    <t>Space allowed per desk (including common areas)</t>
  </si>
  <si>
    <t>Rent &amp; service charge you pay your landlord</t>
  </si>
  <si>
    <t>Amount of lettable space not occupied at any one time</t>
  </si>
  <si>
    <t>Total operating cost (A)</t>
  </si>
  <si>
    <t>Cost of this unoccupied space (B)</t>
  </si>
  <si>
    <t>Average mark up on all costs</t>
  </si>
  <si>
    <t>Annual charge to tenant</t>
  </si>
  <si>
    <t>Monthly charge to tenant</t>
  </si>
  <si>
    <t>Annual charge to tenant (cost + mark up)</t>
  </si>
  <si>
    <t>Total cost (A+B)</t>
  </si>
  <si>
    <t>Operating costs + cost of an office manager*</t>
  </si>
  <si>
    <t>Set Up Costs</t>
  </si>
  <si>
    <t>* assumes 1 staff member servicing 19,000 sq ft</t>
  </si>
  <si>
    <t>These materials are intended to provide general information only. Whilst we have made every effort to ensure that the information provided is accurate, it does not constitute, nor is it a substitute for legal, financial or other professional advice.  If in doubt, we strongly recommend that you seek appropriate professional guidance.</t>
  </si>
  <si>
    <t>Change the shaded values to see what the effects on price and profit would be</t>
  </si>
  <si>
    <t>Annual payment to repay set up cost under these conditions</t>
  </si>
  <si>
    <t>Annual operating profit for CAN</t>
  </si>
  <si>
    <t>Gross profit (loss)</t>
  </si>
  <si>
    <t>= costs to the mezzanine</t>
  </si>
  <si>
    <t>= revenues to the mezzanine</t>
  </si>
  <si>
    <t>(Weighted Average Cost of Capital or Minimum Acceptable Rate of Return)  This is the opportunity cost, or the rate you'd get if you invested your money in another project of similar risk.</t>
  </si>
  <si>
    <t>Assumptions</t>
  </si>
  <si>
    <t>Results</t>
  </si>
  <si>
    <t>The payments you'd have to make on a loan of the same size as the net initial investment and at an interest rate eequal to your WACC (see above) to pay it off over the period of the lease.</t>
  </si>
  <si>
    <t>Break Even Profit</t>
  </si>
  <si>
    <t>What you'd have to charge per desk to break even at this occupancy rate and WACC.</t>
  </si>
  <si>
    <t>A Mezzanine Costing Model</t>
  </si>
  <si>
    <t>BASIC CHARGE</t>
  </si>
  <si>
    <t>TOTAL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</si>
</sst>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5" formatCode="&quot;£&quot;#,##0;[Red]\-&quot;£&quot;#,##0"/>
    <numFmt numFmtId="167" formatCode="&quot;£&quot;#,##0.00;[Red]\-&quot;£&quot;#,##0.00"/>
    <numFmt numFmtId="169" formatCode="_-&quot;£&quot;* #,##0.00_-;\-&quot;£&quot;* #,##0.00_-;_-&quot;£&quot;* &quot;-&quot;??_-;_-@_-"/>
    <numFmt numFmtId="170" formatCode="0.000"/>
    <numFmt numFmtId="173" formatCode="_-&quot;£&quot;* #,##0_-;\-&quot;£&quot;* #,##0_-;_-&quot;£&quot;* &quot;-&quot;??_-;_-@_-"/>
    <numFmt numFmtId="178" formatCode="_-* #,##0_-;\-* #,##0_-;_-* &quot;-&quot;??_-;_-@_-"/>
    <numFmt numFmtId="179" formatCode="0.0%"/>
  </numFmts>
  <fonts count="13" x14ac:knownFonts="1">
    <font>
      <sz val="10"/>
      <name val="Arial"/>
    </font>
    <font>
      <sz val="10"/>
      <name val="Arial"/>
    </font>
    <font>
      <b/>
      <sz val="10"/>
      <name val="Arial"/>
      <family val="2"/>
    </font>
    <font>
      <sz val="10"/>
      <name val="Arial"/>
      <family val="2"/>
    </font>
    <font>
      <b/>
      <sz val="18"/>
      <name val="Arial"/>
      <family val="2"/>
    </font>
    <font>
      <b/>
      <sz val="14"/>
      <name val="Arial"/>
      <family val="2"/>
    </font>
    <font>
      <b/>
      <sz val="14"/>
      <color indexed="9"/>
      <name val="Arial"/>
      <family val="2"/>
    </font>
    <font>
      <b/>
      <sz val="10"/>
      <color indexed="9"/>
      <name val="Arial"/>
      <family val="2"/>
    </font>
    <font>
      <sz val="10"/>
      <color indexed="9"/>
      <name val="Arial"/>
      <family val="2"/>
    </font>
    <font>
      <sz val="20"/>
      <name val="Arial"/>
      <family val="2"/>
    </font>
    <font>
      <b/>
      <sz val="11"/>
      <name val="Arial"/>
      <family val="2"/>
    </font>
    <font>
      <b/>
      <sz val="10"/>
      <color indexed="8"/>
      <name val="Arial"/>
      <family val="2"/>
    </font>
    <font>
      <sz val="8"/>
      <name val="Arial"/>
      <family val="2"/>
    </font>
  </fonts>
  <fills count="6">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6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4">
    <xf numFmtId="0" fontId="0" fillId="0" borderId="0"/>
    <xf numFmtId="43" fontId="1" fillId="0" borderId="0" applyFont="0" applyFill="0" applyBorder="0" applyAlignment="0" applyProtection="0"/>
    <xf numFmtId="169" fontId="1" fillId="0" borderId="0" applyFont="0" applyFill="0" applyBorder="0" applyAlignment="0" applyProtection="0"/>
    <xf numFmtId="9" fontId="1" fillId="0" borderId="0" applyFont="0" applyFill="0" applyBorder="0" applyAlignment="0" applyProtection="0"/>
  </cellStyleXfs>
  <cellXfs count="187">
    <xf numFmtId="0" fontId="0" fillId="0" borderId="0" xfId="0"/>
    <xf numFmtId="173" fontId="0" fillId="0" borderId="0" xfId="2" applyNumberFormat="1" applyFont="1"/>
    <xf numFmtId="169" fontId="1" fillId="0" borderId="0" xfId="2"/>
    <xf numFmtId="173" fontId="0" fillId="0" borderId="0" xfId="0" applyNumberFormat="1"/>
    <xf numFmtId="9" fontId="0" fillId="0" borderId="0" xfId="0" applyNumberFormat="1"/>
    <xf numFmtId="0" fontId="3" fillId="0" borderId="0" xfId="0" applyFont="1"/>
    <xf numFmtId="0" fontId="0" fillId="0" borderId="0" xfId="0" applyBorder="1"/>
    <xf numFmtId="173" fontId="2" fillId="0" borderId="0" xfId="2" applyNumberFormat="1" applyFont="1" applyBorder="1"/>
    <xf numFmtId="169" fontId="0" fillId="0" borderId="0" xfId="2" applyNumberFormat="1" applyFont="1"/>
    <xf numFmtId="169" fontId="0" fillId="0" borderId="0" xfId="0" applyNumberFormat="1"/>
    <xf numFmtId="0" fontId="0" fillId="0" borderId="1" xfId="0" applyFill="1" applyBorder="1"/>
    <xf numFmtId="0" fontId="0" fillId="2" borderId="1" xfId="0" applyFill="1" applyBorder="1"/>
    <xf numFmtId="0" fontId="2" fillId="2" borderId="0" xfId="0" applyFont="1" applyFill="1" applyAlignment="1">
      <alignment horizontal="center"/>
    </xf>
    <xf numFmtId="178" fontId="0" fillId="0" borderId="0" xfId="0" applyNumberFormat="1"/>
    <xf numFmtId="43" fontId="0" fillId="2" borderId="0" xfId="0" applyNumberFormat="1" applyFill="1"/>
    <xf numFmtId="0" fontId="0" fillId="0" borderId="0" xfId="0" applyFill="1"/>
    <xf numFmtId="178" fontId="2" fillId="2" borderId="0" xfId="0" applyNumberFormat="1" applyFont="1" applyFill="1"/>
    <xf numFmtId="43" fontId="2" fillId="2" borderId="0" xfId="0" applyNumberFormat="1" applyFont="1" applyFill="1"/>
    <xf numFmtId="0" fontId="2" fillId="2" borderId="0" xfId="0" applyFont="1" applyFill="1"/>
    <xf numFmtId="178" fontId="0" fillId="2" borderId="0" xfId="0" applyNumberFormat="1" applyFill="1"/>
    <xf numFmtId="178" fontId="0" fillId="0" borderId="0" xfId="0" applyNumberFormat="1" applyFill="1"/>
    <xf numFmtId="0" fontId="0" fillId="2" borderId="0" xfId="0" applyFill="1"/>
    <xf numFmtId="178" fontId="1" fillId="0" borderId="0" xfId="1" applyNumberFormat="1"/>
    <xf numFmtId="169" fontId="1" fillId="0" borderId="0" xfId="2" applyFill="1"/>
    <xf numFmtId="9" fontId="1" fillId="0" borderId="0" xfId="3"/>
    <xf numFmtId="13" fontId="0" fillId="0" borderId="0" xfId="0" applyNumberFormat="1"/>
    <xf numFmtId="0" fontId="2" fillId="0" borderId="0" xfId="0" applyFont="1" applyFill="1"/>
    <xf numFmtId="0" fontId="0" fillId="3" borderId="0" xfId="0" applyFill="1"/>
    <xf numFmtId="0" fontId="3" fillId="3" borderId="0" xfId="0" applyFont="1" applyFill="1"/>
    <xf numFmtId="0" fontId="2" fillId="3" borderId="0" xfId="0" applyFont="1" applyFill="1"/>
    <xf numFmtId="0" fontId="2" fillId="3" borderId="0" xfId="0" applyNumberFormat="1" applyFont="1" applyFill="1" applyAlignment="1">
      <alignment horizontal="center" wrapText="1"/>
    </xf>
    <xf numFmtId="178" fontId="3" fillId="3" borderId="0" xfId="0" applyNumberFormat="1" applyFont="1" applyFill="1"/>
    <xf numFmtId="178" fontId="3" fillId="0" borderId="0" xfId="1" applyNumberFormat="1" applyFont="1" applyFill="1"/>
    <xf numFmtId="9" fontId="3" fillId="0" borderId="0" xfId="0" applyNumberFormat="1" applyFont="1" applyFill="1"/>
    <xf numFmtId="0" fontId="0" fillId="3" borderId="1" xfId="0" applyFill="1" applyBorder="1"/>
    <xf numFmtId="178" fontId="0" fillId="3" borderId="0" xfId="0" applyNumberFormat="1" applyFill="1"/>
    <xf numFmtId="0" fontId="2" fillId="3" borderId="0" xfId="0" applyFont="1" applyFill="1" applyAlignment="1"/>
    <xf numFmtId="9" fontId="2" fillId="3" borderId="0" xfId="0" applyNumberFormat="1" applyFont="1" applyFill="1"/>
    <xf numFmtId="0" fontId="0" fillId="4" borderId="1" xfId="0" applyFill="1" applyBorder="1"/>
    <xf numFmtId="0" fontId="0" fillId="4" borderId="0" xfId="0" applyFill="1"/>
    <xf numFmtId="0" fontId="2" fillId="4" borderId="0" xfId="0" applyFont="1" applyFill="1" applyAlignment="1">
      <alignment horizontal="center"/>
    </xf>
    <xf numFmtId="0" fontId="2" fillId="4" borderId="0" xfId="0" applyFont="1" applyFill="1"/>
    <xf numFmtId="43" fontId="0" fillId="4" borderId="0" xfId="0" applyNumberFormat="1" applyFill="1"/>
    <xf numFmtId="43" fontId="2" fillId="4" borderId="0" xfId="0" applyNumberFormat="1" applyFont="1" applyFill="1"/>
    <xf numFmtId="0" fontId="0" fillId="3" borderId="0" xfId="0" quotePrefix="1" applyFill="1"/>
    <xf numFmtId="178" fontId="0" fillId="4" borderId="0" xfId="1" applyNumberFormat="1" applyFont="1" applyFill="1"/>
    <xf numFmtId="43" fontId="0" fillId="0" borderId="0" xfId="0" applyNumberFormat="1" applyFill="1"/>
    <xf numFmtId="178" fontId="2" fillId="4" borderId="0" xfId="0" applyNumberFormat="1" applyFont="1" applyFill="1"/>
    <xf numFmtId="0" fontId="5" fillId="0" borderId="0" xfId="0" applyFont="1" applyFill="1"/>
    <xf numFmtId="0" fontId="2" fillId="0" borderId="0" xfId="0" applyFont="1" applyFill="1" applyAlignment="1"/>
    <xf numFmtId="43" fontId="3" fillId="0" borderId="0" xfId="0" applyNumberFormat="1" applyFont="1" applyFill="1"/>
    <xf numFmtId="167" fontId="2" fillId="0" borderId="0" xfId="0" applyNumberFormat="1" applyFont="1" applyFill="1"/>
    <xf numFmtId="165" fontId="2" fillId="0" borderId="0" xfId="0" applyNumberFormat="1" applyFont="1" applyFill="1"/>
    <xf numFmtId="0" fontId="8" fillId="0" borderId="0" xfId="0" applyFont="1" applyFill="1"/>
    <xf numFmtId="0" fontId="6" fillId="5" borderId="0" xfId="0" applyFont="1" applyFill="1"/>
    <xf numFmtId="0" fontId="7" fillId="5" borderId="0" xfId="0" applyFont="1" applyFill="1"/>
    <xf numFmtId="0" fontId="8" fillId="5" borderId="0" xfId="0" applyFont="1" applyFill="1"/>
    <xf numFmtId="0" fontId="0" fillId="5" borderId="0" xfId="0" applyFill="1"/>
    <xf numFmtId="0" fontId="0" fillId="0" borderId="2" xfId="0" applyFill="1" applyBorder="1"/>
    <xf numFmtId="0" fontId="3" fillId="0" borderId="3" xfId="0" applyFont="1" applyFill="1" applyBorder="1"/>
    <xf numFmtId="173" fontId="3" fillId="0" borderId="3" xfId="2" applyNumberFormat="1" applyFont="1" applyFill="1" applyBorder="1" applyAlignment="1"/>
    <xf numFmtId="43" fontId="3" fillId="0" borderId="3" xfId="0" applyNumberFormat="1" applyFont="1" applyFill="1" applyBorder="1"/>
    <xf numFmtId="169" fontId="3" fillId="0" borderId="3" xfId="2" applyNumberFormat="1" applyFont="1" applyFill="1" applyBorder="1"/>
    <xf numFmtId="169" fontId="3" fillId="0" borderId="4" xfId="2" applyNumberFormat="1" applyFont="1" applyFill="1" applyBorder="1"/>
    <xf numFmtId="0" fontId="0" fillId="0" borderId="5" xfId="0" applyFill="1" applyBorder="1"/>
    <xf numFmtId="0" fontId="3" fillId="0" borderId="0" xfId="0" applyFont="1" applyFill="1" applyBorder="1"/>
    <xf numFmtId="173" fontId="3" fillId="0" borderId="0" xfId="2" applyNumberFormat="1" applyFont="1" applyFill="1" applyBorder="1" applyAlignment="1"/>
    <xf numFmtId="43" fontId="3" fillId="0" borderId="0" xfId="0" applyNumberFormat="1" applyFont="1" applyFill="1" applyBorder="1"/>
    <xf numFmtId="169" fontId="3" fillId="0" borderId="0" xfId="2" applyNumberFormat="1" applyFont="1" applyFill="1" applyBorder="1"/>
    <xf numFmtId="169" fontId="3" fillId="0" borderId="6" xfId="2" applyNumberFormat="1" applyFont="1" applyFill="1" applyBorder="1"/>
    <xf numFmtId="0" fontId="2" fillId="0" borderId="0" xfId="0" applyFont="1" applyFill="1" applyBorder="1"/>
    <xf numFmtId="173" fontId="2" fillId="0" borderId="0" xfId="2" applyNumberFormat="1" applyFont="1" applyFill="1" applyBorder="1" applyAlignment="1"/>
    <xf numFmtId="43" fontId="2" fillId="0" borderId="0" xfId="0" applyNumberFormat="1" applyFont="1" applyFill="1" applyBorder="1"/>
    <xf numFmtId="169" fontId="2" fillId="0" borderId="0" xfId="2" applyNumberFormat="1" applyFont="1" applyFill="1" applyBorder="1"/>
    <xf numFmtId="169" fontId="2" fillId="0" borderId="6" xfId="2" applyNumberFormat="1" applyFont="1" applyFill="1" applyBorder="1"/>
    <xf numFmtId="0" fontId="0" fillId="0" borderId="0" xfId="0" applyFill="1" applyBorder="1"/>
    <xf numFmtId="43" fontId="0" fillId="0" borderId="0" xfId="0" applyNumberFormat="1" applyFill="1" applyBorder="1"/>
    <xf numFmtId="169" fontId="0" fillId="0" borderId="0" xfId="2" applyNumberFormat="1" applyFont="1" applyFill="1" applyBorder="1"/>
    <xf numFmtId="169" fontId="0" fillId="0" borderId="6" xfId="2" applyNumberFormat="1" applyFont="1" applyFill="1" applyBorder="1"/>
    <xf numFmtId="173" fontId="0" fillId="0" borderId="0" xfId="2" applyNumberFormat="1" applyFont="1" applyFill="1" applyBorder="1"/>
    <xf numFmtId="0" fontId="0" fillId="0" borderId="7" xfId="0" applyFill="1" applyBorder="1"/>
    <xf numFmtId="0" fontId="2" fillId="0" borderId="8" xfId="0" applyFont="1" applyFill="1" applyBorder="1"/>
    <xf numFmtId="0" fontId="0" fillId="0" borderId="8" xfId="0" applyFill="1" applyBorder="1"/>
    <xf numFmtId="173" fontId="2" fillId="0" borderId="8" xfId="2" applyNumberFormat="1" applyFont="1" applyFill="1" applyBorder="1"/>
    <xf numFmtId="43" fontId="2" fillId="0" borderId="8" xfId="0" applyNumberFormat="1" applyFont="1" applyFill="1" applyBorder="1"/>
    <xf numFmtId="169" fontId="2" fillId="0" borderId="8" xfId="2" applyNumberFormat="1" applyFont="1" applyFill="1" applyBorder="1"/>
    <xf numFmtId="169" fontId="2" fillId="0" borderId="9" xfId="2" applyNumberFormat="1" applyFont="1" applyFill="1" applyBorder="1"/>
    <xf numFmtId="0" fontId="2" fillId="0" borderId="2" xfId="0" applyFont="1" applyFill="1" applyBorder="1"/>
    <xf numFmtId="0" fontId="0" fillId="0" borderId="3" xfId="0" applyFill="1" applyBorder="1"/>
    <xf numFmtId="173" fontId="0" fillId="0" borderId="3" xfId="2" applyNumberFormat="1" applyFont="1" applyFill="1" applyBorder="1"/>
    <xf numFmtId="43" fontId="0" fillId="0" borderId="3" xfId="0" applyNumberFormat="1" applyFill="1" applyBorder="1"/>
    <xf numFmtId="43" fontId="0" fillId="0" borderId="4" xfId="0" applyNumberFormat="1" applyFill="1" applyBorder="1"/>
    <xf numFmtId="0" fontId="3" fillId="0" borderId="5" xfId="0" applyFont="1" applyFill="1" applyBorder="1"/>
    <xf numFmtId="173" fontId="3" fillId="0" borderId="0" xfId="2" applyNumberFormat="1" applyFont="1" applyFill="1" applyBorder="1"/>
    <xf numFmtId="173" fontId="7" fillId="0" borderId="0" xfId="2" applyNumberFormat="1" applyFont="1" applyFill="1" applyBorder="1"/>
    <xf numFmtId="10" fontId="2" fillId="0" borderId="0" xfId="3" applyNumberFormat="1" applyFont="1" applyFill="1" applyBorder="1"/>
    <xf numFmtId="173" fontId="2" fillId="0" borderId="0" xfId="2" applyNumberFormat="1" applyFont="1" applyFill="1" applyBorder="1"/>
    <xf numFmtId="0" fontId="3" fillId="0" borderId="0" xfId="0" applyFont="1" applyBorder="1"/>
    <xf numFmtId="43" fontId="3" fillId="0" borderId="6" xfId="0" applyNumberFormat="1" applyFont="1" applyFill="1" applyBorder="1"/>
    <xf numFmtId="0" fontId="3" fillId="0" borderId="7" xfId="0" applyFont="1" applyFill="1" applyBorder="1"/>
    <xf numFmtId="0" fontId="3" fillId="0" borderId="8" xfId="0" applyFont="1" applyFill="1" applyBorder="1"/>
    <xf numFmtId="43" fontId="3" fillId="0" borderId="8" xfId="0" applyNumberFormat="1" applyFont="1" applyFill="1" applyBorder="1"/>
    <xf numFmtId="179" fontId="3" fillId="0" borderId="8" xfId="3" applyNumberFormat="1" applyFont="1" applyFill="1" applyBorder="1"/>
    <xf numFmtId="43" fontId="3" fillId="0" borderId="9" xfId="0" applyNumberFormat="1" applyFont="1" applyFill="1" applyBorder="1"/>
    <xf numFmtId="10" fontId="2" fillId="0" borderId="8" xfId="3" applyNumberFormat="1" applyFont="1" applyFill="1" applyBorder="1"/>
    <xf numFmtId="167" fontId="3" fillId="0" borderId="0" xfId="2" applyNumberFormat="1" applyFont="1" applyFill="1" applyBorder="1"/>
    <xf numFmtId="0" fontId="9" fillId="0" borderId="0" xfId="0" applyFont="1"/>
    <xf numFmtId="0" fontId="0" fillId="0" borderId="10" xfId="0" applyBorder="1"/>
    <xf numFmtId="0" fontId="9" fillId="0" borderId="4" xfId="0" applyFont="1" applyBorder="1"/>
    <xf numFmtId="0" fontId="0" fillId="0" borderId="5" xfId="0" applyBorder="1"/>
    <xf numFmtId="0" fontId="2" fillId="0" borderId="7" xfId="0" applyFont="1" applyBorder="1"/>
    <xf numFmtId="0" fontId="0" fillId="0" borderId="9" xfId="0" applyBorder="1"/>
    <xf numFmtId="9" fontId="2" fillId="4" borderId="0" xfId="3" applyNumberFormat="1" applyFont="1" applyFill="1"/>
    <xf numFmtId="0" fontId="0" fillId="0" borderId="0" xfId="0" quotePrefix="1"/>
    <xf numFmtId="0" fontId="9" fillId="0" borderId="2" xfId="0" applyFont="1" applyBorder="1"/>
    <xf numFmtId="0" fontId="9" fillId="0" borderId="3" xfId="0" applyFont="1" applyBorder="1"/>
    <xf numFmtId="0" fontId="0" fillId="0" borderId="6" xfId="0" applyBorder="1"/>
    <xf numFmtId="169" fontId="1" fillId="0" borderId="0" xfId="2" applyNumberFormat="1" applyBorder="1"/>
    <xf numFmtId="169" fontId="1" fillId="0" borderId="0" xfId="2" applyBorder="1"/>
    <xf numFmtId="0" fontId="0" fillId="0" borderId="6" xfId="0" applyFill="1" applyBorder="1"/>
    <xf numFmtId="173" fontId="1" fillId="0" borderId="0" xfId="2" applyNumberFormat="1" applyBorder="1"/>
    <xf numFmtId="9" fontId="0" fillId="0" borderId="0" xfId="0" applyNumberFormat="1" applyFill="1" applyBorder="1"/>
    <xf numFmtId="169" fontId="1" fillId="0" borderId="0" xfId="2" applyFill="1" applyBorder="1"/>
    <xf numFmtId="169" fontId="1" fillId="0" borderId="0" xfId="2" applyNumberFormat="1" applyFill="1" applyBorder="1"/>
    <xf numFmtId="173" fontId="1" fillId="0" borderId="0" xfId="2" applyNumberFormat="1" applyFill="1" applyBorder="1"/>
    <xf numFmtId="167" fontId="0" fillId="0" borderId="8" xfId="0" applyNumberFormat="1" applyBorder="1"/>
    <xf numFmtId="169" fontId="0" fillId="0" borderId="0" xfId="2" applyFont="1" applyFill="1" applyBorder="1"/>
    <xf numFmtId="167" fontId="0" fillId="0" borderId="0" xfId="0" applyNumberFormat="1" applyFill="1" applyBorder="1"/>
    <xf numFmtId="167" fontId="0" fillId="0" borderId="0" xfId="2" applyNumberFormat="1" applyFont="1" applyFill="1" applyBorder="1"/>
    <xf numFmtId="0" fontId="0" fillId="0" borderId="0" xfId="0" quotePrefix="1" applyFill="1"/>
    <xf numFmtId="169" fontId="0" fillId="0" borderId="0" xfId="0" applyNumberFormat="1" applyFill="1"/>
    <xf numFmtId="170" fontId="0" fillId="0" borderId="0" xfId="0" applyNumberFormat="1" applyFill="1"/>
    <xf numFmtId="0" fontId="9" fillId="0" borderId="0" xfId="0" applyFont="1" applyFill="1" applyBorder="1"/>
    <xf numFmtId="178" fontId="1" fillId="0" borderId="0" xfId="1" applyNumberFormat="1" applyFont="1"/>
    <xf numFmtId="179" fontId="0" fillId="3" borderId="0" xfId="3" applyNumberFormat="1" applyFont="1" applyFill="1"/>
    <xf numFmtId="0" fontId="2" fillId="0" borderId="5" xfId="0" applyFont="1" applyFill="1" applyBorder="1"/>
    <xf numFmtId="43" fontId="0" fillId="0" borderId="6" xfId="0" applyNumberFormat="1" applyFill="1" applyBorder="1"/>
    <xf numFmtId="0" fontId="9" fillId="0" borderId="5" xfId="0" applyFont="1" applyBorder="1"/>
    <xf numFmtId="0" fontId="9" fillId="0" borderId="0" xfId="0" applyFont="1" applyBorder="1"/>
    <xf numFmtId="0" fontId="9" fillId="0" borderId="6" xfId="0" applyFont="1" applyBorder="1"/>
    <xf numFmtId="0" fontId="2" fillId="0" borderId="5" xfId="0" applyFont="1" applyBorder="1"/>
    <xf numFmtId="0" fontId="2" fillId="0" borderId="11" xfId="0" applyFont="1" applyBorder="1"/>
    <xf numFmtId="169" fontId="1" fillId="0" borderId="12" xfId="2" applyNumberFormat="1" applyBorder="1"/>
    <xf numFmtId="0" fontId="0" fillId="0" borderId="13" xfId="0" applyBorder="1"/>
    <xf numFmtId="0" fontId="2" fillId="0" borderId="6" xfId="0" applyFont="1" applyBorder="1"/>
    <xf numFmtId="169" fontId="2" fillId="0" borderId="3" xfId="0" applyNumberFormat="1" applyFont="1" applyBorder="1"/>
    <xf numFmtId="0" fontId="2" fillId="0" borderId="4" xfId="0" applyFont="1" applyFill="1" applyBorder="1"/>
    <xf numFmtId="173" fontId="2" fillId="0" borderId="8" xfId="2" applyNumberFormat="1" applyFont="1" applyBorder="1"/>
    <xf numFmtId="0" fontId="2" fillId="0" borderId="9" xfId="0" applyFont="1" applyBorder="1"/>
    <xf numFmtId="0" fontId="0" fillId="0" borderId="2" xfId="0" applyBorder="1"/>
    <xf numFmtId="0" fontId="0" fillId="0" borderId="3" xfId="0" applyBorder="1"/>
    <xf numFmtId="0" fontId="0" fillId="0" borderId="4" xfId="0" applyBorder="1"/>
    <xf numFmtId="169" fontId="0" fillId="0" borderId="0" xfId="2" applyFont="1" applyBorder="1"/>
    <xf numFmtId="0" fontId="0" fillId="0" borderId="8" xfId="0" applyBorder="1"/>
    <xf numFmtId="0" fontId="4" fillId="0" borderId="5" xfId="0" applyFont="1" applyBorder="1"/>
    <xf numFmtId="0" fontId="4" fillId="0" borderId="7" xfId="0" applyFont="1" applyBorder="1"/>
    <xf numFmtId="0" fontId="0" fillId="0" borderId="5" xfId="0" applyFill="1" applyBorder="1" applyAlignment="1">
      <alignment horizontal="right"/>
    </xf>
    <xf numFmtId="0" fontId="0" fillId="0" borderId="7" xfId="0" applyBorder="1" applyAlignment="1">
      <alignment horizontal="left" wrapText="1"/>
    </xf>
    <xf numFmtId="0" fontId="0" fillId="0" borderId="5" xfId="0" applyBorder="1" applyAlignment="1">
      <alignment horizontal="left"/>
    </xf>
    <xf numFmtId="0" fontId="0" fillId="0" borderId="5" xfId="0" applyFill="1" applyBorder="1" applyAlignment="1">
      <alignment horizontal="left"/>
    </xf>
    <xf numFmtId="0" fontId="10" fillId="0" borderId="5" xfId="0" applyFont="1" applyBorder="1"/>
    <xf numFmtId="0" fontId="0" fillId="3" borderId="5" xfId="0" applyFill="1" applyBorder="1"/>
    <xf numFmtId="0" fontId="0" fillId="3" borderId="0" xfId="0" applyFill="1" applyBorder="1"/>
    <xf numFmtId="0" fontId="0" fillId="3" borderId="6" xfId="0" applyFill="1" applyBorder="1"/>
    <xf numFmtId="0" fontId="0" fillId="3" borderId="5" xfId="0" applyFill="1" applyBorder="1" applyAlignment="1">
      <alignment horizontal="right"/>
    </xf>
    <xf numFmtId="169" fontId="1" fillId="3" borderId="0" xfId="2" applyNumberFormat="1" applyFill="1" applyBorder="1"/>
    <xf numFmtId="9" fontId="0" fillId="3" borderId="0" xfId="0" applyNumberFormat="1" applyFill="1" applyBorder="1"/>
    <xf numFmtId="0" fontId="0" fillId="3" borderId="2" xfId="0" applyFill="1" applyBorder="1" applyAlignment="1">
      <alignment horizontal="right"/>
    </xf>
    <xf numFmtId="167" fontId="0" fillId="3" borderId="3" xfId="0" applyNumberFormat="1" applyFill="1" applyBorder="1"/>
    <xf numFmtId="0" fontId="0" fillId="3" borderId="4" xfId="0" applyFill="1" applyBorder="1"/>
    <xf numFmtId="0" fontId="5" fillId="3" borderId="0" xfId="0" applyFont="1" applyFill="1"/>
    <xf numFmtId="169" fontId="1" fillId="0" borderId="0" xfId="2" applyFont="1"/>
    <xf numFmtId="0" fontId="0" fillId="3" borderId="14" xfId="0" applyFill="1" applyBorder="1"/>
    <xf numFmtId="178" fontId="2" fillId="0" borderId="0" xfId="0" applyNumberFormat="1" applyFont="1"/>
    <xf numFmtId="169" fontId="2" fillId="0" borderId="0" xfId="2" applyFont="1" applyFill="1"/>
    <xf numFmtId="9" fontId="2" fillId="0" borderId="0" xfId="3" applyFont="1"/>
    <xf numFmtId="9" fontId="2" fillId="0" borderId="0" xfId="0" applyNumberFormat="1" applyFont="1"/>
    <xf numFmtId="0" fontId="12" fillId="0" borderId="0" xfId="0" applyFont="1" applyBorder="1"/>
    <xf numFmtId="0" fontId="12" fillId="0" borderId="0" xfId="0" applyFont="1" applyFill="1"/>
    <xf numFmtId="0" fontId="2" fillId="0" borderId="0" xfId="0" applyFont="1" applyAlignment="1">
      <alignment wrapText="1"/>
    </xf>
    <xf numFmtId="0" fontId="12" fillId="3" borderId="0" xfId="0" applyFont="1" applyFill="1" applyAlignment="1">
      <alignment wrapText="1"/>
    </xf>
    <xf numFmtId="0" fontId="12" fillId="0" borderId="0" xfId="0" applyFont="1" applyAlignment="1">
      <alignment wrapText="1"/>
    </xf>
    <xf numFmtId="0" fontId="12" fillId="0" borderId="0" xfId="0" applyFont="1" applyFill="1" applyAlignment="1">
      <alignment wrapText="1"/>
    </xf>
    <xf numFmtId="0" fontId="2" fillId="4" borderId="0" xfId="0" applyFont="1" applyFill="1" applyAlignment="1">
      <alignment horizontal="center"/>
    </xf>
    <xf numFmtId="0" fontId="2" fillId="0" borderId="0" xfId="0" applyFont="1" applyFill="1" applyAlignment="1">
      <alignment horizontal="center"/>
    </xf>
    <xf numFmtId="0" fontId="11" fillId="0" borderId="0" xfId="0" applyFont="1" applyAlignment="1">
      <alignment wrapText="1"/>
    </xf>
    <xf numFmtId="0" fontId="0" fillId="0" borderId="0" xfId="0" applyAlignment="1">
      <alignment wrapText="1"/>
    </xf>
  </cellXfs>
  <cellStyles count="4">
    <cellStyle name="Komma" xfId="1" builtinId="3"/>
    <cellStyle name="Prozent" xfId="3" builtinId="5"/>
    <cellStyle name="Standard" xfId="0" builtinId="0"/>
    <cellStyle name="Währung" xfId="2"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E5C66-FF00-4C6E-B67B-5ED782FDD0C9}">
  <sheetPr>
    <pageSetUpPr fitToPage="1"/>
  </sheetPr>
  <dimension ref="A1:G55"/>
  <sheetViews>
    <sheetView topLeftCell="A16" workbookViewId="0">
      <selection activeCell="A41" sqref="A41"/>
    </sheetView>
  </sheetViews>
  <sheetFormatPr baseColWidth="10" defaultRowHeight="12.75" x14ac:dyDescent="0.2"/>
  <cols>
    <col min="1" max="1" width="51.5703125" customWidth="1"/>
    <col min="2" max="3" width="17.140625" customWidth="1"/>
    <col min="4" max="4" width="9.140625" customWidth="1"/>
    <col min="5" max="5" width="52.28515625" style="15" customWidth="1"/>
    <col min="6" max="6" width="11.28515625" style="15" bestFit="1" customWidth="1"/>
    <col min="7" max="7" width="21" style="15" customWidth="1"/>
    <col min="8" max="256" width="9.140625" customWidth="1"/>
  </cols>
  <sheetData>
    <row r="1" spans="1:7" s="106" customFormat="1" ht="25.5" x14ac:dyDescent="0.35">
      <c r="A1" s="114" t="s">
        <v>88</v>
      </c>
      <c r="B1" s="115"/>
      <c r="C1" s="108"/>
      <c r="E1" s="132"/>
      <c r="F1" s="132"/>
      <c r="G1" s="132"/>
    </row>
    <row r="2" spans="1:7" s="106" customFormat="1" ht="25.5" x14ac:dyDescent="0.35">
      <c r="A2" s="160" t="s">
        <v>103</v>
      </c>
      <c r="B2" s="138"/>
      <c r="C2" s="139"/>
      <c r="E2" s="132"/>
      <c r="F2" s="132"/>
      <c r="G2" s="132"/>
    </row>
    <row r="3" spans="1:7" s="106" customFormat="1" ht="25.5" x14ac:dyDescent="0.35">
      <c r="A3" s="137"/>
      <c r="B3" s="138"/>
      <c r="C3" s="139"/>
      <c r="E3" s="132"/>
      <c r="F3" s="132"/>
      <c r="G3" s="132"/>
    </row>
    <row r="4" spans="1:7" x14ac:dyDescent="0.2">
      <c r="A4" s="161" t="s">
        <v>89</v>
      </c>
      <c r="B4" s="162">
        <v>90</v>
      </c>
      <c r="C4" s="163" t="s">
        <v>69</v>
      </c>
      <c r="E4" s="75"/>
      <c r="F4" s="124"/>
      <c r="G4" s="75"/>
    </row>
    <row r="5" spans="1:7" x14ac:dyDescent="0.2">
      <c r="A5" s="64"/>
      <c r="B5" s="75"/>
      <c r="C5" s="119"/>
      <c r="E5" s="75"/>
      <c r="F5" s="124"/>
      <c r="G5" s="75"/>
    </row>
    <row r="6" spans="1:7" ht="23.25" x14ac:dyDescent="0.35">
      <c r="A6" s="154" t="s">
        <v>77</v>
      </c>
      <c r="B6" s="6"/>
      <c r="C6" s="116"/>
      <c r="E6" s="75"/>
      <c r="F6" s="124"/>
      <c r="G6" s="75"/>
    </row>
    <row r="7" spans="1:7" x14ac:dyDescent="0.2">
      <c r="A7" s="164" t="s">
        <v>90</v>
      </c>
      <c r="B7" s="165">
        <v>15</v>
      </c>
      <c r="C7" s="163" t="s">
        <v>70</v>
      </c>
      <c r="E7" s="75"/>
      <c r="F7" s="121"/>
      <c r="G7" s="75"/>
    </row>
    <row r="8" spans="1:7" ht="13.5" thickBot="1" x14ac:dyDescent="0.25">
      <c r="A8" s="156" t="s">
        <v>99</v>
      </c>
      <c r="B8" s="126">
        <v>5</v>
      </c>
      <c r="C8" s="119" t="s">
        <v>70</v>
      </c>
      <c r="E8" s="75"/>
      <c r="F8" s="124"/>
      <c r="G8" s="75"/>
    </row>
    <row r="9" spans="1:7" ht="13.5" thickBot="1" x14ac:dyDescent="0.25">
      <c r="A9" s="141" t="s">
        <v>92</v>
      </c>
      <c r="B9" s="142">
        <f>+B7+B8</f>
        <v>20</v>
      </c>
      <c r="C9" s="143" t="s">
        <v>70</v>
      </c>
      <c r="E9" s="75"/>
      <c r="F9" s="75"/>
      <c r="G9" s="75"/>
    </row>
    <row r="10" spans="1:7" x14ac:dyDescent="0.2">
      <c r="A10" s="140"/>
      <c r="B10" s="117"/>
      <c r="C10" s="116"/>
      <c r="E10" s="75"/>
      <c r="F10" s="75"/>
      <c r="G10" s="75"/>
    </row>
    <row r="11" spans="1:7" x14ac:dyDescent="0.2">
      <c r="A11" s="164" t="s">
        <v>91</v>
      </c>
      <c r="B11" s="166">
        <v>0.15</v>
      </c>
      <c r="C11" s="163"/>
      <c r="E11" s="75"/>
      <c r="F11" s="75"/>
      <c r="G11" s="75"/>
    </row>
    <row r="12" spans="1:7" x14ac:dyDescent="0.2">
      <c r="A12" s="156" t="s">
        <v>93</v>
      </c>
      <c r="B12" s="118">
        <f>+B11*B9</f>
        <v>3</v>
      </c>
      <c r="C12" s="116"/>
      <c r="E12" s="75"/>
      <c r="F12" s="123"/>
      <c r="G12" s="75"/>
    </row>
    <row r="13" spans="1:7" ht="13.5" thickBot="1" x14ac:dyDescent="0.25">
      <c r="A13" s="64"/>
      <c r="B13" s="118"/>
      <c r="C13" s="116"/>
      <c r="E13" s="75"/>
      <c r="F13" s="123"/>
      <c r="G13" s="75"/>
    </row>
    <row r="14" spans="1:7" x14ac:dyDescent="0.2">
      <c r="A14" s="87" t="s">
        <v>98</v>
      </c>
      <c r="B14" s="145">
        <f>+B9+B12</f>
        <v>23</v>
      </c>
      <c r="C14" s="146" t="s">
        <v>70</v>
      </c>
      <c r="E14" s="75"/>
      <c r="F14" s="75"/>
      <c r="G14" s="75"/>
    </row>
    <row r="15" spans="1:7" ht="13.5" thickBot="1" x14ac:dyDescent="0.25">
      <c r="A15" s="110"/>
      <c r="B15" s="147">
        <f>B4*B14</f>
        <v>2070</v>
      </c>
      <c r="C15" s="148" t="s">
        <v>2</v>
      </c>
      <c r="E15" s="75"/>
      <c r="F15" s="126"/>
      <c r="G15" s="75"/>
    </row>
    <row r="16" spans="1:7" x14ac:dyDescent="0.2">
      <c r="A16" s="140"/>
      <c r="B16" s="7"/>
      <c r="C16" s="144"/>
      <c r="E16" s="75"/>
      <c r="F16" s="126"/>
      <c r="G16" s="75"/>
    </row>
    <row r="17" spans="1:7" ht="24" thickBot="1" x14ac:dyDescent="0.4">
      <c r="A17" s="154" t="s">
        <v>57</v>
      </c>
      <c r="B17" s="7"/>
      <c r="C17" s="144"/>
      <c r="E17" s="75"/>
      <c r="F17" s="126"/>
      <c r="G17" s="75"/>
    </row>
    <row r="18" spans="1:7" x14ac:dyDescent="0.2">
      <c r="A18" s="149"/>
      <c r="B18" s="150"/>
      <c r="C18" s="151"/>
      <c r="E18" s="75"/>
      <c r="F18" s="121"/>
      <c r="G18" s="75"/>
    </row>
    <row r="19" spans="1:7" x14ac:dyDescent="0.2">
      <c r="A19" s="164" t="s">
        <v>94</v>
      </c>
      <c r="B19" s="166">
        <v>0.15</v>
      </c>
      <c r="C19" s="163"/>
      <c r="E19" s="75"/>
      <c r="F19" s="75"/>
      <c r="G19" s="75"/>
    </row>
    <row r="20" spans="1:7" x14ac:dyDescent="0.2">
      <c r="A20" s="156"/>
      <c r="B20" s="121"/>
      <c r="C20" s="119"/>
      <c r="E20" s="75"/>
      <c r="F20" s="126"/>
      <c r="G20" s="75"/>
    </row>
    <row r="21" spans="1:7" x14ac:dyDescent="0.2">
      <c r="A21" s="158" t="s">
        <v>97</v>
      </c>
      <c r="B21" s="120">
        <f>+B15*(1+B19)</f>
        <v>2380.5</v>
      </c>
      <c r="C21" s="116" t="s">
        <v>2</v>
      </c>
      <c r="E21" s="75"/>
      <c r="F21" s="122"/>
      <c r="G21" s="75"/>
    </row>
    <row r="22" spans="1:7" x14ac:dyDescent="0.2">
      <c r="A22" s="159" t="s">
        <v>95</v>
      </c>
      <c r="B22" s="152">
        <f>+B21/B4</f>
        <v>26.45</v>
      </c>
      <c r="C22" s="116" t="s">
        <v>70</v>
      </c>
      <c r="E22" s="75"/>
      <c r="F22" s="123"/>
      <c r="G22" s="75"/>
    </row>
    <row r="23" spans="1:7" x14ac:dyDescent="0.2">
      <c r="A23" s="158" t="s">
        <v>96</v>
      </c>
      <c r="B23" s="117">
        <f>+B21/12</f>
        <v>198.375</v>
      </c>
      <c r="C23" s="116" t="s">
        <v>2</v>
      </c>
      <c r="E23" s="75"/>
      <c r="F23" s="123"/>
      <c r="G23" s="75"/>
    </row>
    <row r="24" spans="1:7" x14ac:dyDescent="0.2">
      <c r="A24" s="109"/>
      <c r="B24" s="117"/>
      <c r="C24" s="116"/>
      <c r="E24" s="75"/>
      <c r="F24" s="123"/>
      <c r="G24" s="75"/>
    </row>
    <row r="25" spans="1:7" ht="24" thickBot="1" x14ac:dyDescent="0.4">
      <c r="A25" s="155" t="s">
        <v>100</v>
      </c>
      <c r="B25" s="153"/>
      <c r="C25" s="111"/>
      <c r="E25" s="75"/>
      <c r="F25" s="75"/>
      <c r="G25" s="75"/>
    </row>
    <row r="26" spans="1:7" x14ac:dyDescent="0.2">
      <c r="A26" s="167" t="s">
        <v>71</v>
      </c>
      <c r="B26" s="168">
        <v>20</v>
      </c>
      <c r="C26" s="169" t="s">
        <v>70</v>
      </c>
      <c r="E26" s="75"/>
      <c r="F26" s="127"/>
      <c r="G26" s="75"/>
    </row>
    <row r="27" spans="1:7" x14ac:dyDescent="0.2">
      <c r="A27" s="164" t="s">
        <v>72</v>
      </c>
      <c r="B27" s="162">
        <v>10</v>
      </c>
      <c r="C27" s="163" t="s">
        <v>73</v>
      </c>
      <c r="E27" s="75"/>
      <c r="F27" s="75"/>
      <c r="G27" s="75"/>
    </row>
    <row r="28" spans="1:7" x14ac:dyDescent="0.2">
      <c r="A28" s="164" t="s">
        <v>74</v>
      </c>
      <c r="B28" s="166">
        <v>0.08</v>
      </c>
      <c r="C28" s="163"/>
      <c r="E28" s="75"/>
      <c r="F28" s="121"/>
      <c r="G28" s="75"/>
    </row>
    <row r="29" spans="1:7" ht="26.25" thickBot="1" x14ac:dyDescent="0.25">
      <c r="A29" s="157" t="s">
        <v>104</v>
      </c>
      <c r="B29" s="125">
        <f>PMT(B28,B27,-1*B26,0,0)</f>
        <v>2.9805897739415084</v>
      </c>
      <c r="C29" s="111" t="s">
        <v>70</v>
      </c>
      <c r="E29" s="75"/>
      <c r="F29" s="127"/>
      <c r="G29" s="75"/>
    </row>
    <row r="30" spans="1:7" x14ac:dyDescent="0.2">
      <c r="A30" s="109" t="s">
        <v>105</v>
      </c>
      <c r="B30" s="118">
        <f>+B19*B15/B4</f>
        <v>3.45</v>
      </c>
      <c r="C30" s="116" t="s">
        <v>70</v>
      </c>
      <c r="E30" s="75"/>
      <c r="F30" s="128"/>
      <c r="G30" s="75"/>
    </row>
    <row r="31" spans="1:7" x14ac:dyDescent="0.2">
      <c r="A31" s="109"/>
      <c r="B31" s="118"/>
      <c r="C31" s="116"/>
      <c r="E31" s="75"/>
      <c r="F31" s="75"/>
      <c r="G31" s="75"/>
    </row>
    <row r="32" spans="1:7" ht="13.5" thickBot="1" x14ac:dyDescent="0.25">
      <c r="A32" s="80" t="s">
        <v>106</v>
      </c>
      <c r="B32" s="125">
        <f>+B30-B29</f>
        <v>0.46941022605849181</v>
      </c>
      <c r="C32" s="111" t="s">
        <v>70</v>
      </c>
      <c r="E32" s="75"/>
      <c r="F32" s="75"/>
      <c r="G32" s="75"/>
    </row>
    <row r="33" spans="1:7" x14ac:dyDescent="0.2">
      <c r="A33" s="6"/>
      <c r="B33" s="118"/>
      <c r="C33" s="6"/>
      <c r="E33" s="75"/>
      <c r="F33" s="75"/>
      <c r="G33" s="75"/>
    </row>
    <row r="34" spans="1:7" x14ac:dyDescent="0.2">
      <c r="A34" s="113" t="s">
        <v>101</v>
      </c>
      <c r="E34" s="129"/>
    </row>
    <row r="35" spans="1:7" ht="13.5" thickBot="1" x14ac:dyDescent="0.25">
      <c r="E35" s="130"/>
      <c r="G35" s="131"/>
    </row>
    <row r="36" spans="1:7" ht="13.5" thickBot="1" x14ac:dyDescent="0.25">
      <c r="A36" s="172"/>
      <c r="B36" t="s">
        <v>75</v>
      </c>
    </row>
    <row r="37" spans="1:7" ht="13.5" thickBot="1" x14ac:dyDescent="0.25">
      <c r="A37" s="107"/>
      <c r="B37" t="s">
        <v>76</v>
      </c>
    </row>
    <row r="39" spans="1:7" ht="51.75" customHeight="1" x14ac:dyDescent="0.2">
      <c r="A39" s="179" t="s">
        <v>102</v>
      </c>
      <c r="B39" s="179"/>
      <c r="C39" s="179"/>
      <c r="D39" s="9"/>
    </row>
    <row r="40" spans="1:7" x14ac:dyDescent="0.2">
      <c r="B40" s="8"/>
      <c r="C40" s="8"/>
    </row>
    <row r="41" spans="1:7" x14ac:dyDescent="0.2">
      <c r="A41" s="9"/>
      <c r="B41" s="1"/>
      <c r="C41" s="8"/>
    </row>
    <row r="42" spans="1:7" x14ac:dyDescent="0.2">
      <c r="A42" s="9"/>
      <c r="B42" s="1"/>
      <c r="C42" s="8"/>
    </row>
    <row r="43" spans="1:7" x14ac:dyDescent="0.2">
      <c r="A43" s="9"/>
      <c r="B43" s="1"/>
      <c r="C43" s="8"/>
    </row>
    <row r="44" spans="1:7" x14ac:dyDescent="0.2">
      <c r="A44" s="9"/>
      <c r="B44" s="1"/>
      <c r="C44" s="8"/>
    </row>
    <row r="45" spans="1:7" x14ac:dyDescent="0.2">
      <c r="A45" s="9"/>
      <c r="B45" s="1"/>
      <c r="C45" s="8"/>
    </row>
    <row r="46" spans="1:7" x14ac:dyDescent="0.2">
      <c r="B46" s="1"/>
    </row>
    <row r="47" spans="1:7" x14ac:dyDescent="0.2">
      <c r="B47" s="1"/>
    </row>
    <row r="48" spans="1:7" x14ac:dyDescent="0.2">
      <c r="B48" s="1"/>
    </row>
    <row r="49" spans="2:2" x14ac:dyDescent="0.2">
      <c r="B49" s="1"/>
    </row>
    <row r="50" spans="2:2" x14ac:dyDescent="0.2">
      <c r="B50" s="1"/>
    </row>
    <row r="51" spans="2:2" x14ac:dyDescent="0.2">
      <c r="B51" s="1"/>
    </row>
    <row r="52" spans="2:2" x14ac:dyDescent="0.2">
      <c r="B52" s="1"/>
    </row>
    <row r="53" spans="2:2" x14ac:dyDescent="0.2">
      <c r="B53" s="1"/>
    </row>
    <row r="54" spans="2:2" x14ac:dyDescent="0.2">
      <c r="B54" s="1"/>
    </row>
    <row r="55" spans="2:2" x14ac:dyDescent="0.2">
      <c r="B55" s="3"/>
    </row>
  </sheetData>
  <mergeCells count="1">
    <mergeCell ref="A39:C39"/>
  </mergeCells>
  <phoneticPr fontId="0" type="noConversion"/>
  <pageMargins left="0.78740157499999996" right="0.78740157499999996" top="0.984251969" bottom="0.984251969" header="0.5" footer="0.5"/>
  <pageSetup paperSize="9" scale="9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DDA0C-55EB-432D-B1C5-E0C44F594A2A}">
  <sheetPr>
    <pageSetUpPr fitToPage="1"/>
  </sheetPr>
  <dimension ref="A1:AA97"/>
  <sheetViews>
    <sheetView tabSelected="1" topLeftCell="A75" workbookViewId="0">
      <selection activeCell="E100" sqref="E100"/>
    </sheetView>
  </sheetViews>
  <sheetFormatPr baseColWidth="10" defaultRowHeight="12.75" x14ac:dyDescent="0.2"/>
  <cols>
    <col min="1" max="1" width="5.42578125" customWidth="1"/>
    <col min="2" max="2" width="38.7109375" customWidth="1"/>
    <col min="3" max="3" width="12.28515625" customWidth="1"/>
    <col min="4" max="4" width="2.5703125" customWidth="1"/>
    <col min="5" max="5" width="7.85546875" customWidth="1"/>
    <col min="6" max="6" width="11.7109375" customWidth="1"/>
    <col min="7" max="7" width="7.28515625" customWidth="1"/>
    <col min="8" max="9" width="9.42578125" customWidth="1"/>
    <col min="10" max="11" width="10.5703125" customWidth="1"/>
    <col min="12" max="13" width="9.42578125" customWidth="1"/>
    <col min="14" max="14" width="4.85546875" customWidth="1"/>
    <col min="15" max="256" width="9.140625" customWidth="1"/>
  </cols>
  <sheetData>
    <row r="1" spans="1:16" s="53" customFormat="1" ht="18" x14ac:dyDescent="0.25">
      <c r="A1" s="54" t="s">
        <v>115</v>
      </c>
      <c r="B1" s="55"/>
      <c r="C1" s="55"/>
      <c r="D1" s="55"/>
      <c r="E1" s="56" t="s">
        <v>3</v>
      </c>
      <c r="F1" s="56"/>
      <c r="G1" s="56"/>
      <c r="H1" s="56"/>
      <c r="I1" s="56"/>
      <c r="J1" s="56"/>
      <c r="K1" s="56"/>
      <c r="L1" s="56"/>
      <c r="M1" s="56"/>
      <c r="N1" s="56"/>
    </row>
    <row r="2" spans="1:16" s="15" customFormat="1" x14ac:dyDescent="0.2">
      <c r="A2" s="57"/>
      <c r="B2" s="57"/>
      <c r="C2" s="57"/>
      <c r="D2" s="57"/>
      <c r="E2" s="57"/>
      <c r="F2" s="57"/>
      <c r="G2" s="57"/>
      <c r="H2" s="57"/>
      <c r="I2" s="57"/>
      <c r="J2" s="57"/>
      <c r="K2" s="57"/>
      <c r="L2" s="57"/>
      <c r="M2" s="57"/>
      <c r="N2" s="57"/>
    </row>
    <row r="3" spans="1:16" x14ac:dyDescent="0.2">
      <c r="A3" s="28"/>
      <c r="B3" s="28"/>
      <c r="C3" s="28"/>
      <c r="D3" s="28"/>
      <c r="E3" s="28"/>
      <c r="F3" s="28"/>
      <c r="G3" s="28"/>
      <c r="H3" s="27"/>
      <c r="I3" s="27"/>
      <c r="J3" s="27"/>
      <c r="K3" s="27"/>
      <c r="L3" s="27"/>
      <c r="M3" s="27"/>
      <c r="N3" s="27"/>
    </row>
    <row r="4" spans="1:16" x14ac:dyDescent="0.2">
      <c r="A4" s="29" t="s">
        <v>4</v>
      </c>
      <c r="B4" s="28"/>
      <c r="C4" s="28"/>
      <c r="D4" s="28"/>
      <c r="E4" s="28"/>
      <c r="F4" s="28"/>
      <c r="G4" s="28"/>
      <c r="H4" s="29" t="s">
        <v>5</v>
      </c>
      <c r="I4" s="27"/>
      <c r="J4" s="27"/>
      <c r="K4" s="27"/>
      <c r="L4" s="27"/>
      <c r="M4" s="27"/>
      <c r="N4" s="27"/>
    </row>
    <row r="5" spans="1:16" x14ac:dyDescent="0.2">
      <c r="A5" s="28"/>
      <c r="B5" s="28" t="s">
        <v>6</v>
      </c>
      <c r="C5" s="32">
        <v>14000</v>
      </c>
      <c r="D5" s="32"/>
      <c r="E5" s="32"/>
      <c r="F5" s="28" t="s">
        <v>0</v>
      </c>
      <c r="G5" s="28"/>
      <c r="H5" s="27"/>
      <c r="I5" s="10"/>
      <c r="J5" s="44" t="s">
        <v>7</v>
      </c>
      <c r="K5" s="27"/>
      <c r="L5" s="27"/>
      <c r="M5" s="27"/>
      <c r="N5" s="27"/>
      <c r="O5">
        <f>+C5*35</f>
        <v>490000</v>
      </c>
    </row>
    <row r="6" spans="1:16" x14ac:dyDescent="0.2">
      <c r="A6" s="28"/>
      <c r="B6" s="28" t="s">
        <v>8</v>
      </c>
      <c r="C6" s="33">
        <v>0.33</v>
      </c>
      <c r="D6" s="33"/>
      <c r="E6" s="33"/>
      <c r="F6" s="28"/>
      <c r="G6" s="28"/>
      <c r="H6" s="27"/>
      <c r="I6" s="34"/>
      <c r="J6" s="44" t="s">
        <v>9</v>
      </c>
      <c r="K6" s="27"/>
      <c r="L6" s="27"/>
      <c r="M6" s="27"/>
      <c r="N6" s="27"/>
    </row>
    <row r="7" spans="1:16" x14ac:dyDescent="0.2">
      <c r="A7" s="28"/>
      <c r="B7" s="28" t="s">
        <v>65</v>
      </c>
      <c r="C7" s="32">
        <f>+C5/C8</f>
        <v>87.5</v>
      </c>
      <c r="D7" s="32"/>
      <c r="E7" s="32"/>
      <c r="F7" s="28" t="s">
        <v>80</v>
      </c>
      <c r="G7" s="28"/>
      <c r="H7" s="27"/>
      <c r="I7" s="38"/>
      <c r="J7" s="44" t="s">
        <v>107</v>
      </c>
      <c r="K7" s="27"/>
      <c r="L7" s="27"/>
      <c r="M7" s="27"/>
      <c r="N7" s="27"/>
    </row>
    <row r="8" spans="1:16" x14ac:dyDescent="0.2">
      <c r="A8" s="28"/>
      <c r="B8" s="28" t="s">
        <v>60</v>
      </c>
      <c r="C8" s="32">
        <v>160</v>
      </c>
      <c r="D8" s="32"/>
      <c r="E8" s="32"/>
      <c r="F8" s="28" t="s">
        <v>61</v>
      </c>
      <c r="G8" s="28"/>
      <c r="H8" s="27"/>
      <c r="I8" s="11"/>
      <c r="J8" s="44" t="s">
        <v>108</v>
      </c>
      <c r="K8" s="27"/>
      <c r="L8" s="27"/>
      <c r="M8" s="27"/>
      <c r="N8" s="27"/>
    </row>
    <row r="9" spans="1:16" x14ac:dyDescent="0.2">
      <c r="A9" s="28"/>
      <c r="B9" s="28"/>
      <c r="C9" s="28"/>
      <c r="D9" s="28"/>
      <c r="E9" s="28"/>
      <c r="F9" s="28"/>
      <c r="G9" s="28"/>
      <c r="H9" s="39"/>
      <c r="I9" s="39"/>
      <c r="J9" s="39"/>
      <c r="K9" s="39"/>
      <c r="L9" s="39"/>
      <c r="M9" s="39"/>
      <c r="N9" s="39"/>
    </row>
    <row r="10" spans="1:16" x14ac:dyDescent="0.2">
      <c r="A10" s="29" t="s">
        <v>78</v>
      </c>
      <c r="B10" s="29"/>
      <c r="C10" s="29" t="s">
        <v>10</v>
      </c>
      <c r="D10" s="29"/>
      <c r="E10" s="30"/>
      <c r="F10" s="29" t="s">
        <v>11</v>
      </c>
      <c r="G10" s="29"/>
      <c r="H10" s="183" t="s">
        <v>12</v>
      </c>
      <c r="I10" s="183"/>
      <c r="J10" s="183" t="s">
        <v>59</v>
      </c>
      <c r="K10" s="183"/>
      <c r="L10" s="183" t="s">
        <v>58</v>
      </c>
      <c r="M10" s="183"/>
      <c r="N10" s="41"/>
    </row>
    <row r="11" spans="1:16" x14ac:dyDescent="0.2">
      <c r="A11" s="28"/>
      <c r="B11" s="28" t="s">
        <v>13</v>
      </c>
      <c r="C11" s="31"/>
      <c r="D11" s="31"/>
      <c r="E11" s="31"/>
      <c r="F11" s="28"/>
      <c r="G11" s="28"/>
      <c r="H11" s="40" t="s">
        <v>14</v>
      </c>
      <c r="I11" s="12" t="s">
        <v>81</v>
      </c>
      <c r="J11" s="40" t="s">
        <v>14</v>
      </c>
      <c r="K11" s="12" t="s">
        <v>81</v>
      </c>
      <c r="L11" s="40" t="s">
        <v>14</v>
      </c>
      <c r="M11" s="12" t="s">
        <v>81</v>
      </c>
      <c r="N11" s="39"/>
    </row>
    <row r="12" spans="1:16" x14ac:dyDescent="0.2">
      <c r="A12" s="27"/>
      <c r="B12" s="27" t="s">
        <v>15</v>
      </c>
      <c r="C12" s="13">
        <v>250000</v>
      </c>
      <c r="D12" s="23"/>
      <c r="E12" s="171" t="s">
        <v>3</v>
      </c>
      <c r="F12" s="4">
        <v>0</v>
      </c>
      <c r="G12" s="27"/>
      <c r="H12" s="42">
        <f>$C12/$C$5</f>
        <v>17.857142857142858</v>
      </c>
      <c r="I12" s="14">
        <f>$C12*(1+$F12)/$C$5</f>
        <v>17.857142857142858</v>
      </c>
      <c r="J12" s="42">
        <f>$C12/$C$8</f>
        <v>1562.5</v>
      </c>
      <c r="K12" s="14">
        <f t="shared" ref="K12:K27" si="0">$C12*(1+$F12)/$C$8</f>
        <v>1562.5</v>
      </c>
      <c r="L12" s="42">
        <f>$J12/12</f>
        <v>130.20833333333334</v>
      </c>
      <c r="M12" s="14">
        <f>$K12/12</f>
        <v>130.20833333333334</v>
      </c>
      <c r="N12" s="42"/>
      <c r="P12" s="4"/>
    </row>
    <row r="13" spans="1:16" x14ac:dyDescent="0.2">
      <c r="A13" s="27"/>
      <c r="B13" s="27" t="s">
        <v>16</v>
      </c>
      <c r="C13" s="13">
        <v>0</v>
      </c>
      <c r="D13" s="23"/>
      <c r="E13" s="24"/>
      <c r="F13" s="4">
        <v>0</v>
      </c>
      <c r="G13" s="27"/>
      <c r="H13" s="42">
        <f t="shared" ref="H13:H27" si="1">$C13/$C$5</f>
        <v>0</v>
      </c>
      <c r="I13" s="14">
        <f t="shared" ref="I13:I27" si="2">$C13*(1+$F13)/$C$5</f>
        <v>0</v>
      </c>
      <c r="J13" s="42">
        <f t="shared" ref="J13:J27" si="3">$C13/$C$8</f>
        <v>0</v>
      </c>
      <c r="K13" s="14">
        <f t="shared" si="0"/>
        <v>0</v>
      </c>
      <c r="L13" s="42">
        <f>$J13/12</f>
        <v>0</v>
      </c>
      <c r="M13" s="14">
        <f t="shared" ref="M13:M35" si="4">$K13/12</f>
        <v>0</v>
      </c>
      <c r="N13" s="42"/>
      <c r="P13" s="4"/>
    </row>
    <row r="14" spans="1:16" x14ac:dyDescent="0.2">
      <c r="A14" s="27"/>
      <c r="B14" s="27" t="s">
        <v>17</v>
      </c>
      <c r="C14" s="13">
        <v>65000</v>
      </c>
      <c r="D14" s="23"/>
      <c r="E14" s="171" t="s">
        <v>3</v>
      </c>
      <c r="F14" s="4">
        <v>0</v>
      </c>
      <c r="G14" s="27"/>
      <c r="H14" s="42">
        <f>$C14/$C$5</f>
        <v>4.6428571428571432</v>
      </c>
      <c r="I14" s="14">
        <f>$C14*(1+$F14)/$C$5</f>
        <v>4.6428571428571432</v>
      </c>
      <c r="J14" s="42">
        <f t="shared" si="3"/>
        <v>406.25</v>
      </c>
      <c r="K14" s="14">
        <f t="shared" si="0"/>
        <v>406.25</v>
      </c>
      <c r="L14" s="42">
        <f>$J14/265</f>
        <v>1.5330188679245282</v>
      </c>
      <c r="M14" s="14">
        <f t="shared" si="4"/>
        <v>33.854166666666664</v>
      </c>
      <c r="N14" s="42"/>
      <c r="P14" s="4"/>
    </row>
    <row r="15" spans="1:16" x14ac:dyDescent="0.2">
      <c r="A15" s="27"/>
      <c r="B15" s="27" t="s">
        <v>1</v>
      </c>
      <c r="C15" s="13"/>
      <c r="D15" s="23"/>
      <c r="E15" s="24"/>
      <c r="F15" s="4">
        <v>0</v>
      </c>
      <c r="G15" s="27"/>
      <c r="H15" s="42">
        <f t="shared" si="1"/>
        <v>0</v>
      </c>
      <c r="I15" s="14">
        <f t="shared" si="2"/>
        <v>0</v>
      </c>
      <c r="J15" s="42">
        <f t="shared" si="3"/>
        <v>0</v>
      </c>
      <c r="K15" s="14">
        <f t="shared" si="0"/>
        <v>0</v>
      </c>
      <c r="L15" s="42">
        <f t="shared" ref="L15:L27" si="5">$J15/12</f>
        <v>0</v>
      </c>
      <c r="M15" s="14">
        <f t="shared" si="4"/>
        <v>0</v>
      </c>
      <c r="N15" s="42"/>
      <c r="P15" s="4"/>
    </row>
    <row r="16" spans="1:16" x14ac:dyDescent="0.2">
      <c r="A16" s="27"/>
      <c r="B16" s="27" t="s">
        <v>79</v>
      </c>
      <c r="C16" s="13">
        <v>30000</v>
      </c>
      <c r="D16" s="23"/>
      <c r="E16" s="24"/>
      <c r="F16" s="4">
        <v>0</v>
      </c>
      <c r="G16" s="27"/>
      <c r="H16" s="42">
        <f t="shared" si="1"/>
        <v>2.1428571428571428</v>
      </c>
      <c r="I16" s="14">
        <f t="shared" si="2"/>
        <v>2.1428571428571428</v>
      </c>
      <c r="J16" s="42">
        <f t="shared" si="3"/>
        <v>187.5</v>
      </c>
      <c r="K16" s="14">
        <f t="shared" si="0"/>
        <v>187.5</v>
      </c>
      <c r="L16" s="42">
        <f t="shared" si="5"/>
        <v>15.625</v>
      </c>
      <c r="M16" s="14">
        <f t="shared" si="4"/>
        <v>15.625</v>
      </c>
      <c r="N16" s="42"/>
      <c r="P16" s="25"/>
    </row>
    <row r="17" spans="1:16" x14ac:dyDescent="0.2">
      <c r="A17" s="27"/>
      <c r="B17" s="27" t="s">
        <v>18</v>
      </c>
      <c r="C17" s="13"/>
      <c r="D17" s="23"/>
      <c r="E17" s="24"/>
      <c r="F17" s="4">
        <v>0</v>
      </c>
      <c r="G17" s="27"/>
      <c r="H17" s="42">
        <f t="shared" si="1"/>
        <v>0</v>
      </c>
      <c r="I17" s="14">
        <f t="shared" si="2"/>
        <v>0</v>
      </c>
      <c r="J17" s="42">
        <f t="shared" si="3"/>
        <v>0</v>
      </c>
      <c r="K17" s="14">
        <f t="shared" si="0"/>
        <v>0</v>
      </c>
      <c r="L17" s="42">
        <f t="shared" si="5"/>
        <v>0</v>
      </c>
      <c r="M17" s="14">
        <f t="shared" si="4"/>
        <v>0</v>
      </c>
      <c r="N17" s="42"/>
      <c r="P17" s="4"/>
    </row>
    <row r="18" spans="1:16" x14ac:dyDescent="0.2">
      <c r="A18" s="27"/>
      <c r="B18" s="27" t="s">
        <v>50</v>
      </c>
      <c r="C18" s="13">
        <v>7000</v>
      </c>
      <c r="D18" s="23"/>
      <c r="E18" s="24"/>
      <c r="F18" s="4">
        <v>0</v>
      </c>
      <c r="G18" s="27"/>
      <c r="H18" s="42">
        <f t="shared" si="1"/>
        <v>0.5</v>
      </c>
      <c r="I18" s="14">
        <f t="shared" si="2"/>
        <v>0.5</v>
      </c>
      <c r="J18" s="42">
        <f t="shared" si="3"/>
        <v>43.75</v>
      </c>
      <c r="K18" s="14">
        <f t="shared" si="0"/>
        <v>43.75</v>
      </c>
      <c r="L18" s="42">
        <f t="shared" si="5"/>
        <v>3.6458333333333335</v>
      </c>
      <c r="M18" s="14">
        <f t="shared" si="4"/>
        <v>3.6458333333333335</v>
      </c>
      <c r="N18" s="42"/>
      <c r="P18" s="4"/>
    </row>
    <row r="19" spans="1:16" x14ac:dyDescent="0.2">
      <c r="A19" s="27"/>
      <c r="B19" s="27" t="s">
        <v>19</v>
      </c>
      <c r="C19" s="13">
        <v>0</v>
      </c>
      <c r="D19" s="23"/>
      <c r="E19" s="24"/>
      <c r="F19" s="4">
        <v>0</v>
      </c>
      <c r="G19" s="27"/>
      <c r="H19" s="42">
        <f t="shared" si="1"/>
        <v>0</v>
      </c>
      <c r="I19" s="14">
        <f t="shared" si="2"/>
        <v>0</v>
      </c>
      <c r="J19" s="42">
        <f t="shared" si="3"/>
        <v>0</v>
      </c>
      <c r="K19" s="14">
        <f t="shared" si="0"/>
        <v>0</v>
      </c>
      <c r="L19" s="42">
        <f t="shared" si="5"/>
        <v>0</v>
      </c>
      <c r="M19" s="14">
        <f t="shared" si="4"/>
        <v>0</v>
      </c>
      <c r="N19" s="42"/>
      <c r="P19" s="4"/>
    </row>
    <row r="20" spans="1:16" x14ac:dyDescent="0.2">
      <c r="A20" s="27"/>
      <c r="B20" s="27" t="s">
        <v>51</v>
      </c>
      <c r="C20" s="13">
        <v>17000</v>
      </c>
      <c r="D20" s="23"/>
      <c r="E20" s="24"/>
      <c r="F20" s="4">
        <v>0.02</v>
      </c>
      <c r="G20" s="27"/>
      <c r="H20" s="42">
        <f t="shared" si="1"/>
        <v>1.2142857142857142</v>
      </c>
      <c r="I20" s="14">
        <f t="shared" si="2"/>
        <v>1.2385714285714287</v>
      </c>
      <c r="J20" s="42">
        <f t="shared" si="3"/>
        <v>106.25</v>
      </c>
      <c r="K20" s="14">
        <f t="shared" si="0"/>
        <v>108.375</v>
      </c>
      <c r="L20" s="42">
        <f t="shared" si="5"/>
        <v>8.8541666666666661</v>
      </c>
      <c r="M20" s="14">
        <f t="shared" si="4"/>
        <v>9.03125</v>
      </c>
      <c r="N20" s="42"/>
      <c r="P20" s="4"/>
    </row>
    <row r="21" spans="1:16" x14ac:dyDescent="0.2">
      <c r="A21" s="27"/>
      <c r="B21" s="27" t="s">
        <v>20</v>
      </c>
      <c r="C21" s="13">
        <v>11000</v>
      </c>
      <c r="D21" s="23"/>
      <c r="E21" s="24"/>
      <c r="F21" s="4">
        <v>0</v>
      </c>
      <c r="G21" s="27"/>
      <c r="H21" s="42">
        <f t="shared" si="1"/>
        <v>0.7857142857142857</v>
      </c>
      <c r="I21" s="14">
        <f t="shared" si="2"/>
        <v>0.7857142857142857</v>
      </c>
      <c r="J21" s="42">
        <f t="shared" si="3"/>
        <v>68.75</v>
      </c>
      <c r="K21" s="14">
        <f t="shared" si="0"/>
        <v>68.75</v>
      </c>
      <c r="L21" s="42">
        <f t="shared" si="5"/>
        <v>5.729166666666667</v>
      </c>
      <c r="M21" s="14">
        <f t="shared" si="4"/>
        <v>5.729166666666667</v>
      </c>
      <c r="N21" s="42"/>
      <c r="P21" s="4"/>
    </row>
    <row r="22" spans="1:16" x14ac:dyDescent="0.2">
      <c r="A22" s="27"/>
      <c r="B22" s="27" t="s">
        <v>21</v>
      </c>
      <c r="C22" s="13">
        <v>16000</v>
      </c>
      <c r="D22" s="23"/>
      <c r="E22" s="24"/>
      <c r="F22" s="4">
        <v>0.02</v>
      </c>
      <c r="G22" s="27"/>
      <c r="H22" s="42">
        <f t="shared" si="1"/>
        <v>1.1428571428571428</v>
      </c>
      <c r="I22" s="14">
        <f t="shared" si="2"/>
        <v>1.1657142857142857</v>
      </c>
      <c r="J22" s="42">
        <f t="shared" si="3"/>
        <v>100</v>
      </c>
      <c r="K22" s="14">
        <f t="shared" si="0"/>
        <v>102</v>
      </c>
      <c r="L22" s="42">
        <f t="shared" si="5"/>
        <v>8.3333333333333339</v>
      </c>
      <c r="M22" s="14">
        <f t="shared" si="4"/>
        <v>8.5</v>
      </c>
      <c r="N22" s="42"/>
      <c r="P22" s="4"/>
    </row>
    <row r="23" spans="1:16" x14ac:dyDescent="0.2">
      <c r="A23" s="27"/>
      <c r="B23" s="27" t="s">
        <v>22</v>
      </c>
      <c r="C23" s="13">
        <v>0</v>
      </c>
      <c r="D23" s="23"/>
      <c r="E23" s="24"/>
      <c r="F23" s="4">
        <v>0</v>
      </c>
      <c r="G23" s="27"/>
      <c r="H23" s="42">
        <f t="shared" si="1"/>
        <v>0</v>
      </c>
      <c r="I23" s="14">
        <f t="shared" si="2"/>
        <v>0</v>
      </c>
      <c r="J23" s="42">
        <f t="shared" si="3"/>
        <v>0</v>
      </c>
      <c r="K23" s="14">
        <f t="shared" si="0"/>
        <v>0</v>
      </c>
      <c r="L23" s="42">
        <f t="shared" si="5"/>
        <v>0</v>
      </c>
      <c r="M23" s="14">
        <f t="shared" si="4"/>
        <v>0</v>
      </c>
      <c r="N23" s="42"/>
      <c r="P23" s="4"/>
    </row>
    <row r="24" spans="1:16" x14ac:dyDescent="0.2">
      <c r="A24" s="27"/>
      <c r="B24" s="27" t="s">
        <v>23</v>
      </c>
      <c r="C24" s="13">
        <v>8000</v>
      </c>
      <c r="D24" s="23"/>
      <c r="E24" s="24"/>
      <c r="F24" s="4">
        <v>0</v>
      </c>
      <c r="G24" s="27"/>
      <c r="H24" s="42">
        <f t="shared" si="1"/>
        <v>0.5714285714285714</v>
      </c>
      <c r="I24" s="14">
        <f t="shared" si="2"/>
        <v>0.5714285714285714</v>
      </c>
      <c r="J24" s="42">
        <f t="shared" si="3"/>
        <v>50</v>
      </c>
      <c r="K24" s="14">
        <f t="shared" si="0"/>
        <v>50</v>
      </c>
      <c r="L24" s="42">
        <f t="shared" si="5"/>
        <v>4.166666666666667</v>
      </c>
      <c r="M24" s="14">
        <f t="shared" si="4"/>
        <v>4.166666666666667</v>
      </c>
      <c r="N24" s="42"/>
      <c r="P24" s="4"/>
    </row>
    <row r="25" spans="1:16" x14ac:dyDescent="0.2">
      <c r="A25" s="27"/>
      <c r="B25" s="27" t="s">
        <v>52</v>
      </c>
      <c r="C25" s="13">
        <v>17500</v>
      </c>
      <c r="D25" s="23"/>
      <c r="E25" s="24"/>
      <c r="F25" s="4">
        <v>0</v>
      </c>
      <c r="G25" s="27"/>
      <c r="H25" s="42">
        <f t="shared" si="1"/>
        <v>1.25</v>
      </c>
      <c r="I25" s="14">
        <f t="shared" si="2"/>
        <v>1.25</v>
      </c>
      <c r="J25" s="42">
        <f t="shared" si="3"/>
        <v>109.375</v>
      </c>
      <c r="K25" s="14">
        <f t="shared" si="0"/>
        <v>109.375</v>
      </c>
      <c r="L25" s="42">
        <f t="shared" si="5"/>
        <v>9.1145833333333339</v>
      </c>
      <c r="M25" s="14">
        <f t="shared" si="4"/>
        <v>9.1145833333333339</v>
      </c>
      <c r="N25" s="42"/>
      <c r="P25" s="4"/>
    </row>
    <row r="26" spans="1:16" x14ac:dyDescent="0.2">
      <c r="A26" s="27"/>
      <c r="B26" s="27" t="s">
        <v>24</v>
      </c>
      <c r="C26" s="13">
        <v>13000</v>
      </c>
      <c r="D26" s="23"/>
      <c r="E26" s="24"/>
      <c r="F26" s="4">
        <v>0</v>
      </c>
      <c r="G26" s="27"/>
      <c r="H26" s="42">
        <f t="shared" si="1"/>
        <v>0.9285714285714286</v>
      </c>
      <c r="I26" s="14">
        <f t="shared" si="2"/>
        <v>0.9285714285714286</v>
      </c>
      <c r="J26" s="42">
        <f t="shared" si="3"/>
        <v>81.25</v>
      </c>
      <c r="K26" s="14">
        <f t="shared" si="0"/>
        <v>81.25</v>
      </c>
      <c r="L26" s="42">
        <f t="shared" si="5"/>
        <v>6.770833333333333</v>
      </c>
      <c r="M26" s="14">
        <f t="shared" si="4"/>
        <v>6.770833333333333</v>
      </c>
      <c r="N26" s="42"/>
      <c r="P26" s="4"/>
    </row>
    <row r="27" spans="1:16" x14ac:dyDescent="0.2">
      <c r="A27" s="27"/>
      <c r="B27" s="27" t="s">
        <v>53</v>
      </c>
      <c r="C27" s="13">
        <v>2500</v>
      </c>
      <c r="D27" s="23"/>
      <c r="E27" s="24"/>
      <c r="F27" s="4">
        <v>0.05</v>
      </c>
      <c r="G27" s="27"/>
      <c r="H27" s="42">
        <f t="shared" si="1"/>
        <v>0.17857142857142858</v>
      </c>
      <c r="I27" s="14">
        <f t="shared" si="2"/>
        <v>0.1875</v>
      </c>
      <c r="J27" s="42">
        <f t="shared" si="3"/>
        <v>15.625</v>
      </c>
      <c r="K27" s="14">
        <f t="shared" si="0"/>
        <v>16.40625</v>
      </c>
      <c r="L27" s="42">
        <f t="shared" si="5"/>
        <v>1.3020833333333333</v>
      </c>
      <c r="M27" s="14">
        <f t="shared" si="4"/>
        <v>1.3671875</v>
      </c>
      <c r="N27" s="42"/>
      <c r="P27" s="4"/>
    </row>
    <row r="28" spans="1:16" x14ac:dyDescent="0.2">
      <c r="A28" s="27"/>
      <c r="B28" s="27"/>
      <c r="C28" s="13"/>
      <c r="D28" s="23"/>
      <c r="E28" s="24"/>
      <c r="F28" s="4"/>
      <c r="G28" s="27"/>
      <c r="H28" s="42"/>
      <c r="I28" s="14"/>
      <c r="J28" s="42"/>
      <c r="K28" s="14"/>
      <c r="L28" s="42"/>
      <c r="M28" s="14"/>
      <c r="N28" s="42"/>
      <c r="P28" s="4"/>
    </row>
    <row r="29" spans="1:16" x14ac:dyDescent="0.2">
      <c r="A29" s="29"/>
      <c r="B29" s="29" t="s">
        <v>116</v>
      </c>
      <c r="C29" s="173"/>
      <c r="D29" s="174"/>
      <c r="E29" s="175"/>
      <c r="F29" s="176"/>
      <c r="G29" s="29"/>
      <c r="H29" s="43">
        <f t="shared" ref="H29:M29" si="6">+SUM(H12:H27)</f>
        <v>31.214285714285712</v>
      </c>
      <c r="I29" s="17">
        <f t="shared" si="6"/>
        <v>31.270357142857144</v>
      </c>
      <c r="J29" s="43">
        <f t="shared" si="6"/>
        <v>2731.25</v>
      </c>
      <c r="K29" s="17">
        <f t="shared" si="6"/>
        <v>2736.15625</v>
      </c>
      <c r="L29" s="43">
        <f t="shared" si="6"/>
        <v>195.28301886792457</v>
      </c>
      <c r="M29" s="17">
        <f t="shared" si="6"/>
        <v>228.01302083333334</v>
      </c>
      <c r="N29" s="42"/>
      <c r="P29" s="4"/>
    </row>
    <row r="30" spans="1:16" x14ac:dyDescent="0.2">
      <c r="A30" s="27"/>
      <c r="B30" s="27"/>
      <c r="C30" s="13"/>
      <c r="D30" s="23"/>
      <c r="E30" s="24"/>
      <c r="F30" s="4"/>
      <c r="G30" s="27"/>
      <c r="H30" s="42"/>
      <c r="I30" s="14"/>
      <c r="J30" s="42"/>
      <c r="K30" s="14"/>
      <c r="L30" s="42"/>
      <c r="M30" s="14"/>
      <c r="N30" s="42"/>
      <c r="P30" s="4"/>
    </row>
    <row r="31" spans="1:16" x14ac:dyDescent="0.2">
      <c r="A31" s="27"/>
      <c r="B31" s="15" t="s">
        <v>56</v>
      </c>
      <c r="C31" s="133">
        <v>38000</v>
      </c>
      <c r="F31" s="4">
        <v>0.1</v>
      </c>
      <c r="G31" s="27"/>
      <c r="H31" s="42">
        <f>$C31/$C$5</f>
        <v>2.7142857142857144</v>
      </c>
      <c r="I31" s="14">
        <f>$C31*(1+$F31)/$C$5</f>
        <v>2.9857142857142858</v>
      </c>
      <c r="J31" s="42">
        <f>$C31/$C$8</f>
        <v>237.5</v>
      </c>
      <c r="K31" s="14">
        <f>$C31*(1+$F31)/$C$8</f>
        <v>261.25</v>
      </c>
      <c r="L31" s="42">
        <f>$J31/12</f>
        <v>19.791666666666668</v>
      </c>
      <c r="M31" s="14">
        <f t="shared" si="4"/>
        <v>21.770833333333332</v>
      </c>
      <c r="N31" s="42"/>
    </row>
    <row r="32" spans="1:16" x14ac:dyDescent="0.2">
      <c r="A32" s="27"/>
      <c r="B32" s="15" t="s">
        <v>54</v>
      </c>
      <c r="C32" s="133">
        <v>40000</v>
      </c>
      <c r="F32" s="4">
        <v>0.05</v>
      </c>
      <c r="G32" s="27"/>
      <c r="H32" s="42">
        <f>$C32/$C$5</f>
        <v>2.8571428571428572</v>
      </c>
      <c r="I32" s="14">
        <f>$C32*(1+$F32)/$C$5</f>
        <v>3</v>
      </c>
      <c r="J32" s="42">
        <f>$C32/$C$8</f>
        <v>250</v>
      </c>
      <c r="K32" s="14">
        <f>$C32*(1+$F32)/$C$8</f>
        <v>262.5</v>
      </c>
      <c r="L32" s="42">
        <f>$J32/12</f>
        <v>20.833333333333332</v>
      </c>
      <c r="M32" s="14">
        <f t="shared" si="4"/>
        <v>21.875</v>
      </c>
      <c r="N32" s="42"/>
    </row>
    <row r="33" spans="1:14" x14ac:dyDescent="0.2">
      <c r="A33" s="27"/>
      <c r="B33" s="15" t="s">
        <v>55</v>
      </c>
      <c r="C33" s="22">
        <v>4000</v>
      </c>
      <c r="F33" s="4">
        <v>0.05</v>
      </c>
      <c r="G33" s="27"/>
      <c r="H33" s="42">
        <f>$C33/$C$5</f>
        <v>0.2857142857142857</v>
      </c>
      <c r="I33" s="14">
        <f>$C33*(1+$F33)/$C$5</f>
        <v>0.3</v>
      </c>
      <c r="J33" s="42">
        <f>$C33/$C$8</f>
        <v>25</v>
      </c>
      <c r="K33" s="14">
        <f>$C33*(1+$F33)/$C$8</f>
        <v>26.25</v>
      </c>
      <c r="L33" s="42">
        <f>$J33/12</f>
        <v>2.0833333333333335</v>
      </c>
      <c r="M33" s="14">
        <f t="shared" si="4"/>
        <v>2.1875</v>
      </c>
      <c r="N33" s="42"/>
    </row>
    <row r="34" spans="1:14" x14ac:dyDescent="0.2">
      <c r="A34" s="27"/>
      <c r="B34" s="15" t="s">
        <v>25</v>
      </c>
      <c r="C34" s="13">
        <v>1500</v>
      </c>
      <c r="D34" s="23"/>
      <c r="F34" s="4">
        <v>0.05</v>
      </c>
      <c r="G34" s="27"/>
      <c r="H34" s="42">
        <f>$C34/$C$5</f>
        <v>0.10714285714285714</v>
      </c>
      <c r="I34" s="14">
        <f>$C34*(1+$F34)/$C$5</f>
        <v>0.1125</v>
      </c>
      <c r="J34" s="42">
        <f>$C34/$C$8</f>
        <v>9.375</v>
      </c>
      <c r="K34" s="14">
        <f>$C34*(1+$F34)/$C$8</f>
        <v>9.84375</v>
      </c>
      <c r="L34" s="42">
        <f>$J34/12</f>
        <v>0.78125</v>
      </c>
      <c r="M34" s="14">
        <f t="shared" si="4"/>
        <v>0.8203125</v>
      </c>
      <c r="N34" s="42"/>
    </row>
    <row r="35" spans="1:14" x14ac:dyDescent="0.2">
      <c r="A35" s="27"/>
      <c r="B35" s="15" t="s">
        <v>26</v>
      </c>
      <c r="C35" s="13">
        <v>2000</v>
      </c>
      <c r="D35" s="2"/>
      <c r="F35" s="4">
        <v>0</v>
      </c>
      <c r="G35" s="27"/>
      <c r="H35" s="42">
        <f>$C35/$C$5</f>
        <v>0.14285714285714285</v>
      </c>
      <c r="I35" s="14">
        <f>$C35*(1+$F35)/$C$5</f>
        <v>0.14285714285714285</v>
      </c>
      <c r="J35" s="42">
        <f>$C35/$C$8</f>
        <v>12.5</v>
      </c>
      <c r="K35" s="14">
        <f>$C35*(1+$F35)/$C$8</f>
        <v>12.5</v>
      </c>
      <c r="L35" s="42">
        <f>$J35/12</f>
        <v>1.0416666666666667</v>
      </c>
      <c r="M35" s="14">
        <f t="shared" si="4"/>
        <v>1.0416666666666667</v>
      </c>
      <c r="N35" s="42"/>
    </row>
    <row r="36" spans="1:14" x14ac:dyDescent="0.2">
      <c r="A36" s="27"/>
      <c r="B36" s="27"/>
      <c r="C36" s="35"/>
      <c r="D36" s="35"/>
      <c r="E36" s="35"/>
      <c r="F36" s="27"/>
      <c r="G36" s="27"/>
      <c r="H36" s="42"/>
      <c r="I36" s="14"/>
      <c r="J36" s="42"/>
      <c r="K36" s="14"/>
      <c r="L36" s="42"/>
      <c r="M36" s="14"/>
      <c r="N36" s="42"/>
    </row>
    <row r="37" spans="1:14" x14ac:dyDescent="0.2">
      <c r="A37" s="27"/>
      <c r="B37" s="29" t="s">
        <v>117</v>
      </c>
      <c r="C37" s="47">
        <f>SUM(C12:C35)*0.9</f>
        <v>470250</v>
      </c>
      <c r="D37" s="47"/>
      <c r="E37" s="112"/>
      <c r="F37" s="16">
        <f>C37+SUMPRODUCT(C12:C35,F12:F35)</f>
        <v>477110</v>
      </c>
      <c r="G37" s="134"/>
      <c r="H37" s="43">
        <f t="shared" ref="H37:M37" si="7">+H29+SUM(H31:H35)</f>
        <v>37.321428571428569</v>
      </c>
      <c r="I37" s="17">
        <f t="shared" si="7"/>
        <v>37.811428571428571</v>
      </c>
      <c r="J37" s="43">
        <f t="shared" si="7"/>
        <v>3265.625</v>
      </c>
      <c r="K37" s="17">
        <f t="shared" si="7"/>
        <v>3308.5</v>
      </c>
      <c r="L37" s="43">
        <f t="shared" si="7"/>
        <v>239.81426886792457</v>
      </c>
      <c r="M37" s="17">
        <f t="shared" si="7"/>
        <v>275.70833333333331</v>
      </c>
      <c r="N37" s="43"/>
    </row>
    <row r="38" spans="1:14" x14ac:dyDescent="0.2">
      <c r="A38" s="27"/>
      <c r="B38" s="29"/>
      <c r="C38" s="35"/>
      <c r="D38" s="35"/>
      <c r="E38" s="35"/>
      <c r="F38" s="27"/>
      <c r="G38" s="27"/>
      <c r="H38" s="42"/>
      <c r="I38" s="42"/>
      <c r="J38" s="42"/>
      <c r="K38" s="42"/>
      <c r="L38" s="42"/>
      <c r="M38" s="42"/>
      <c r="N38" s="42"/>
    </row>
    <row r="39" spans="1:14" x14ac:dyDescent="0.2">
      <c r="A39" s="27"/>
      <c r="B39" s="18" t="s">
        <v>27</v>
      </c>
      <c r="C39" s="19"/>
      <c r="D39" s="19"/>
      <c r="E39" s="19"/>
      <c r="F39" s="19">
        <v>3000</v>
      </c>
      <c r="G39" s="21"/>
      <c r="H39" s="14"/>
      <c r="I39" s="14"/>
      <c r="J39" s="14"/>
      <c r="K39" s="14"/>
      <c r="L39" s="14"/>
      <c r="M39" s="14"/>
      <c r="N39" s="42"/>
    </row>
    <row r="40" spans="1:14" x14ac:dyDescent="0.2">
      <c r="A40" s="27"/>
      <c r="B40" s="29"/>
      <c r="C40" s="35"/>
      <c r="D40" s="35"/>
      <c r="E40" s="35"/>
      <c r="F40" s="27" t="s">
        <v>66</v>
      </c>
      <c r="G40" s="27"/>
      <c r="H40" s="42"/>
      <c r="I40" s="42"/>
      <c r="J40" s="42"/>
      <c r="K40" s="42"/>
      <c r="L40" s="42"/>
      <c r="M40" s="42"/>
      <c r="N40" s="42"/>
    </row>
    <row r="41" spans="1:14" x14ac:dyDescent="0.2">
      <c r="A41" s="29" t="s">
        <v>28</v>
      </c>
      <c r="B41" s="29"/>
      <c r="C41" s="35"/>
      <c r="D41" s="35"/>
      <c r="E41" s="35"/>
      <c r="F41" s="27"/>
      <c r="G41" s="27"/>
      <c r="H41" s="183" t="s">
        <v>82</v>
      </c>
      <c r="I41" s="183"/>
      <c r="J41" s="183" t="s">
        <v>84</v>
      </c>
      <c r="K41" s="183"/>
      <c r="L41" s="183"/>
      <c r="M41" s="183"/>
      <c r="N41" s="42"/>
    </row>
    <row r="42" spans="1:14" x14ac:dyDescent="0.2">
      <c r="A42" s="27"/>
      <c r="B42" s="28"/>
      <c r="C42" s="35"/>
      <c r="D42" s="35"/>
      <c r="E42" s="35"/>
      <c r="F42" s="27"/>
      <c r="G42" s="27"/>
      <c r="H42" s="40" t="s">
        <v>14</v>
      </c>
      <c r="I42" s="12" t="s">
        <v>81</v>
      </c>
      <c r="J42" s="40" t="s">
        <v>83</v>
      </c>
      <c r="K42" s="12" t="s">
        <v>81</v>
      </c>
      <c r="L42" s="40"/>
      <c r="M42" s="40"/>
      <c r="N42" s="42"/>
    </row>
    <row r="43" spans="1:14" x14ac:dyDescent="0.2">
      <c r="A43" s="27"/>
      <c r="B43" s="27" t="s">
        <v>29</v>
      </c>
      <c r="C43" s="13">
        <v>0</v>
      </c>
      <c r="D43" s="13"/>
      <c r="E43" s="13"/>
      <c r="F43" s="27"/>
      <c r="G43" s="27"/>
      <c r="H43" s="42">
        <f t="shared" ref="H43:H55" si="8">$C43/$C$5</f>
        <v>0</v>
      </c>
      <c r="I43" s="14"/>
      <c r="J43" s="42">
        <f t="shared" ref="J43:J55" si="9">$C43/$C$8</f>
        <v>0</v>
      </c>
      <c r="K43" s="14"/>
      <c r="L43" s="42"/>
      <c r="M43" s="42"/>
      <c r="N43" s="42"/>
    </row>
    <row r="44" spans="1:14" x14ac:dyDescent="0.2">
      <c r="A44" s="27"/>
      <c r="B44" s="27" t="s">
        <v>30</v>
      </c>
      <c r="C44" s="13">
        <v>10000</v>
      </c>
      <c r="D44" s="13"/>
      <c r="E44" s="13"/>
      <c r="F44" s="27"/>
      <c r="G44" s="27"/>
      <c r="H44" s="42">
        <f>$C44/$C$5</f>
        <v>0.7142857142857143</v>
      </c>
      <c r="I44" s="14"/>
      <c r="J44" s="42">
        <f>$C44/$C$8</f>
        <v>62.5</v>
      </c>
      <c r="K44" s="14"/>
      <c r="L44" s="42"/>
      <c r="M44" s="42"/>
      <c r="N44" s="42"/>
    </row>
    <row r="45" spans="1:14" x14ac:dyDescent="0.2">
      <c r="A45" s="27"/>
      <c r="B45" s="27" t="s">
        <v>31</v>
      </c>
      <c r="C45" s="13">
        <v>30000</v>
      </c>
      <c r="D45" s="13"/>
      <c r="E45" s="13"/>
      <c r="F45" s="27"/>
      <c r="G45" s="27"/>
      <c r="H45" s="42">
        <f t="shared" si="8"/>
        <v>2.1428571428571428</v>
      </c>
      <c r="I45" s="14"/>
      <c r="J45" s="42">
        <f t="shared" si="9"/>
        <v>187.5</v>
      </c>
      <c r="K45" s="14"/>
      <c r="L45" s="42"/>
      <c r="M45" s="42"/>
      <c r="N45" s="42"/>
    </row>
    <row r="46" spans="1:14" x14ac:dyDescent="0.2">
      <c r="A46" s="27"/>
      <c r="B46" s="27" t="s">
        <v>32</v>
      </c>
      <c r="C46" s="13">
        <v>50000</v>
      </c>
      <c r="D46" s="13"/>
      <c r="E46" s="13"/>
      <c r="F46" s="27"/>
      <c r="G46" s="27"/>
      <c r="H46" s="42">
        <f t="shared" si="8"/>
        <v>3.5714285714285716</v>
      </c>
      <c r="I46" s="14"/>
      <c r="J46" s="42">
        <f t="shared" si="9"/>
        <v>312.5</v>
      </c>
      <c r="K46" s="14"/>
      <c r="L46" s="42"/>
      <c r="M46" s="42"/>
      <c r="N46" s="42"/>
    </row>
    <row r="47" spans="1:14" x14ac:dyDescent="0.2">
      <c r="A47" s="27"/>
      <c r="B47" s="27" t="s">
        <v>33</v>
      </c>
      <c r="C47" s="13">
        <v>40000</v>
      </c>
      <c r="D47" s="13"/>
      <c r="E47" s="13"/>
      <c r="F47" s="27"/>
      <c r="G47" s="27"/>
      <c r="H47" s="42">
        <f t="shared" si="8"/>
        <v>2.8571428571428572</v>
      </c>
      <c r="I47" s="14"/>
      <c r="J47" s="42">
        <f t="shared" si="9"/>
        <v>250</v>
      </c>
      <c r="K47" s="14"/>
      <c r="L47" s="42"/>
      <c r="M47" s="42"/>
      <c r="N47" s="42"/>
    </row>
    <row r="48" spans="1:14" x14ac:dyDescent="0.2">
      <c r="A48" s="27"/>
      <c r="B48" s="27" t="s">
        <v>34</v>
      </c>
      <c r="C48" s="13">
        <v>60000</v>
      </c>
      <c r="D48" s="13"/>
      <c r="E48" s="13"/>
      <c r="F48" s="27"/>
      <c r="G48" s="27"/>
      <c r="H48" s="42">
        <f t="shared" si="8"/>
        <v>4.2857142857142856</v>
      </c>
      <c r="I48" s="14"/>
      <c r="J48" s="42">
        <f t="shared" si="9"/>
        <v>375</v>
      </c>
      <c r="K48" s="14"/>
      <c r="L48" s="42"/>
      <c r="M48" s="42"/>
      <c r="N48" s="42"/>
    </row>
    <row r="49" spans="1:14" x14ac:dyDescent="0.2">
      <c r="A49" s="27"/>
      <c r="B49" s="27" t="s">
        <v>35</v>
      </c>
      <c r="C49" s="13">
        <v>5000</v>
      </c>
      <c r="D49" s="13"/>
      <c r="E49" s="13"/>
      <c r="F49" s="27"/>
      <c r="G49" s="27"/>
      <c r="H49" s="42">
        <f t="shared" si="8"/>
        <v>0.35714285714285715</v>
      </c>
      <c r="I49" s="14"/>
      <c r="J49" s="42">
        <f t="shared" si="9"/>
        <v>31.25</v>
      </c>
      <c r="K49" s="14"/>
      <c r="L49" s="42"/>
      <c r="M49" s="42"/>
      <c r="N49" s="42"/>
    </row>
    <row r="50" spans="1:14" x14ac:dyDescent="0.2">
      <c r="A50" s="27"/>
      <c r="B50" s="27" t="s">
        <v>36</v>
      </c>
      <c r="C50" s="13">
        <v>10000</v>
      </c>
      <c r="D50" s="13"/>
      <c r="E50" s="13"/>
      <c r="F50" s="27"/>
      <c r="G50" s="27"/>
      <c r="H50" s="42">
        <f t="shared" si="8"/>
        <v>0.7142857142857143</v>
      </c>
      <c r="I50" s="14"/>
      <c r="J50" s="42">
        <f t="shared" si="9"/>
        <v>62.5</v>
      </c>
      <c r="K50" s="14"/>
      <c r="L50" s="42"/>
      <c r="M50" s="42"/>
      <c r="N50" s="42"/>
    </row>
    <row r="51" spans="1:14" x14ac:dyDescent="0.2">
      <c r="A51" s="27"/>
      <c r="B51" s="27" t="s">
        <v>37</v>
      </c>
      <c r="C51" s="13">
        <v>10000</v>
      </c>
      <c r="D51" s="13"/>
      <c r="E51" s="13"/>
      <c r="F51" s="27"/>
      <c r="G51" s="27"/>
      <c r="H51" s="42">
        <f t="shared" si="8"/>
        <v>0.7142857142857143</v>
      </c>
      <c r="I51" s="14"/>
      <c r="J51" s="42">
        <f t="shared" si="9"/>
        <v>62.5</v>
      </c>
      <c r="K51" s="14"/>
      <c r="L51" s="42"/>
      <c r="M51" s="42"/>
      <c r="N51" s="42"/>
    </row>
    <row r="52" spans="1:14" x14ac:dyDescent="0.2">
      <c r="A52" s="27"/>
      <c r="B52" s="27" t="s">
        <v>38</v>
      </c>
      <c r="C52" s="13">
        <v>5000</v>
      </c>
      <c r="D52" s="13"/>
      <c r="E52" s="13"/>
      <c r="F52" s="27"/>
      <c r="G52" s="27"/>
      <c r="H52" s="42">
        <f t="shared" si="8"/>
        <v>0.35714285714285715</v>
      </c>
      <c r="I52" s="14"/>
      <c r="J52" s="42">
        <f t="shared" si="9"/>
        <v>31.25</v>
      </c>
      <c r="K52" s="14"/>
      <c r="L52" s="42"/>
      <c r="M52" s="42"/>
      <c r="N52" s="42"/>
    </row>
    <row r="53" spans="1:14" x14ac:dyDescent="0.2">
      <c r="A53" s="27"/>
      <c r="B53" s="15" t="s">
        <v>26</v>
      </c>
      <c r="C53" s="13"/>
      <c r="D53" s="13"/>
      <c r="E53" s="13"/>
      <c r="F53" s="27"/>
      <c r="G53" s="27"/>
      <c r="H53" s="42">
        <f t="shared" si="8"/>
        <v>0</v>
      </c>
      <c r="I53" s="14"/>
      <c r="J53" s="42">
        <f t="shared" si="9"/>
        <v>0</v>
      </c>
      <c r="K53" s="14"/>
      <c r="L53" s="42"/>
      <c r="M53" s="42"/>
      <c r="N53" s="42"/>
    </row>
    <row r="54" spans="1:14" x14ac:dyDescent="0.2">
      <c r="A54" s="27"/>
      <c r="B54" s="15"/>
      <c r="C54" s="13"/>
      <c r="D54" s="13"/>
      <c r="E54" s="13"/>
      <c r="F54" s="27"/>
      <c r="G54" s="27"/>
      <c r="H54" s="42">
        <f t="shared" si="8"/>
        <v>0</v>
      </c>
      <c r="I54" s="14"/>
      <c r="J54" s="42">
        <f t="shared" si="9"/>
        <v>0</v>
      </c>
      <c r="K54" s="14"/>
      <c r="L54" s="42"/>
      <c r="M54" s="42"/>
      <c r="N54" s="42"/>
    </row>
    <row r="55" spans="1:14" x14ac:dyDescent="0.2">
      <c r="A55" s="27"/>
      <c r="B55" s="15"/>
      <c r="C55" s="13"/>
      <c r="D55" s="13"/>
      <c r="E55" s="13"/>
      <c r="F55" s="27"/>
      <c r="G55" s="27"/>
      <c r="H55" s="42">
        <f t="shared" si="8"/>
        <v>0</v>
      </c>
      <c r="I55" s="14"/>
      <c r="J55" s="42">
        <f t="shared" si="9"/>
        <v>0</v>
      </c>
      <c r="K55" s="14"/>
      <c r="L55" s="42"/>
      <c r="M55" s="42"/>
      <c r="N55" s="42"/>
    </row>
    <row r="56" spans="1:14" x14ac:dyDescent="0.2">
      <c r="A56" s="27"/>
      <c r="B56" s="27"/>
      <c r="C56" s="35"/>
      <c r="D56" s="35"/>
      <c r="E56" s="35"/>
      <c r="F56" s="27"/>
      <c r="G56" s="27"/>
      <c r="H56" s="42"/>
      <c r="I56" s="14"/>
      <c r="J56" s="42"/>
      <c r="K56" s="14"/>
      <c r="L56" s="42"/>
      <c r="M56" s="42"/>
      <c r="N56" s="42"/>
    </row>
    <row r="57" spans="1:14" x14ac:dyDescent="0.2">
      <c r="A57" s="27"/>
      <c r="B57" s="29" t="s">
        <v>39</v>
      </c>
      <c r="C57" s="47">
        <f>SUM(C43:C55)</f>
        <v>220000</v>
      </c>
      <c r="D57" s="47"/>
      <c r="E57" s="47"/>
      <c r="F57" s="29"/>
      <c r="G57" s="29"/>
      <c r="H57" s="43">
        <f>SUM(H43:H55)</f>
        <v>15.714285714285715</v>
      </c>
      <c r="I57" s="17"/>
      <c r="J57" s="43">
        <f>SUM(J43:J55)</f>
        <v>1375</v>
      </c>
      <c r="K57" s="17"/>
      <c r="L57" s="43"/>
      <c r="M57" s="43"/>
      <c r="N57" s="43"/>
    </row>
    <row r="58" spans="1:14" x14ac:dyDescent="0.2">
      <c r="A58" s="27"/>
      <c r="B58" s="27"/>
      <c r="C58" s="35"/>
      <c r="D58" s="35"/>
      <c r="E58" s="35"/>
      <c r="F58" s="27"/>
      <c r="G58" s="27"/>
      <c r="H58" s="42"/>
      <c r="I58" s="14"/>
      <c r="J58" s="42"/>
      <c r="K58" s="14"/>
      <c r="L58" s="42"/>
      <c r="M58" s="42"/>
      <c r="N58" s="42"/>
    </row>
    <row r="59" spans="1:14" x14ac:dyDescent="0.2">
      <c r="A59" s="27"/>
      <c r="B59" s="18" t="s">
        <v>40</v>
      </c>
      <c r="C59" s="19"/>
      <c r="D59" s="19"/>
      <c r="E59" s="19"/>
      <c r="F59" s="19">
        <v>20000</v>
      </c>
      <c r="G59" s="21"/>
      <c r="H59" s="14"/>
      <c r="I59" s="14">
        <f>$F59/$C$5</f>
        <v>1.4285714285714286</v>
      </c>
      <c r="J59" s="14"/>
      <c r="K59" s="14">
        <f>$F59/$C$8</f>
        <v>125</v>
      </c>
      <c r="L59" s="14"/>
      <c r="M59" s="14" t="s">
        <v>3</v>
      </c>
      <c r="N59" s="42"/>
    </row>
    <row r="60" spans="1:14" x14ac:dyDescent="0.2">
      <c r="A60" s="27"/>
      <c r="B60" s="27"/>
      <c r="C60" s="35"/>
      <c r="D60" s="35"/>
      <c r="E60" s="35"/>
      <c r="F60" s="27"/>
      <c r="G60" s="27"/>
      <c r="H60" s="42"/>
      <c r="I60" s="42"/>
      <c r="J60" s="42"/>
      <c r="K60" s="42"/>
      <c r="L60" s="42"/>
      <c r="M60" s="42"/>
      <c r="N60" s="42"/>
    </row>
    <row r="61" spans="1:14" x14ac:dyDescent="0.2">
      <c r="A61" s="27"/>
      <c r="B61" s="27"/>
      <c r="C61" s="35"/>
      <c r="D61" s="35"/>
      <c r="E61" s="35"/>
      <c r="F61" s="27"/>
      <c r="G61" s="27"/>
      <c r="H61" s="42"/>
      <c r="I61" s="42"/>
      <c r="J61" s="42"/>
      <c r="K61" s="42"/>
      <c r="L61" s="42"/>
      <c r="M61" s="42"/>
      <c r="N61" s="42"/>
    </row>
    <row r="62" spans="1:14" ht="18" x14ac:dyDescent="0.25">
      <c r="A62" s="170" t="s">
        <v>62</v>
      </c>
      <c r="B62" s="27"/>
      <c r="C62" s="35"/>
      <c r="D62" s="35"/>
      <c r="E62" s="35"/>
      <c r="F62" s="27"/>
      <c r="G62" s="27"/>
      <c r="H62" s="42"/>
      <c r="I62" s="42"/>
      <c r="J62" s="42"/>
      <c r="K62" s="42"/>
      <c r="L62" s="42"/>
      <c r="M62" s="42"/>
      <c r="N62" s="42"/>
    </row>
    <row r="63" spans="1:14" ht="18" x14ac:dyDescent="0.25">
      <c r="A63" s="170" t="s">
        <v>110</v>
      </c>
      <c r="B63" s="27"/>
      <c r="C63" s="35"/>
      <c r="D63" s="35"/>
      <c r="E63" s="35"/>
      <c r="F63" s="27"/>
      <c r="G63" s="27"/>
      <c r="H63" s="42"/>
      <c r="I63" s="42"/>
      <c r="J63" s="42"/>
      <c r="K63" s="42"/>
      <c r="L63" s="42"/>
      <c r="M63" s="42"/>
      <c r="N63" s="42"/>
    </row>
    <row r="64" spans="1:14" ht="18" x14ac:dyDescent="0.25">
      <c r="A64" s="170"/>
      <c r="B64" s="27"/>
      <c r="C64" s="35"/>
      <c r="D64" s="35"/>
      <c r="E64" s="35"/>
      <c r="F64" s="27"/>
      <c r="G64" s="27"/>
      <c r="H64" s="42"/>
      <c r="I64" s="42"/>
      <c r="J64" s="42"/>
      <c r="K64" s="42"/>
      <c r="L64" s="42"/>
      <c r="M64" s="42"/>
      <c r="N64" s="42"/>
    </row>
    <row r="65" spans="1:19" x14ac:dyDescent="0.2">
      <c r="A65" s="27"/>
      <c r="B65" s="27" t="s">
        <v>41</v>
      </c>
      <c r="C65" s="13">
        <v>5</v>
      </c>
      <c r="D65" s="13"/>
      <c r="E65" s="13"/>
      <c r="F65" s="27" t="s">
        <v>42</v>
      </c>
      <c r="G65" s="36"/>
      <c r="H65" s="42"/>
      <c r="I65" s="42"/>
      <c r="J65" s="42"/>
      <c r="K65" s="42"/>
      <c r="L65" s="42"/>
      <c r="M65" s="42"/>
      <c r="N65" s="42"/>
    </row>
    <row r="66" spans="1:19" x14ac:dyDescent="0.2">
      <c r="A66" s="27"/>
      <c r="B66" s="27"/>
      <c r="C66" s="13"/>
      <c r="D66" s="13"/>
      <c r="E66" s="13"/>
      <c r="F66" s="27"/>
      <c r="G66" s="36"/>
      <c r="H66" s="42"/>
      <c r="I66" s="42"/>
      <c r="J66" s="42"/>
      <c r="K66" s="42"/>
      <c r="L66" s="42"/>
      <c r="M66" s="42"/>
      <c r="N66" s="42"/>
    </row>
    <row r="67" spans="1:19" x14ac:dyDescent="0.2">
      <c r="A67" s="27"/>
      <c r="B67" s="27" t="s">
        <v>43</v>
      </c>
      <c r="C67" s="24">
        <v>0.95</v>
      </c>
      <c r="D67" s="24"/>
      <c r="F67" s="37"/>
      <c r="G67" s="37"/>
      <c r="H67" s="45"/>
      <c r="I67" s="42"/>
      <c r="J67" s="42"/>
      <c r="K67" s="42"/>
      <c r="L67" s="42"/>
      <c r="M67" s="42"/>
      <c r="N67" s="42"/>
      <c r="O67" s="46"/>
      <c r="Q67" s="4"/>
      <c r="S67" s="13"/>
    </row>
    <row r="68" spans="1:19" x14ac:dyDescent="0.2">
      <c r="A68" s="27"/>
      <c r="B68" s="27"/>
      <c r="C68" s="24"/>
      <c r="D68" s="24"/>
      <c r="E68" s="24"/>
      <c r="F68" s="27"/>
      <c r="G68" s="29"/>
      <c r="H68" s="42"/>
      <c r="I68" s="42"/>
      <c r="J68" s="42"/>
      <c r="K68" s="42"/>
      <c r="L68" s="42"/>
      <c r="M68" s="42"/>
      <c r="N68" s="42"/>
      <c r="R68" s="24"/>
    </row>
    <row r="69" spans="1:19" x14ac:dyDescent="0.2">
      <c r="A69" s="27"/>
      <c r="B69" s="27" t="s">
        <v>67</v>
      </c>
      <c r="C69" s="24">
        <v>0.08</v>
      </c>
      <c r="D69" s="24"/>
      <c r="F69" s="27"/>
      <c r="G69" s="36"/>
      <c r="H69" s="42"/>
      <c r="I69" s="42"/>
      <c r="J69" s="42"/>
      <c r="K69" s="42"/>
      <c r="L69" s="42"/>
      <c r="M69" s="42"/>
      <c r="N69" s="42"/>
      <c r="R69" s="24"/>
    </row>
    <row r="70" spans="1:19" ht="27" customHeight="1" x14ac:dyDescent="0.2">
      <c r="A70" s="27"/>
      <c r="B70" s="180" t="s">
        <v>109</v>
      </c>
      <c r="C70" s="181"/>
      <c r="D70" s="181"/>
      <c r="E70" s="181"/>
      <c r="F70" s="181"/>
      <c r="G70" s="181"/>
      <c r="H70" s="39"/>
      <c r="I70" s="39"/>
      <c r="J70" s="39"/>
      <c r="K70" s="39"/>
      <c r="L70" s="39"/>
      <c r="M70" s="39"/>
      <c r="N70" s="39"/>
    </row>
    <row r="71" spans="1:19" s="15" customFormat="1" x14ac:dyDescent="0.2">
      <c r="C71" s="20"/>
      <c r="D71" s="20"/>
      <c r="E71" s="20"/>
    </row>
    <row r="72" spans="1:19" s="15" customFormat="1" ht="18" x14ac:dyDescent="0.25">
      <c r="A72" s="48" t="s">
        <v>111</v>
      </c>
      <c r="C72" s="20"/>
      <c r="D72" s="20"/>
      <c r="E72" s="20"/>
      <c r="F72" s="26" t="s">
        <v>10</v>
      </c>
      <c r="H72" s="184" t="s">
        <v>12</v>
      </c>
      <c r="I72" s="184"/>
      <c r="J72" s="184" t="s">
        <v>59</v>
      </c>
      <c r="K72" s="184"/>
      <c r="L72" s="184" t="s">
        <v>58</v>
      </c>
      <c r="M72" s="184"/>
      <c r="N72" s="26"/>
    </row>
    <row r="73" spans="1:19" s="15" customFormat="1" ht="13.5" thickBot="1" x14ac:dyDescent="0.25">
      <c r="F73" s="49"/>
      <c r="H73" s="46"/>
    </row>
    <row r="74" spans="1:19" s="15" customFormat="1" x14ac:dyDescent="0.2">
      <c r="A74" s="58"/>
      <c r="B74" s="59" t="s">
        <v>44</v>
      </c>
      <c r="C74" s="59"/>
      <c r="D74" s="59"/>
      <c r="E74" s="59"/>
      <c r="F74" s="60">
        <f>$C$57</f>
        <v>220000</v>
      </c>
      <c r="G74" s="59"/>
      <c r="H74" s="61"/>
      <c r="I74" s="62">
        <f>H$57</f>
        <v>15.714285714285715</v>
      </c>
      <c r="J74" s="62"/>
      <c r="K74" s="62">
        <f>J$57</f>
        <v>1375</v>
      </c>
      <c r="L74" s="62"/>
      <c r="M74" s="63">
        <f>+K74/12</f>
        <v>114.58333333333333</v>
      </c>
      <c r="N74" s="26"/>
    </row>
    <row r="75" spans="1:19" s="15" customFormat="1" x14ac:dyDescent="0.2">
      <c r="A75" s="64"/>
      <c r="B75" s="65" t="s">
        <v>45</v>
      </c>
      <c r="C75" s="65"/>
      <c r="D75" s="65"/>
      <c r="E75" s="65"/>
      <c r="F75" s="66">
        <f>$F$59</f>
        <v>20000</v>
      </c>
      <c r="G75" s="65"/>
      <c r="H75" s="67"/>
      <c r="I75" s="68">
        <f>I$59</f>
        <v>1.4285714285714286</v>
      </c>
      <c r="J75" s="68"/>
      <c r="K75" s="68">
        <f>K$59</f>
        <v>125</v>
      </c>
      <c r="L75" s="68"/>
      <c r="M75" s="69">
        <f>+K75/12</f>
        <v>10.416666666666666</v>
      </c>
      <c r="N75" s="26"/>
    </row>
    <row r="76" spans="1:19" s="15" customFormat="1" x14ac:dyDescent="0.2">
      <c r="A76" s="64"/>
      <c r="B76" s="70" t="s">
        <v>46</v>
      </c>
      <c r="C76" s="70"/>
      <c r="D76" s="70"/>
      <c r="E76" s="70"/>
      <c r="F76" s="71">
        <f>F74-F75</f>
        <v>200000</v>
      </c>
      <c r="G76" s="70"/>
      <c r="H76" s="72"/>
      <c r="I76" s="73">
        <f>I74-I75</f>
        <v>14.285714285714286</v>
      </c>
      <c r="J76" s="73"/>
      <c r="K76" s="73">
        <f>K74-K75</f>
        <v>1250</v>
      </c>
      <c r="L76" s="73"/>
      <c r="M76" s="74">
        <f>M74-M75</f>
        <v>104.16666666666666</v>
      </c>
      <c r="N76" s="26"/>
    </row>
    <row r="77" spans="1:19" s="15" customFormat="1" x14ac:dyDescent="0.2">
      <c r="A77" s="64"/>
      <c r="B77" s="75"/>
      <c r="C77" s="75"/>
      <c r="D77" s="75"/>
      <c r="E77" s="75"/>
      <c r="F77" s="71"/>
      <c r="G77" s="75"/>
      <c r="H77" s="76"/>
      <c r="I77" s="77"/>
      <c r="J77" s="77"/>
      <c r="K77" s="77"/>
      <c r="L77" s="77"/>
      <c r="M77" s="78"/>
    </row>
    <row r="78" spans="1:19" s="15" customFormat="1" x14ac:dyDescent="0.2">
      <c r="A78" s="64"/>
      <c r="B78" s="75" t="s">
        <v>47</v>
      </c>
      <c r="C78" s="75"/>
      <c r="D78" s="75"/>
      <c r="E78" s="75"/>
      <c r="F78" s="79">
        <f>C$37</f>
        <v>470250</v>
      </c>
      <c r="G78" s="65"/>
      <c r="H78" s="76"/>
      <c r="I78" s="77">
        <f>H$37</f>
        <v>37.321428571428569</v>
      </c>
      <c r="J78" s="77"/>
      <c r="K78" s="77">
        <f>J$37</f>
        <v>3265.625</v>
      </c>
      <c r="L78" s="77"/>
      <c r="M78" s="78">
        <f>L$37</f>
        <v>239.81426886792457</v>
      </c>
      <c r="N78" s="46"/>
    </row>
    <row r="79" spans="1:19" s="15" customFormat="1" x14ac:dyDescent="0.2">
      <c r="A79" s="64"/>
      <c r="B79" s="75" t="s">
        <v>48</v>
      </c>
      <c r="C79" s="75"/>
      <c r="D79" s="75"/>
      <c r="E79" s="75"/>
      <c r="F79" s="79">
        <f>($F$37+$F$39)*$C$67</f>
        <v>456104.5</v>
      </c>
      <c r="G79" s="65"/>
      <c r="H79" s="76"/>
      <c r="I79" s="77">
        <f>(I$37+I$39)*$C$67</f>
        <v>35.920857142857145</v>
      </c>
      <c r="J79" s="77"/>
      <c r="K79" s="77">
        <f>(K$37+K$39)*$C$67</f>
        <v>3143.0749999999998</v>
      </c>
      <c r="L79" s="77"/>
      <c r="M79" s="78">
        <f>(M$37+M$39)*$C$67</f>
        <v>261.92291666666665</v>
      </c>
      <c r="N79" s="46"/>
    </row>
    <row r="80" spans="1:19" s="15" customFormat="1" ht="13.5" thickBot="1" x14ac:dyDescent="0.25">
      <c r="A80" s="80"/>
      <c r="B80" s="81" t="s">
        <v>49</v>
      </c>
      <c r="C80" s="82"/>
      <c r="D80" s="82"/>
      <c r="E80" s="82"/>
      <c r="F80" s="83">
        <f>F79-F78</f>
        <v>-14145.5</v>
      </c>
      <c r="G80" s="81"/>
      <c r="H80" s="84"/>
      <c r="I80" s="85">
        <f>I79-I78</f>
        <v>-1.4005714285714248</v>
      </c>
      <c r="J80" s="85"/>
      <c r="K80" s="85">
        <f>K79-K78</f>
        <v>-122.55000000000018</v>
      </c>
      <c r="L80" s="85"/>
      <c r="M80" s="86">
        <f>M79-M78</f>
        <v>22.108647798742084</v>
      </c>
      <c r="N80" s="46"/>
    </row>
    <row r="81" spans="1:27" s="15" customFormat="1" ht="13.5" customHeight="1" x14ac:dyDescent="0.2">
      <c r="A81" s="26"/>
      <c r="B81" s="26"/>
      <c r="C81" s="26"/>
      <c r="D81" s="26"/>
      <c r="E81" s="26"/>
      <c r="F81" s="26"/>
      <c r="G81" s="26"/>
      <c r="H81" s="26"/>
      <c r="I81" s="26"/>
      <c r="J81" s="26"/>
      <c r="K81" s="26"/>
      <c r="L81" s="26"/>
      <c r="M81" s="26"/>
      <c r="O81" s="26"/>
      <c r="P81" s="26"/>
      <c r="Q81" s="26"/>
      <c r="R81" s="26"/>
      <c r="S81" s="26"/>
      <c r="T81" s="26"/>
      <c r="U81" s="26"/>
      <c r="V81" s="26"/>
      <c r="W81" s="26"/>
      <c r="X81" s="26"/>
      <c r="Y81" s="26"/>
      <c r="Z81" s="26"/>
      <c r="AA81" s="26"/>
    </row>
    <row r="82" spans="1:27" s="15" customFormat="1" x14ac:dyDescent="0.2">
      <c r="A82" s="26"/>
      <c r="B82" s="26" t="s">
        <v>68</v>
      </c>
      <c r="C82" s="26"/>
      <c r="D82" s="26"/>
      <c r="F82" s="52">
        <f>PMT($C$69,$C$65,-1*F$76,0,0)</f>
        <v>50091.290913367317</v>
      </c>
      <c r="G82" s="26"/>
      <c r="I82" s="26"/>
      <c r="J82" s="26"/>
      <c r="K82" s="26"/>
      <c r="L82" s="26"/>
      <c r="M82" s="26"/>
      <c r="O82" s="26"/>
    </row>
    <row r="83" spans="1:27" s="15" customFormat="1" ht="26.25" customHeight="1" x14ac:dyDescent="0.2">
      <c r="A83" s="26"/>
      <c r="B83" s="182" t="s">
        <v>112</v>
      </c>
      <c r="C83" s="181"/>
      <c r="D83" s="181"/>
      <c r="E83" s="181"/>
      <c r="F83" s="181"/>
      <c r="G83" s="26"/>
      <c r="H83" s="26"/>
      <c r="I83" s="26"/>
      <c r="J83" s="26"/>
      <c r="K83" s="26"/>
      <c r="L83" s="26"/>
      <c r="M83" s="26"/>
      <c r="O83" s="26"/>
    </row>
    <row r="84" spans="1:27" s="15" customFormat="1" ht="13.5" customHeight="1" x14ac:dyDescent="0.2">
      <c r="A84" s="26"/>
      <c r="C84" s="26"/>
      <c r="D84" s="26"/>
      <c r="E84" s="26"/>
      <c r="F84" s="52"/>
      <c r="G84" s="26"/>
      <c r="I84" s="26"/>
      <c r="J84" s="26"/>
      <c r="K84" s="26"/>
      <c r="L84" s="26"/>
      <c r="M84" s="26"/>
      <c r="N84" s="26"/>
      <c r="O84" s="26"/>
    </row>
    <row r="85" spans="1:27" s="15" customFormat="1" x14ac:dyDescent="0.2">
      <c r="A85" s="26"/>
      <c r="B85" s="26" t="s">
        <v>85</v>
      </c>
      <c r="C85" s="26"/>
      <c r="D85" s="26"/>
      <c r="F85" s="52">
        <f>NPV($C$69,IF($C$65&lt;1,0,F$80),IF($C$65&lt;2,0,F$80),IF($C$65&lt;3,0,F$80),IF($C$65&lt;4,0,F$80),IF($C$65&lt;5,0,F$80),IF($C$65&lt;6,0,F$80),IF($C$65&lt;7,0,F$80),IF($C$65&lt;8,0,F$80),IF($C$65&lt;9,0,F$80),IF($C$65&lt;10,0,F$80),IF($C$65&lt;11,0,$F$80))-$F$76</f>
        <v>-256478.87982948805</v>
      </c>
      <c r="G85" s="26"/>
      <c r="H85" s="26"/>
      <c r="I85" s="51" t="s">
        <v>3</v>
      </c>
      <c r="J85" s="26"/>
      <c r="K85" s="51" t="s">
        <v>3</v>
      </c>
      <c r="L85" s="26"/>
      <c r="M85" s="51" t="s">
        <v>3</v>
      </c>
    </row>
    <row r="86" spans="1:27" s="15" customFormat="1" x14ac:dyDescent="0.2">
      <c r="A86" s="26"/>
      <c r="B86" s="178" t="s">
        <v>86</v>
      </c>
      <c r="C86" s="26"/>
      <c r="D86" s="26"/>
      <c r="E86" s="26"/>
      <c r="F86" s="26"/>
      <c r="G86" s="26"/>
      <c r="H86" s="26"/>
      <c r="N86" s="26"/>
      <c r="O86" s="26"/>
    </row>
    <row r="87" spans="1:27" s="15" customFormat="1" ht="11.25" customHeight="1" thickBot="1" x14ac:dyDescent="0.25">
      <c r="A87" s="26"/>
      <c r="B87" s="26"/>
      <c r="C87" s="26"/>
      <c r="D87" s="26"/>
      <c r="E87" s="26"/>
      <c r="F87" s="26"/>
      <c r="G87" s="26"/>
      <c r="H87" s="26"/>
      <c r="I87" s="26"/>
      <c r="J87" s="26"/>
      <c r="K87" s="26"/>
      <c r="L87" s="26"/>
      <c r="M87" s="26"/>
      <c r="N87" s="26"/>
      <c r="O87" s="26"/>
    </row>
    <row r="88" spans="1:27" x14ac:dyDescent="0.2">
      <c r="A88" s="87" t="s">
        <v>87</v>
      </c>
      <c r="B88" s="88"/>
      <c r="C88" s="88"/>
      <c r="D88" s="88"/>
      <c r="E88" s="88"/>
      <c r="F88" s="89"/>
      <c r="G88" s="88"/>
      <c r="H88" s="90"/>
      <c r="I88" s="90"/>
      <c r="J88" s="90"/>
      <c r="K88" s="90"/>
      <c r="L88" s="90"/>
      <c r="M88" s="91"/>
      <c r="N88" s="46"/>
    </row>
    <row r="89" spans="1:27" x14ac:dyDescent="0.2">
      <c r="A89" s="135"/>
      <c r="B89" s="75"/>
      <c r="C89" s="75"/>
      <c r="D89" s="75"/>
      <c r="E89" s="75"/>
      <c r="F89" s="79"/>
      <c r="G89" s="75"/>
      <c r="H89" s="76"/>
      <c r="I89" s="76"/>
      <c r="J89" s="76"/>
      <c r="K89" s="76"/>
      <c r="L89" s="76"/>
      <c r="M89" s="136"/>
      <c r="N89" s="46"/>
    </row>
    <row r="90" spans="1:27" s="5" customFormat="1" x14ac:dyDescent="0.2">
      <c r="A90" s="92"/>
      <c r="B90" s="65" t="s">
        <v>113</v>
      </c>
      <c r="C90" s="65"/>
      <c r="D90" s="65"/>
      <c r="E90" s="65"/>
      <c r="F90" s="93">
        <f>PMT($C$69,$C$65,-1*F$76,0,0)</f>
        <v>50091.290913367317</v>
      </c>
      <c r="G90" s="65"/>
      <c r="H90" s="67"/>
      <c r="I90" s="105">
        <f>PMT($C$69,$C$65,-1*I$76,0,0)</f>
        <v>3.5779493509548086</v>
      </c>
      <c r="J90" s="93"/>
      <c r="K90" s="68">
        <f>PMT($C$69,$C$65,-1*K$76,0,0)</f>
        <v>313.07056820854575</v>
      </c>
      <c r="L90" s="93"/>
      <c r="M90" s="69">
        <f>+K90/12</f>
        <v>26.089214017378811</v>
      </c>
      <c r="N90" s="50"/>
    </row>
    <row r="91" spans="1:27" s="5" customFormat="1" x14ac:dyDescent="0.2">
      <c r="A91" s="92"/>
      <c r="B91" s="65" t="s">
        <v>47</v>
      </c>
      <c r="C91" s="65"/>
      <c r="D91" s="65"/>
      <c r="E91" s="65"/>
      <c r="F91" s="93">
        <f>C$37</f>
        <v>470250</v>
      </c>
      <c r="G91" s="65"/>
      <c r="H91" s="67"/>
      <c r="I91" s="68">
        <f>H$37</f>
        <v>37.321428571428569</v>
      </c>
      <c r="J91" s="93"/>
      <c r="K91" s="68">
        <f>J$37</f>
        <v>3265.625</v>
      </c>
      <c r="L91" s="93"/>
      <c r="M91" s="69">
        <f>+K91/12</f>
        <v>272.13541666666669</v>
      </c>
      <c r="N91" s="50"/>
    </row>
    <row r="92" spans="1:27" s="5" customFormat="1" x14ac:dyDescent="0.2">
      <c r="A92" s="92"/>
      <c r="B92" s="70" t="s">
        <v>64</v>
      </c>
      <c r="C92" s="70"/>
      <c r="D92" s="70"/>
      <c r="E92" s="70"/>
      <c r="F92" s="94">
        <f>(F$90+F$91)/$C$67</f>
        <v>547727.67464564985</v>
      </c>
      <c r="G92" s="70"/>
      <c r="H92" s="95"/>
      <c r="I92" s="73">
        <f>(I$90+I$91)/$C$67</f>
        <v>43.051976760403562</v>
      </c>
      <c r="J92" s="96"/>
      <c r="K92" s="73">
        <f>(K$90+K$91)/$C$67</f>
        <v>3767.0479665353114</v>
      </c>
      <c r="L92" s="93"/>
      <c r="M92" s="74">
        <f>+K92/12</f>
        <v>313.92066387794262</v>
      </c>
      <c r="N92" s="50"/>
    </row>
    <row r="93" spans="1:27" s="5" customFormat="1" x14ac:dyDescent="0.2">
      <c r="A93" s="92"/>
      <c r="B93" s="177" t="s">
        <v>114</v>
      </c>
      <c r="C93" s="65"/>
      <c r="D93" s="65"/>
      <c r="E93" s="65"/>
      <c r="F93" s="65"/>
      <c r="G93" s="65"/>
      <c r="H93" s="67"/>
      <c r="I93" s="67"/>
      <c r="J93" s="67"/>
      <c r="K93" s="67"/>
      <c r="L93" s="67"/>
      <c r="M93" s="98"/>
      <c r="N93" s="50"/>
    </row>
    <row r="94" spans="1:27" s="5" customFormat="1" x14ac:dyDescent="0.2">
      <c r="A94" s="92"/>
      <c r="B94" s="97"/>
      <c r="C94" s="65"/>
      <c r="D94" s="65"/>
      <c r="E94" s="65"/>
      <c r="F94" s="65"/>
      <c r="G94" s="65"/>
      <c r="H94" s="67"/>
      <c r="I94" s="67"/>
      <c r="J94" s="67"/>
      <c r="K94" s="67"/>
      <c r="L94" s="67"/>
      <c r="M94" s="98"/>
      <c r="N94" s="50"/>
    </row>
    <row r="95" spans="1:27" s="5" customFormat="1" ht="13.5" thickBot="1" x14ac:dyDescent="0.25">
      <c r="A95" s="99"/>
      <c r="B95" s="100" t="s">
        <v>63</v>
      </c>
      <c r="C95" s="100"/>
      <c r="D95" s="100"/>
      <c r="E95" s="100"/>
      <c r="F95" s="104">
        <f>(F$92-F39)/F$91-1</f>
        <v>0.15837889345167433</v>
      </c>
      <c r="G95" s="100"/>
      <c r="H95" s="101"/>
      <c r="I95" s="102"/>
      <c r="J95" s="101"/>
      <c r="K95" s="101"/>
      <c r="L95" s="101"/>
      <c r="M95" s="103"/>
      <c r="N95" s="50"/>
    </row>
    <row r="96" spans="1:27" x14ac:dyDescent="0.2">
      <c r="A96" s="15"/>
      <c r="B96" s="15"/>
      <c r="C96" s="15"/>
      <c r="D96" s="15"/>
      <c r="E96" s="15"/>
      <c r="F96" s="15"/>
      <c r="G96" s="15"/>
      <c r="H96" s="46"/>
      <c r="I96" s="46"/>
      <c r="J96" s="46"/>
      <c r="K96" s="46"/>
      <c r="L96" s="46"/>
      <c r="M96" s="46"/>
      <c r="N96" s="46"/>
    </row>
    <row r="97" spans="1:13" s="15" customFormat="1" ht="38.25" customHeight="1" x14ac:dyDescent="0.2">
      <c r="A97" s="185" t="s">
        <v>102</v>
      </c>
      <c r="B97" s="186"/>
      <c r="C97" s="186"/>
      <c r="D97" s="186"/>
      <c r="E97" s="186"/>
      <c r="F97" s="186"/>
      <c r="G97" s="186"/>
      <c r="H97" s="186"/>
      <c r="I97" s="186"/>
      <c r="J97" s="186"/>
      <c r="K97" s="186"/>
      <c r="L97" s="186"/>
      <c r="M97" s="186"/>
    </row>
  </sheetData>
  <mergeCells count="12">
    <mergeCell ref="A97:M97"/>
    <mergeCell ref="L72:M72"/>
    <mergeCell ref="B70:G70"/>
    <mergeCell ref="B83:F83"/>
    <mergeCell ref="H10:I10"/>
    <mergeCell ref="J10:K10"/>
    <mergeCell ref="L10:M10"/>
    <mergeCell ref="H41:I41"/>
    <mergeCell ref="J41:K41"/>
    <mergeCell ref="L41:M41"/>
    <mergeCell ref="H72:I72"/>
    <mergeCell ref="J72:K72"/>
  </mergeCells>
  <phoneticPr fontId="0" type="noConversion"/>
  <pageMargins left="0.78740157499999996" right="0.78740157499999996" top="0.984251969" bottom="0.984251969" header="0.5" footer="0.5"/>
  <pageSetup paperSize="9" scale="57"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Rules of thumb</vt:lpstr>
      <vt:lpstr>Mezzanine financial model</vt:lpstr>
      <vt:lpstr>'Mezzanine financial model'!Druckbereich</vt:lpstr>
    </vt:vector>
  </TitlesOfParts>
  <Company>Design Council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EwaS</dc:creator>
  <cp:lastModifiedBy>Kaufmann Timon</cp:lastModifiedBy>
  <cp:lastPrinted>2003-03-14T12:04:52Z</cp:lastPrinted>
  <dcterms:created xsi:type="dcterms:W3CDTF">2002-08-02T10:10:28Z</dcterms:created>
  <dcterms:modified xsi:type="dcterms:W3CDTF">2026-03-11T23:06:23Z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1435691857</vt:i4>
  </property>
  <property fmtid="{D5CDD505-2E9C-101B-9397-08002B2CF9AE}" pid="3" name="_EmailSubject">
    <vt:lpwstr>spreadsheets</vt:lpwstr>
  </property>
  <property fmtid="{D5CDD505-2E9C-101B-9397-08002B2CF9AE}" pid="4" name="_AuthorEmail">
    <vt:lpwstr>EwaS@designcouncil.org.uk</vt:lpwstr>
  </property>
  <property fmtid="{D5CDD505-2E9C-101B-9397-08002B2CF9AE}" pid="5" name="_AuthorEmailDisplayName">
    <vt:lpwstr>Ewa Spohn</vt:lpwstr>
  </property>
  <property fmtid="{D5CDD505-2E9C-101B-9397-08002B2CF9AE}" pid="6" name="_ReviewingToolsShownOnce">
    <vt:lpwstr/>
  </property>
</Properties>
</file>