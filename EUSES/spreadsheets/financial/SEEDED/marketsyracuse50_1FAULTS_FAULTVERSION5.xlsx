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financial\SEEDED\"/>
    </mc:Choice>
  </mc:AlternateContent>
  <xr:revisionPtr revIDLastSave="0" documentId="8_{6C8AE4A2-D030-4918-A489-28BE41D737AF}" xr6:coauthVersionLast="47" xr6:coauthVersionMax="47" xr10:uidLastSave="{00000000-0000-0000-0000-000000000000}"/>
  <bookViews>
    <workbookView xWindow="390" yWindow="390" windowWidth="21600" windowHeight="11295" xr2:uid="{230DAE15-671F-475B-A9AD-7E9591E46599}"/>
  </bookViews>
  <sheets>
    <sheet name="Syracuse, NY" sheetId="1" r:id="rId1"/>
  </sheets>
  <definedNames>
    <definedName name="tempExport1">'Syracuse, NY'!$B$9:$E$33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F11" i="1"/>
  <c r="F12" i="1"/>
  <c r="F13" i="1"/>
  <c r="F14" i="1"/>
  <c r="F36" i="1" s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G30" i="1" s="1"/>
  <c r="H30" i="1" s="1"/>
  <c r="F31" i="1"/>
  <c r="F32" i="1"/>
  <c r="F33" i="1"/>
  <c r="D36" i="1"/>
  <c r="E36" i="1"/>
  <c r="G31" i="1" l="1"/>
  <c r="H31" i="1" s="1"/>
  <c r="G27" i="1"/>
  <c r="H27" i="1" s="1"/>
  <c r="G20" i="1"/>
  <c r="H20" i="1" s="1"/>
  <c r="G24" i="1"/>
  <c r="H24" i="1" s="1"/>
  <c r="G17" i="1"/>
  <c r="H17" i="1" s="1"/>
  <c r="G12" i="1"/>
  <c r="H12" i="1" s="1"/>
  <c r="G10" i="1"/>
  <c r="G32" i="1"/>
  <c r="H32" i="1" s="1"/>
  <c r="G25" i="1"/>
  <c r="H25" i="1" s="1"/>
  <c r="G18" i="1"/>
  <c r="H18" i="1" s="1"/>
  <c r="G11" i="1"/>
  <c r="H11" i="1" s="1"/>
  <c r="G33" i="1"/>
  <c r="H33" i="1" s="1"/>
  <c r="G26" i="1"/>
  <c r="H26" i="1" s="1"/>
  <c r="G19" i="1"/>
  <c r="H19" i="1" s="1"/>
  <c r="G22" i="1"/>
  <c r="H22" i="1" s="1"/>
  <c r="G16" i="1"/>
  <c r="H16" i="1" s="1"/>
  <c r="G15" i="1"/>
  <c r="H15" i="1" s="1"/>
  <c r="G23" i="1"/>
  <c r="H23" i="1" s="1"/>
  <c r="G13" i="1"/>
  <c r="H13" i="1" s="1"/>
  <c r="G28" i="1"/>
  <c r="H28" i="1" s="1"/>
  <c r="G14" i="1"/>
  <c r="H14" i="1" s="1"/>
  <c r="G21" i="1"/>
  <c r="H21" i="1" s="1"/>
  <c r="G29" i="1"/>
  <c r="H29" i="1" s="1"/>
  <c r="H10" i="1" l="1"/>
  <c r="H36" i="1" s="1"/>
  <c r="G36" i="1"/>
</calcChain>
</file>

<file path=xl/sharedStrings.xml><?xml version="1.0" encoding="utf-8"?>
<sst xmlns="http://schemas.openxmlformats.org/spreadsheetml/2006/main" count="78" uniqueCount="53">
  <si>
    <t>Institution</t>
  </si>
  <si>
    <t>Type</t>
  </si>
  <si>
    <t>Offices</t>
  </si>
  <si>
    <t>SENECA FEDERAL SAVINGS AND LOAN ASSOCIATION</t>
  </si>
  <si>
    <t>GEDDES FEDERAL SAVINGS AND LOAN ASSOCIATION</t>
  </si>
  <si>
    <t>BEACON FEDERAL</t>
  </si>
  <si>
    <t>SAVANNAH BANK, N.A.</t>
  </si>
  <si>
    <t>FULTON SAVINGS BANK</t>
  </si>
  <si>
    <t>FIRST NATIONAL BANK OF GROTON, THE</t>
  </si>
  <si>
    <t>J.P. MORGAN CHASE &amp; CO.</t>
  </si>
  <si>
    <t>COMMUNITY BANK SYSTEM, INC.</t>
  </si>
  <si>
    <t>KEYCORP</t>
  </si>
  <si>
    <t>FLEETBOSTON FINANCIAL CORPORATION</t>
  </si>
  <si>
    <t>ALLIANCE FINANCIAL CORPORATION</t>
  </si>
  <si>
    <t>SOLVAY BANK CORP.</t>
  </si>
  <si>
    <t>ALLIED IRISH BANKS, P.L.C.</t>
  </si>
  <si>
    <t>LYONS BANCORP, INC.</t>
  </si>
  <si>
    <t>CAYUGA LAKE BANK CORPORATION</t>
  </si>
  <si>
    <t>BSB BANCORP, INC.</t>
  </si>
  <si>
    <t>HSBC HOLDINGS PLC</t>
  </si>
  <si>
    <t>CHARTER ONE FINANCIAL, INC.</t>
  </si>
  <si>
    <t>FIRST NIAGARA FINANCIAL GROUP, INC.</t>
  </si>
  <si>
    <t>ONEIDA FINANCIAL MHC</t>
  </si>
  <si>
    <t>SENECA FALLS SAVINGS BANK, MHC</t>
  </si>
  <si>
    <t>BRIDGE STREET FINANCIAL, INC.</t>
  </si>
  <si>
    <t>PATHFINDER BANCORP, MHC</t>
  </si>
  <si>
    <t>PARTNERS TRUST, MHC</t>
  </si>
  <si>
    <t>MARKET SHARE TABLE</t>
  </si>
  <si>
    <t>Syracuse, NY *</t>
  </si>
  <si>
    <t>Total Bank and 50% Thrift Deposits</t>
  </si>
  <si>
    <t>(January 30, 2004) **</t>
  </si>
  <si>
    <t xml:space="preserve">Number </t>
  </si>
  <si>
    <t xml:space="preserve">of </t>
  </si>
  <si>
    <t xml:space="preserve">Weighted </t>
  </si>
  <si>
    <t xml:space="preserve">Deposits </t>
  </si>
  <si>
    <t xml:space="preserve">in Market </t>
  </si>
  <si>
    <t xml:space="preserve">($000s) </t>
  </si>
  <si>
    <t xml:space="preserve">Total </t>
  </si>
  <si>
    <t xml:space="preserve">Market </t>
  </si>
  <si>
    <t xml:space="preserve">Share </t>
  </si>
  <si>
    <t xml:space="preserve">(%) </t>
  </si>
  <si>
    <t xml:space="preserve">HHI </t>
  </si>
  <si>
    <t>TOTALS</t>
  </si>
  <si>
    <t>Bank</t>
  </si>
  <si>
    <t>Thrift</t>
  </si>
  <si>
    <t>Notes:</t>
  </si>
  <si>
    <t>* Includes all of Cayuga, Onondaga, and Oswego Counties in New York;</t>
  </si>
  <si>
    <t xml:space="preserve">  8 townships in Cortland County, New York: Cortlandville, Cuyler, Homer,</t>
  </si>
  <si>
    <t xml:space="preserve">  Preble, Scott, Solon, Taylor, and Truxton; 1 city in Cortland County,</t>
  </si>
  <si>
    <t xml:space="preserve">  New York: Cortland City; 11 townships in Madison County, New York: </t>
  </si>
  <si>
    <t xml:space="preserve">  Cazenovia, DeRuyter, Eaton, Fenner, Georgetown, Lebanon, Lenox, </t>
  </si>
  <si>
    <t xml:space="preserve">  Lincoln, Nelson, Smithfield, Sullivan.</t>
  </si>
  <si>
    <t>** Deposit data are as of June 30, 2002.  Deposit ownership is as of January 30, 2004.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</si>
</sst>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0" fillId="0" borderId="0" xfId="0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5C0FE-26EB-4897-A570-D7E61B6E06E2}">
  <sheetPr codeName="Sheet1"/>
  <dimension ref="A1:H47"/>
  <sheetViews>
    <sheetView tabSelected="1" workbookViewId="0"/>
  </sheetViews>
  <sheetFormatPr baseColWidth="10" defaultRowHeight="12.75" x14ac:dyDescent="0.2"/>
  <cols>
    <col min="1" max="1" width="3" bestFit="1" customWidth="1"/>
    <col min="2" max="2" width="48.7109375" customWidth="1"/>
    <col min="3" max="4" width="9.140625" customWidth="1"/>
    <col min="5" max="6" width="11.7109375" customWidth="1"/>
    <col min="7" max="256" width="9.140625" customWidth="1"/>
  </cols>
  <sheetData>
    <row r="1" spans="1:8" x14ac:dyDescent="0.2">
      <c r="B1" t="s">
        <v>27</v>
      </c>
    </row>
    <row r="2" spans="1:8" x14ac:dyDescent="0.2">
      <c r="B2" t="s">
        <v>28</v>
      </c>
    </row>
    <row r="4" spans="1:8" x14ac:dyDescent="0.2">
      <c r="B4" t="s">
        <v>29</v>
      </c>
    </row>
    <row r="5" spans="1:8" x14ac:dyDescent="0.2">
      <c r="B5" t="s">
        <v>30</v>
      </c>
    </row>
    <row r="6" spans="1:8" x14ac:dyDescent="0.2">
      <c r="D6" s="2"/>
      <c r="E6" s="2" t="s">
        <v>37</v>
      </c>
      <c r="F6" s="2" t="s">
        <v>33</v>
      </c>
      <c r="G6" s="2"/>
      <c r="H6" s="2"/>
    </row>
    <row r="7" spans="1:8" x14ac:dyDescent="0.2">
      <c r="D7" s="2" t="s">
        <v>31</v>
      </c>
      <c r="E7" s="2" t="s">
        <v>34</v>
      </c>
      <c r="F7" s="2" t="s">
        <v>34</v>
      </c>
      <c r="G7" s="2" t="s">
        <v>38</v>
      </c>
      <c r="H7" s="2"/>
    </row>
    <row r="8" spans="1:8" x14ac:dyDescent="0.2">
      <c r="D8" s="2" t="s">
        <v>32</v>
      </c>
      <c r="E8" s="2" t="s">
        <v>35</v>
      </c>
      <c r="F8" s="2" t="s">
        <v>35</v>
      </c>
      <c r="G8" s="2" t="s">
        <v>39</v>
      </c>
      <c r="H8" s="2"/>
    </row>
    <row r="9" spans="1:8" x14ac:dyDescent="0.2">
      <c r="B9" t="s">
        <v>0</v>
      </c>
      <c r="C9" t="s">
        <v>1</v>
      </c>
      <c r="D9" s="2" t="s">
        <v>2</v>
      </c>
      <c r="E9" s="2" t="s">
        <v>36</v>
      </c>
      <c r="F9" s="2" t="s">
        <v>36</v>
      </c>
      <c r="G9" s="2" t="s">
        <v>40</v>
      </c>
      <c r="H9" s="2" t="s">
        <v>41</v>
      </c>
    </row>
    <row r="10" spans="1:8" x14ac:dyDescent="0.2">
      <c r="A10">
        <v>1</v>
      </c>
      <c r="B10" t="s">
        <v>15</v>
      </c>
      <c r="C10" t="s">
        <v>43</v>
      </c>
      <c r="D10">
        <v>33</v>
      </c>
      <c r="E10" s="1">
        <v>1615351</v>
      </c>
      <c r="F10" s="1">
        <f>1 * $E10</f>
        <v>1615351</v>
      </c>
      <c r="G10" s="1">
        <f t="shared" ref="G10:G33" si="0">$F10/$F$36* 100</f>
        <v>24.981501853835532</v>
      </c>
      <c r="H10" s="1">
        <f t="shared" ref="H10:H33" si="1">$G10^ 2</f>
        <v>624.0754348731881</v>
      </c>
    </row>
    <row r="11" spans="1:8" x14ac:dyDescent="0.2">
      <c r="A11">
        <v>2</v>
      </c>
      <c r="B11" t="s">
        <v>19</v>
      </c>
      <c r="C11" t="s">
        <v>43</v>
      </c>
      <c r="D11">
        <v>22</v>
      </c>
      <c r="E11" s="1">
        <v>1037304</v>
      </c>
      <c r="F11" s="1">
        <f>1 * $E11</f>
        <v>1037304</v>
      </c>
      <c r="G11" s="1">
        <f t="shared" si="0"/>
        <v>16.041969701316315</v>
      </c>
      <c r="H11" s="1">
        <f t="shared" si="1"/>
        <v>257.34479189795064</v>
      </c>
    </row>
    <row r="12" spans="1:8" x14ac:dyDescent="0.2">
      <c r="A12">
        <v>3</v>
      </c>
      <c r="B12" t="s">
        <v>11</v>
      </c>
      <c r="C12" t="s">
        <v>43</v>
      </c>
      <c r="D12">
        <v>33</v>
      </c>
      <c r="E12" s="1">
        <v>969798</v>
      </c>
      <c r="F12" s="1">
        <f>5</f>
        <v>5</v>
      </c>
      <c r="G12" s="1">
        <f t="shared" si="0"/>
        <v>7.7325305317034915E-5</v>
      </c>
      <c r="H12" s="1">
        <f t="shared" si="1"/>
        <v>5.9792028423726679E-9</v>
      </c>
    </row>
    <row r="13" spans="1:8" x14ac:dyDescent="0.2">
      <c r="A13">
        <v>4</v>
      </c>
      <c r="B13" t="s">
        <v>12</v>
      </c>
      <c r="C13" t="s">
        <v>43</v>
      </c>
      <c r="D13">
        <v>19</v>
      </c>
      <c r="E13" s="1">
        <v>903344</v>
      </c>
      <c r="F13" s="1">
        <f>1 * $E13</f>
        <v>903344</v>
      </c>
      <c r="G13" s="1">
        <f t="shared" si="0"/>
        <v>13.970270121262319</v>
      </c>
      <c r="H13" s="1">
        <f t="shared" si="1"/>
        <v>195.16844726103469</v>
      </c>
    </row>
    <row r="14" spans="1:8" x14ac:dyDescent="0.2">
      <c r="A14">
        <v>5</v>
      </c>
      <c r="B14" t="s">
        <v>9</v>
      </c>
      <c r="C14" t="s">
        <v>43</v>
      </c>
      <c r="D14">
        <v>12</v>
      </c>
      <c r="E14" s="1">
        <v>644391</v>
      </c>
      <c r="F14" s="1">
        <f>1 * $E14</f>
        <v>644391</v>
      </c>
      <c r="G14" s="1">
        <f t="shared" si="0"/>
        <v>9.9655461637098881</v>
      </c>
      <c r="H14" s="1">
        <f t="shared" si="1"/>
        <v>99.312110341032863</v>
      </c>
    </row>
    <row r="15" spans="1:8" x14ac:dyDescent="0.2">
      <c r="A15">
        <v>6</v>
      </c>
      <c r="B15" t="s">
        <v>14</v>
      </c>
      <c r="C15" t="s">
        <v>43</v>
      </c>
      <c r="D15">
        <v>7</v>
      </c>
      <c r="E15" s="1">
        <v>354641</v>
      </c>
      <c r="F15" s="1">
        <f>1 * $E15</f>
        <v>354641</v>
      </c>
      <c r="G15" s="1">
        <f t="shared" si="0"/>
        <v>5.4845447205877154</v>
      </c>
      <c r="H15" s="1">
        <f t="shared" si="1"/>
        <v>30.080230792126581</v>
      </c>
    </row>
    <row r="16" spans="1:8" x14ac:dyDescent="0.2">
      <c r="A16">
        <v>7</v>
      </c>
      <c r="B16" t="s">
        <v>18</v>
      </c>
      <c r="C16" t="s">
        <v>43</v>
      </c>
      <c r="D16">
        <v>9</v>
      </c>
      <c r="E16" s="1">
        <v>311833</v>
      </c>
      <c r="F16" s="1">
        <f>1 * $E16</f>
        <v>311833</v>
      </c>
      <c r="G16" s="1">
        <f t="shared" si="0"/>
        <v>4.8225163865853897</v>
      </c>
      <c r="H16" s="1">
        <f t="shared" si="1"/>
        <v>23.256664298884605</v>
      </c>
    </row>
    <row r="17" spans="1:8" x14ac:dyDescent="0.2">
      <c r="A17">
        <v>8</v>
      </c>
      <c r="B17" t="s">
        <v>13</v>
      </c>
      <c r="C17" t="s">
        <v>43</v>
      </c>
      <c r="D17">
        <v>10</v>
      </c>
      <c r="E17" s="1">
        <v>300056</v>
      </c>
      <c r="F17" s="1">
        <f>1 * $E17</f>
        <v>300056</v>
      </c>
      <c r="G17" s="1">
        <f t="shared" si="0"/>
        <v>4.6403843624416456</v>
      </c>
      <c r="H17" s="1">
        <f t="shared" si="1"/>
        <v>21.53316703119296</v>
      </c>
    </row>
    <row r="18" spans="1:8" x14ac:dyDescent="0.2">
      <c r="A18">
        <v>9</v>
      </c>
      <c r="B18" t="s">
        <v>21</v>
      </c>
      <c r="C18" t="s">
        <v>44</v>
      </c>
      <c r="D18">
        <v>9</v>
      </c>
      <c r="E18" s="1">
        <v>571418</v>
      </c>
      <c r="F18" s="1">
        <f>0.5 *$E18</f>
        <v>285709</v>
      </c>
      <c r="G18" s="1">
        <f t="shared" si="0"/>
        <v>4.4185071313649456</v>
      </c>
      <c r="H18" s="1">
        <f t="shared" si="1"/>
        <v>19.52320526992288</v>
      </c>
    </row>
    <row r="19" spans="1:8" x14ac:dyDescent="0.2">
      <c r="A19">
        <v>10</v>
      </c>
      <c r="B19" t="s">
        <v>20</v>
      </c>
      <c r="C19" t="s">
        <v>43</v>
      </c>
      <c r="D19">
        <v>5</v>
      </c>
      <c r="E19" s="1">
        <v>164149</v>
      </c>
      <c r="F19" s="1">
        <f>1 * $E19</f>
        <v>164149</v>
      </c>
      <c r="G19" s="1">
        <f t="shared" si="0"/>
        <v>2.5385743084971928</v>
      </c>
      <c r="H19" s="1">
        <f t="shared" si="1"/>
        <v>6.4443595197620009</v>
      </c>
    </row>
    <row r="20" spans="1:8" x14ac:dyDescent="0.2">
      <c r="A20">
        <v>11</v>
      </c>
      <c r="B20" t="s">
        <v>24</v>
      </c>
      <c r="C20" t="s">
        <v>43</v>
      </c>
      <c r="D20">
        <v>7</v>
      </c>
      <c r="E20" s="1">
        <v>141532</v>
      </c>
      <c r="F20" s="1">
        <f>1 * $E20</f>
        <v>141532</v>
      </c>
      <c r="G20" s="1">
        <f t="shared" si="0"/>
        <v>2.1888010224261172</v>
      </c>
      <c r="H20" s="1">
        <f t="shared" si="1"/>
        <v>4.7908499157736157</v>
      </c>
    </row>
    <row r="21" spans="1:8" x14ac:dyDescent="0.2">
      <c r="A21">
        <v>12</v>
      </c>
      <c r="B21" t="s">
        <v>4</v>
      </c>
      <c r="C21" t="s">
        <v>44</v>
      </c>
      <c r="D21">
        <v>1</v>
      </c>
      <c r="E21" s="1">
        <v>231801</v>
      </c>
      <c r="F21" s="1">
        <f>0.5 *$E21</f>
        <v>115900.5</v>
      </c>
      <c r="G21" s="1">
        <f t="shared" si="0"/>
        <v>1.792408309779401</v>
      </c>
      <c r="H21" s="1">
        <f t="shared" si="1"/>
        <v>3.212727548966249</v>
      </c>
    </row>
    <row r="22" spans="1:8" x14ac:dyDescent="0.2">
      <c r="A22">
        <v>13</v>
      </c>
      <c r="B22" t="s">
        <v>7</v>
      </c>
      <c r="C22" t="s">
        <v>44</v>
      </c>
      <c r="D22">
        <v>8</v>
      </c>
      <c r="E22" s="1">
        <v>213885</v>
      </c>
      <c r="F22" s="1">
        <f>0.5 *$E22</f>
        <v>106942.5</v>
      </c>
      <c r="G22" s="1">
        <f t="shared" si="0"/>
        <v>1.6538722927734013</v>
      </c>
      <c r="H22" s="1">
        <f t="shared" si="1"/>
        <v>2.7352935608035471</v>
      </c>
    </row>
    <row r="23" spans="1:8" x14ac:dyDescent="0.2">
      <c r="A23">
        <v>14</v>
      </c>
      <c r="B23" t="s">
        <v>25</v>
      </c>
      <c r="C23" t="s">
        <v>44</v>
      </c>
      <c r="D23">
        <v>6</v>
      </c>
      <c r="E23" s="1">
        <v>207806</v>
      </c>
      <c r="F23" s="1">
        <f>0.5 *$E23</f>
        <v>103903</v>
      </c>
      <c r="G23" s="1">
        <f t="shared" si="0"/>
        <v>1.6068662396711759</v>
      </c>
      <c r="H23" s="1">
        <f t="shared" si="1"/>
        <v>2.5820191121949851</v>
      </c>
    </row>
    <row r="24" spans="1:8" x14ac:dyDescent="0.2">
      <c r="A24">
        <v>15</v>
      </c>
      <c r="B24" t="s">
        <v>10</v>
      </c>
      <c r="C24" t="s">
        <v>43</v>
      </c>
      <c r="D24">
        <v>5</v>
      </c>
      <c r="E24" s="1">
        <v>79364</v>
      </c>
      <c r="F24" s="1">
        <f>1 * $E24</f>
        <v>79364</v>
      </c>
      <c r="G24" s="1">
        <f t="shared" si="0"/>
        <v>1.2273691062362317</v>
      </c>
      <c r="H24" s="1">
        <f t="shared" si="1"/>
        <v>1.5064349229431264</v>
      </c>
    </row>
    <row r="25" spans="1:8" x14ac:dyDescent="0.2">
      <c r="A25">
        <v>16</v>
      </c>
      <c r="B25" t="s">
        <v>5</v>
      </c>
      <c r="C25" t="s">
        <v>44</v>
      </c>
      <c r="D25">
        <v>1</v>
      </c>
      <c r="E25" s="1">
        <v>147800</v>
      </c>
      <c r="F25" s="1">
        <f>0.5 *$E25</f>
        <v>73900</v>
      </c>
      <c r="G25" s="1">
        <f t="shared" si="0"/>
        <v>1.142868012585776</v>
      </c>
      <c r="H25" s="1">
        <f t="shared" si="1"/>
        <v>1.3061472941917613</v>
      </c>
    </row>
    <row r="26" spans="1:8" x14ac:dyDescent="0.2">
      <c r="A26">
        <v>17</v>
      </c>
      <c r="B26" t="s">
        <v>17</v>
      </c>
      <c r="C26" t="s">
        <v>43</v>
      </c>
      <c r="D26">
        <v>2</v>
      </c>
      <c r="E26" s="1">
        <v>64706</v>
      </c>
      <c r="F26" s="1">
        <f>1 * $E26</f>
        <v>64706</v>
      </c>
      <c r="G26" s="1">
        <f t="shared" si="0"/>
        <v>1.0006822411688121</v>
      </c>
      <c r="H26" s="1">
        <f t="shared" si="1"/>
        <v>1.0013649477906366</v>
      </c>
    </row>
    <row r="27" spans="1:8" x14ac:dyDescent="0.2">
      <c r="A27">
        <v>18</v>
      </c>
      <c r="B27" t="s">
        <v>22</v>
      </c>
      <c r="C27" t="s">
        <v>44</v>
      </c>
      <c r="D27">
        <v>5</v>
      </c>
      <c r="E27" s="1">
        <v>116426</v>
      </c>
      <c r="F27" s="1">
        <f>0.5 *$E27</f>
        <v>58213</v>
      </c>
      <c r="G27" s="1">
        <f t="shared" si="0"/>
        <v>0.90026759968411063</v>
      </c>
      <c r="H27" s="1">
        <f t="shared" si="1"/>
        <v>0.81048175104099007</v>
      </c>
    </row>
    <row r="28" spans="1:8" x14ac:dyDescent="0.2">
      <c r="A28">
        <v>19</v>
      </c>
      <c r="B28" t="s">
        <v>3</v>
      </c>
      <c r="C28" t="s">
        <v>44</v>
      </c>
      <c r="D28">
        <v>3</v>
      </c>
      <c r="E28" s="1">
        <v>95228</v>
      </c>
      <c r="F28" s="1">
        <f>0.5 *$E28</f>
        <v>47614</v>
      </c>
      <c r="G28" s="1">
        <f t="shared" si="0"/>
        <v>0.73635341747306005</v>
      </c>
      <c r="H28" s="1">
        <f t="shared" si="1"/>
        <v>0.54221635542425461</v>
      </c>
    </row>
    <row r="29" spans="1:8" x14ac:dyDescent="0.2">
      <c r="A29">
        <v>20</v>
      </c>
      <c r="B29" t="s">
        <v>6</v>
      </c>
      <c r="C29" t="s">
        <v>43</v>
      </c>
      <c r="D29">
        <v>2</v>
      </c>
      <c r="E29" s="1">
        <v>24222</v>
      </c>
      <c r="F29" s="1">
        <f>1 * $E29</f>
        <v>24222</v>
      </c>
      <c r="G29" s="1">
        <f t="shared" si="0"/>
        <v>0.37459470907784392</v>
      </c>
      <c r="H29" s="1">
        <f t="shared" si="1"/>
        <v>0.14032119606911453</v>
      </c>
    </row>
    <row r="30" spans="1:8" x14ac:dyDescent="0.2">
      <c r="A30">
        <v>21</v>
      </c>
      <c r="B30" t="s">
        <v>16</v>
      </c>
      <c r="C30" t="s">
        <v>43</v>
      </c>
      <c r="D30">
        <v>1</v>
      </c>
      <c r="E30" s="1">
        <v>16263</v>
      </c>
      <c r="F30" s="1">
        <f>1 * $E30</f>
        <v>16263</v>
      </c>
      <c r="G30" s="1">
        <f t="shared" si="0"/>
        <v>0.25150828807418774</v>
      </c>
      <c r="H30" s="1">
        <f t="shared" si="1"/>
        <v>6.325641897000861E-2</v>
      </c>
    </row>
    <row r="31" spans="1:8" x14ac:dyDescent="0.2">
      <c r="A31">
        <v>22</v>
      </c>
      <c r="B31" t="s">
        <v>8</v>
      </c>
      <c r="C31" t="s">
        <v>43</v>
      </c>
      <c r="D31">
        <v>1</v>
      </c>
      <c r="E31" s="1">
        <v>12076</v>
      </c>
      <c r="F31" s="1">
        <f>1 * $E31</f>
        <v>12076</v>
      </c>
      <c r="G31" s="1">
        <f t="shared" si="0"/>
        <v>0.18675607740170272</v>
      </c>
      <c r="H31" s="1">
        <f t="shared" si="1"/>
        <v>3.4877832446470775E-2</v>
      </c>
    </row>
    <row r="32" spans="1:8" x14ac:dyDescent="0.2">
      <c r="A32">
        <v>23</v>
      </c>
      <c r="B32" t="s">
        <v>23</v>
      </c>
      <c r="C32" t="s">
        <v>44</v>
      </c>
      <c r="D32">
        <v>1</v>
      </c>
      <c r="E32" s="1">
        <v>7628</v>
      </c>
      <c r="F32" s="1">
        <f>0.5 *$E32</f>
        <v>3814</v>
      </c>
      <c r="G32" s="1">
        <f t="shared" si="0"/>
        <v>5.8983742895834232E-2</v>
      </c>
      <c r="H32" s="1">
        <f t="shared" si="1"/>
        <v>3.4790819260018752E-3</v>
      </c>
    </row>
    <row r="33" spans="1:8" x14ac:dyDescent="0.2">
      <c r="A33">
        <v>24</v>
      </c>
      <c r="B33" t="s">
        <v>26</v>
      </c>
      <c r="C33" t="s">
        <v>44</v>
      </c>
      <c r="D33">
        <v>1</v>
      </c>
      <c r="E33" s="1">
        <v>1911</v>
      </c>
      <c r="F33" s="1">
        <f>0.5 *$E33</f>
        <v>955.5</v>
      </c>
      <c r="G33" s="1">
        <f t="shared" si="0"/>
        <v>1.4776865846085372E-2</v>
      </c>
      <c r="H33" s="1">
        <f t="shared" si="1"/>
        <v>2.1835576423320435E-4</v>
      </c>
    </row>
    <row r="34" spans="1:8" x14ac:dyDescent="0.2">
      <c r="E34" s="1"/>
      <c r="F34" s="1"/>
      <c r="G34" s="1"/>
      <c r="H34" s="1"/>
    </row>
    <row r="35" spans="1:8" x14ac:dyDescent="0.2">
      <c r="E35" s="1"/>
      <c r="F35" s="1"/>
      <c r="G35" s="1"/>
      <c r="H35" s="1"/>
    </row>
    <row r="36" spans="1:8" x14ac:dyDescent="0.2">
      <c r="B36" t="s">
        <v>42</v>
      </c>
      <c r="D36">
        <f>SUM($D$10:$D$33)</f>
        <v>203</v>
      </c>
      <c r="E36" s="1">
        <f>SUM($E$10:$E$33)</f>
        <v>8232933</v>
      </c>
      <c r="F36" s="1">
        <f>SUM($F$10:$F$33)</f>
        <v>6466188.5</v>
      </c>
      <c r="G36" s="1">
        <f>SUM($G$10:$G$33)</f>
        <v>100.00000000000003</v>
      </c>
      <c r="H36" s="1">
        <f>SUM($H$10:$H$33)</f>
        <v>1295.4680995853792</v>
      </c>
    </row>
    <row r="39" spans="1:8" x14ac:dyDescent="0.2">
      <c r="B39" t="s">
        <v>45</v>
      </c>
    </row>
    <row r="40" spans="1:8" x14ac:dyDescent="0.2">
      <c r="B40" t="s">
        <v>46</v>
      </c>
    </row>
    <row r="41" spans="1:8" x14ac:dyDescent="0.2">
      <c r="B41" t="s">
        <v>47</v>
      </c>
    </row>
    <row r="42" spans="1:8" x14ac:dyDescent="0.2">
      <c r="B42" t="s">
        <v>48</v>
      </c>
    </row>
    <row r="43" spans="1:8" x14ac:dyDescent="0.2">
      <c r="B43" t="s">
        <v>49</v>
      </c>
    </row>
    <row r="44" spans="1:8" x14ac:dyDescent="0.2">
      <c r="B44" t="s">
        <v>50</v>
      </c>
    </row>
    <row r="45" spans="1:8" x14ac:dyDescent="0.2">
      <c r="B45" t="s">
        <v>51</v>
      </c>
    </row>
    <row r="47" spans="1:8" x14ac:dyDescent="0.2">
      <c r="B47" t="s">
        <v>52</v>
      </c>
    </row>
  </sheetData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Syracuse, NY</vt:lpstr>
      <vt:lpstr>tempExport1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Kaufmann Timon</cp:lastModifiedBy>
  <dcterms:created xsi:type="dcterms:W3CDTF">2026-03-11T23:06:27Z</dcterms:created>
  <dcterms:modified xsi:type="dcterms:W3CDTF">2026-03-11T23:06:27Z</dcterms:modified>
</cp:coreProperties>
</file>