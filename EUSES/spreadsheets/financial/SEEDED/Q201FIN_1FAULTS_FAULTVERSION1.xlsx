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6.xml" ContentType="application/vnd.openxmlformats-officedocument.spreadsheetml.worksheet+xml"/>
  <Override PartName="/xl/worksheets/sheet14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1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&amp;L" sheetId="1" state="visible" r:id="rId2"/>
    <sheet name="Balance Sheet" sheetId="2" state="visible" r:id="rId3"/>
    <sheet name="sheet3" sheetId="3" state="visible" r:id="rId4"/>
    <sheet name="Sheet5" sheetId="4" state="visible" r:id="rId5"/>
    <sheet name="Sheet4" sheetId="5" state="visible" r:id="rId6"/>
    <sheet name="Sheet6" sheetId="6" state="visible" r:id="rId7"/>
    <sheet name="Sheet7" sheetId="7" state="visible" r:id="rId8"/>
    <sheet name="Sheet8" sheetId="8" state="visible" r:id="rId9"/>
    <sheet name="Sheet9" sheetId="9" state="visible" r:id="rId10"/>
    <sheet name="Sheet10" sheetId="10" state="visible" r:id="rId11"/>
    <sheet name="Sheet11" sheetId="11" state="visible" r:id="rId12"/>
    <sheet name="Sheet12" sheetId="12" state="visible" r:id="rId13"/>
    <sheet name="Sheet13" sheetId="13" state="visible" r:id="rId14"/>
    <sheet name="Sheet14" sheetId="14" state="visible" r:id="rId15"/>
    <sheet name="Sheet15" sheetId="15" state="visible" r:id="rId16"/>
    <sheet name="Sheet16" sheetId="16" state="visible" r:id="rId17"/>
  </sheets>
  <definedNames>
    <definedName function="false" hidden="false" localSheetId="0" name="_xlnm.Print_Area" vbProcedure="false">'P&amp;L'!$A$3:$L$52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<sst xmlns="http://schemas.openxmlformats.org/spreadsheetml/2006/main" count="66" uniqueCount="60">
  <si>
    <t xml:space="preserve">Three Months Ended</t>
  </si>
  <si>
    <t xml:space="preserve">Six Months Ended</t>
  </si>
  <si>
    <t xml:space="preserve">December 31,</t>
  </si>
  <si>
    <t xml:space="preserve">REVENUES:</t>
  </si>
  <si>
    <t xml:space="preserve">Software licenses</t>
  </si>
  <si>
    <t xml:space="preserve">Maintenance and other services</t>
  </si>
  <si>
    <t xml:space="preserve">  Total revenues</t>
  </si>
  <si>
    <t xml:space="preserve">EXPENSES:</t>
  </si>
  <si>
    <t xml:space="preserve">Cost of software licenses</t>
  </si>
  <si>
    <t xml:space="preserve">Cost of maintenance and other services</t>
  </si>
  <si>
    <t xml:space="preserve">Selling and marketing</t>
  </si>
  <si>
    <t xml:space="preserve">Research and development</t>
  </si>
  <si>
    <t xml:space="preserve">General and administrative</t>
  </si>
  <si>
    <t xml:space="preserve">Charge for in-process research and development</t>
  </si>
  <si>
    <t xml:space="preserve">  Total costs and expenses</t>
  </si>
  <si>
    <t xml:space="preserve">Income (loss) from operations</t>
  </si>
  <si>
    <t xml:space="preserve">Other income (expense), net</t>
  </si>
  <si>
    <t xml:space="preserve">Write-off of investment</t>
  </si>
  <si>
    <t xml:space="preserve">Interest income, net</t>
  </si>
  <si>
    <t xml:space="preserve">Income (loss) before provision for </t>
  </si>
  <si>
    <t xml:space="preserve">(benefit from) income taxes</t>
  </si>
  <si>
    <t xml:space="preserve">Provision for benefit (benefit from) </t>
  </si>
  <si>
    <t xml:space="preserve">income taxes</t>
  </si>
  <si>
    <t xml:space="preserve">  Net income (loss)</t>
  </si>
  <si>
    <t xml:space="preserve">Diluted earnings (loss) per share</t>
  </si>
  <si>
    <t xml:space="preserve">Weighted average shares outstanding - diluted</t>
  </si>
  <si>
    <t xml:space="preserve">Basic earnings (loss) per share</t>
  </si>
  <si>
    <t xml:space="preserve">Weighted average shares outstanding - basic</t>
  </si>
  <si>
    <t xml:space="preserve">Pro Forma excluding charge for in-process R&amp;D, write-off of investment and amortization of goodwill:</t>
  </si>
  <si>
    <t xml:space="preserve">Net Income </t>
  </si>
  <si>
    <t xml:space="preserve">Diluted earnings per share</t>
  </si>
  <si>
    <t xml:space="preserve">Pro Forma excluding charge for in-process R&amp;D, write-off of investment, amortization of goodwill and PetroVantage:</t>
  </si>
  <si>
    <t xml:space="preserve">Net Income</t>
  </si>
  <si>
    <t xml:space="preserve">June 30, </t>
  </si>
  <si>
    <t xml:space="preserve">ASSETS</t>
  </si>
  <si>
    <t xml:space="preserve">Current Assets:</t>
  </si>
  <si>
    <t xml:space="preserve">Cash, cash equivalents and short-term investments</t>
  </si>
  <si>
    <t xml:space="preserve">Accounts receivable and unbilled services, net</t>
  </si>
  <si>
    <t xml:space="preserve">Current portion of long-term installments receivable, net</t>
  </si>
  <si>
    <t xml:space="preserve">Deferred tax asset</t>
  </si>
  <si>
    <t xml:space="preserve">Prepaid expenses and other current assets</t>
  </si>
  <si>
    <t xml:space="preserve">   Total current assets</t>
  </si>
  <si>
    <t xml:space="preserve">Long-term installments receivable, net</t>
  </si>
  <si>
    <t xml:space="preserve">Equipment and leasehold improvements, net</t>
  </si>
  <si>
    <t xml:space="preserve">Computer software development costs, net</t>
  </si>
  <si>
    <t xml:space="preserve">Intangible assets, net</t>
  </si>
  <si>
    <t xml:space="preserve">Other assets</t>
  </si>
  <si>
    <t xml:space="preserve">Total assets</t>
  </si>
  <si>
    <t xml:space="preserve">LIABILITIES AND STOCKHOLDERS' EQUITY </t>
  </si>
  <si>
    <t xml:space="preserve">Current liabilities:</t>
  </si>
  <si>
    <t xml:space="preserve">Current portion of long-term debt</t>
  </si>
  <si>
    <t xml:space="preserve">Accounts payable and accrued expenses </t>
  </si>
  <si>
    <t xml:space="preserve">Unearned revenue</t>
  </si>
  <si>
    <t xml:space="preserve">Deferred revenue</t>
  </si>
  <si>
    <t xml:space="preserve">  Total current liabilities</t>
  </si>
  <si>
    <t xml:space="preserve">Long-term debt, less current maturities</t>
  </si>
  <si>
    <t xml:space="preserve">Deferred revenue, less current portion</t>
  </si>
  <si>
    <t xml:space="preserve">Other liabilities</t>
  </si>
  <si>
    <t xml:space="preserve">Total stockholders' equity</t>
  </si>
  <si>
    <t xml:space="preserve">Total liabilities and stockholders' equity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</si>
</sst>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#,##0"/>
    <numFmt numFmtId="166" formatCode="_(\$* #,##0.00_);_(\$* \(#,##0.00\);_(\$* \-??_);_(@_)"/>
    <numFmt numFmtId="167" formatCode="_(\$* #,##0_);_(\$* \(#,##0\);_(\$* \-??_);_(@_)"/>
    <numFmt numFmtId="168" formatCode="\$#,##0_);[RED]&quot;($&quot;#,##0\)"/>
    <numFmt numFmtId="169" formatCode="_(* #,##0.00_);_(* \(#,##0.00\);_(* \-??_);_(@_)"/>
    <numFmt numFmtId="170" formatCode="_(* #,##0_);_(* \(#,##0\);_(* \-??_);_(@_)"/>
    <numFmt numFmtId="171" formatCode="[$-409]#,##0_);[RED]\(#,##0\)"/>
    <numFmt numFmtId="172" formatCode="0_);\(0\)"/>
    <numFmt numFmtId="173" formatCode="@"/>
    <numFmt numFmtId="174" formatCode="[$-409]#,##0_);\(#,##0\)"/>
    <numFmt numFmtId="175" formatCode="\$#,##0.00_);[RED]&quot;($&quot;#,##0.00\)"/>
    <numFmt numFmtId="176" formatCode="[$-409]d\-mmm\-yy"/>
    <numFmt numFmtId="177" formatCode="_(* #,##0_);_(* \(#,##0\);_(* \-_);_(@_)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Times New Roman"/>
      <family val="1"/>
    </font>
    <font>
      <b val="true"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9" fontId="0" fillId="0" borderId="0" applyFont="true" applyBorder="false" applyAlignment="false" applyProtection="false"/>
    <xf numFmtId="41" fontId="1" fillId="0" borderId="0" applyFont="true" applyBorder="false" applyAlignment="false" applyProtection="false"/>
    <xf numFmtId="166" fontId="0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4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4" fillId="0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2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1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3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4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3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0" borderId="3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0" borderId="3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4" fillId="0" borderId="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4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3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7" fontId="4" fillId="0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" fillId="0" borderId="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3:L53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Q18" activeCellId="0" sqref="Q18"/>
    </sheetView>
  </sheetViews>
  <sheetFormatPr defaultColWidth="9.0546875" defaultRowHeight="15" zeroHeight="false" outlineLevelRow="0" outlineLevelCol="0"/>
  <cols>
    <col collapsed="false" customWidth="true" hidden="false" outlineLevel="0" max="1" min="1" style="0" width="2.56"/>
    <col collapsed="false" customWidth="true" hidden="false" outlineLevel="0" max="3" min="3" style="0" width="8.27"/>
    <col collapsed="false" customWidth="true" hidden="false" outlineLevel="0" max="4" min="4" style="0" width="14.27"/>
    <col collapsed="false" customWidth="true" hidden="false" outlineLevel="0" max="5" min="5" style="0" width="13.4"/>
    <col collapsed="false" customWidth="true" hidden="false" outlineLevel="0" max="6" min="6" style="0" width="15.68"/>
    <col collapsed="false" customWidth="true" hidden="false" outlineLevel="0" max="7" min="7" style="0" width="2.28"/>
    <col collapsed="false" customWidth="true" hidden="false" outlineLevel="0" max="8" min="8" style="1" width="16.12"/>
    <col collapsed="false" customWidth="true" hidden="false" outlineLevel="0" max="9" min="9" style="0" width="5.28"/>
    <col collapsed="false" customWidth="true" hidden="false" outlineLevel="0" max="10" min="10" style="0" width="14.4"/>
    <col collapsed="false" customWidth="true" hidden="false" outlineLevel="0" max="11" min="11" style="0" width="2.84"/>
    <col collapsed="false" customWidth="true" hidden="false" outlineLevel="0" max="12" min="12" style="0" width="13.83"/>
  </cols>
  <sheetData>
    <row r="3" s="4" customFormat="true" ht="15" hidden="false" customHeight="false" outlineLevel="0" collapsed="false">
      <c r="A3" s="2"/>
      <c r="B3" s="3"/>
      <c r="G3" s="5" t="s">
        <v>0</v>
      </c>
      <c r="H3" s="1"/>
      <c r="K3" s="5" t="s">
        <v>1</v>
      </c>
      <c r="L3" s="6"/>
    </row>
    <row r="4" s="4" customFormat="true" ht="15" hidden="false" customHeight="false" outlineLevel="0" collapsed="false">
      <c r="A4" s="2"/>
      <c r="B4" s="3"/>
      <c r="F4" s="7" t="s">
        <v>2</v>
      </c>
      <c r="G4" s="5"/>
      <c r="H4" s="7" t="s">
        <v>2</v>
      </c>
      <c r="J4" s="7" t="s">
        <v>2</v>
      </c>
      <c r="K4" s="5"/>
      <c r="L4" s="7" t="s">
        <v>2</v>
      </c>
    </row>
    <row r="5" s="4" customFormat="true" ht="15" hidden="false" customHeight="false" outlineLevel="0" collapsed="false">
      <c r="A5" s="2"/>
      <c r="B5" s="3"/>
      <c r="F5" s="8" t="n">
        <v>2000</v>
      </c>
      <c r="G5" s="5"/>
      <c r="H5" s="8" t="n">
        <v>1999</v>
      </c>
      <c r="J5" s="8" t="n">
        <v>2000</v>
      </c>
      <c r="K5" s="5"/>
      <c r="L5" s="8" t="n">
        <v>1999</v>
      </c>
    </row>
    <row r="6" s="4" customFormat="true" ht="15" hidden="false" customHeight="false" outlineLevel="0" collapsed="false">
      <c r="A6" s="3" t="s">
        <v>3</v>
      </c>
      <c r="B6" s="3"/>
      <c r="F6" s="2"/>
      <c r="G6" s="2"/>
      <c r="H6" s="2"/>
    </row>
    <row r="7" s="4" customFormat="true" ht="15" hidden="false" customHeight="false" outlineLevel="0" collapsed="false">
      <c r="B7" s="9" t="s">
        <v>4</v>
      </c>
      <c r="C7" s="2"/>
      <c r="F7" s="10" t="n">
        <v>40630</v>
      </c>
      <c r="G7" s="11"/>
      <c r="H7" s="10" t="n">
        <v>29318</v>
      </c>
      <c r="J7" s="10" t="n">
        <v>73212</v>
      </c>
      <c r="L7" s="10" t="n">
        <v>50825</v>
      </c>
    </row>
    <row r="8" s="4" customFormat="true" ht="15" hidden="false" customHeight="false" outlineLevel="0" collapsed="false">
      <c r="B8" s="2" t="s">
        <v>5</v>
      </c>
      <c r="C8" s="2"/>
      <c r="F8" s="12" t="n">
        <v>41057</v>
      </c>
      <c r="G8" s="13"/>
      <c r="H8" s="12" t="n">
        <v>33166</v>
      </c>
      <c r="J8" s="12" t="n">
        <v>77963</v>
      </c>
      <c r="L8" s="12" t="n">
        <v>65011</v>
      </c>
    </row>
    <row r="9" s="4" customFormat="true" ht="15" hidden="false" customHeight="false" outlineLevel="0" collapsed="false">
      <c r="A9" s="2"/>
      <c r="B9" s="2" t="s">
        <v>6</v>
      </c>
      <c r="F9" s="12" t="n">
        <f aca="false">SUM(F7:F8)</f>
        <v>81687</v>
      </c>
      <c r="G9" s="13"/>
      <c r="H9" s="12" t="n">
        <f aca="false">COUNT(H7:H8)</f>
        <v>2</v>
      </c>
      <c r="J9" s="14" t="n">
        <f aca="false">SUM(J7:J8)</f>
        <v>151175</v>
      </c>
      <c r="L9" s="14" t="n">
        <f aca="false">SUM(L7:L8)</f>
        <v>115836</v>
      </c>
    </row>
    <row r="10" s="4" customFormat="true" ht="12" hidden="false" customHeight="true" outlineLevel="0" collapsed="false">
      <c r="A10" s="2"/>
      <c r="B10" s="2"/>
      <c r="F10" s="15"/>
      <c r="G10" s="13"/>
      <c r="H10" s="15"/>
    </row>
    <row r="11" s="4" customFormat="true" ht="15" hidden="false" customHeight="false" outlineLevel="0" collapsed="false">
      <c r="A11" s="3" t="s">
        <v>7</v>
      </c>
      <c r="B11" s="3"/>
      <c r="F11" s="15"/>
      <c r="G11" s="13"/>
      <c r="H11" s="15"/>
    </row>
    <row r="12" s="4" customFormat="true" ht="15" hidden="false" customHeight="false" outlineLevel="0" collapsed="false">
      <c r="B12" s="2" t="s">
        <v>8</v>
      </c>
      <c r="C12" s="2"/>
      <c r="F12" s="15" t="n">
        <v>2999</v>
      </c>
      <c r="G12" s="13"/>
      <c r="H12" s="15" t="n">
        <v>2187</v>
      </c>
      <c r="J12" s="15" t="n">
        <v>5564</v>
      </c>
      <c r="L12" s="15" t="n">
        <v>4263</v>
      </c>
    </row>
    <row r="13" s="4" customFormat="true" ht="15" hidden="false" customHeight="false" outlineLevel="0" collapsed="false">
      <c r="B13" s="2" t="s">
        <v>9</v>
      </c>
      <c r="C13" s="2"/>
      <c r="F13" s="15" t="n">
        <v>24544</v>
      </c>
      <c r="G13" s="13"/>
      <c r="H13" s="15" t="n">
        <v>20805</v>
      </c>
      <c r="J13" s="15" t="n">
        <v>46864</v>
      </c>
      <c r="L13" s="15" t="n">
        <v>40943</v>
      </c>
    </row>
    <row r="14" s="4" customFormat="true" ht="15" hidden="false" customHeight="false" outlineLevel="0" collapsed="false">
      <c r="B14" s="9" t="s">
        <v>10</v>
      </c>
      <c r="C14" s="9"/>
      <c r="F14" s="15" t="n">
        <v>27704</v>
      </c>
      <c r="G14" s="13"/>
      <c r="H14" s="15" t="n">
        <v>20820</v>
      </c>
      <c r="J14" s="15" t="n">
        <v>52422</v>
      </c>
      <c r="L14" s="15" t="n">
        <v>40148</v>
      </c>
    </row>
    <row r="15" s="4" customFormat="true" ht="15" hidden="false" customHeight="false" outlineLevel="0" collapsed="false">
      <c r="B15" s="2" t="s">
        <v>11</v>
      </c>
      <c r="C15" s="2"/>
      <c r="F15" s="15" t="n">
        <v>16568</v>
      </c>
      <c r="G15" s="13"/>
      <c r="H15" s="15" t="n">
        <v>11774</v>
      </c>
      <c r="J15" s="15" t="n">
        <v>31560</v>
      </c>
      <c r="L15" s="15" t="n">
        <v>23496</v>
      </c>
    </row>
    <row r="16" s="4" customFormat="true" ht="15" hidden="false" customHeight="false" outlineLevel="0" collapsed="false">
      <c r="B16" s="2" t="s">
        <v>12</v>
      </c>
      <c r="C16" s="2"/>
      <c r="F16" s="15" t="n">
        <v>7600</v>
      </c>
      <c r="G16" s="13"/>
      <c r="H16" s="15" t="n">
        <v>5748</v>
      </c>
      <c r="J16" s="15" t="n">
        <v>14165</v>
      </c>
      <c r="L16" s="15" t="n">
        <v>11316</v>
      </c>
    </row>
    <row r="17" s="4" customFormat="true" ht="15" hidden="false" customHeight="false" outlineLevel="0" collapsed="false">
      <c r="B17" s="2" t="s">
        <v>13</v>
      </c>
      <c r="C17" s="2"/>
      <c r="F17" s="15" t="n">
        <v>2615</v>
      </c>
      <c r="G17" s="13"/>
      <c r="H17" s="15" t="n">
        <v>0</v>
      </c>
      <c r="J17" s="15" t="n">
        <f aca="false">12615-5000</f>
        <v>7615</v>
      </c>
      <c r="L17" s="15" t="n">
        <v>0</v>
      </c>
    </row>
    <row r="18" s="4" customFormat="true" ht="15" hidden="false" customHeight="false" outlineLevel="0" collapsed="false">
      <c r="A18" s="2"/>
      <c r="B18" s="2" t="s">
        <v>14</v>
      </c>
      <c r="F18" s="16" t="n">
        <f aca="false">SUM(F12:F17)</f>
        <v>82030</v>
      </c>
      <c r="G18" s="13"/>
      <c r="H18" s="16" t="n">
        <f aca="false">SUM(H12:H17)</f>
        <v>61334</v>
      </c>
      <c r="J18" s="16" t="n">
        <f aca="false">SUM(J12:J17)</f>
        <v>158190</v>
      </c>
      <c r="K18" s="15"/>
      <c r="L18" s="16" t="n">
        <f aca="false">SUM(L12:L17)</f>
        <v>120166</v>
      </c>
    </row>
    <row r="19" s="4" customFormat="true" ht="12" hidden="false" customHeight="true" outlineLevel="0" collapsed="false">
      <c r="A19" s="2"/>
      <c r="B19" s="2"/>
      <c r="F19" s="15"/>
      <c r="G19" s="13"/>
      <c r="H19" s="15"/>
    </row>
    <row r="20" s="4" customFormat="true" ht="15" hidden="false" customHeight="false" outlineLevel="0" collapsed="false">
      <c r="B20" s="2" t="s">
        <v>15</v>
      </c>
      <c r="C20" s="2"/>
      <c r="F20" s="15" t="n">
        <f aca="false">F9-F18</f>
        <v>-343</v>
      </c>
      <c r="G20" s="17"/>
      <c r="H20" s="15" t="n">
        <f aca="false">H9-H18</f>
        <v>-61332</v>
      </c>
      <c r="J20" s="15" t="n">
        <f aca="false">J9-J18</f>
        <v>-7015</v>
      </c>
      <c r="L20" s="15" t="n">
        <f aca="false">L9-L18</f>
        <v>-4330</v>
      </c>
    </row>
    <row r="21" s="4" customFormat="true" ht="12" hidden="false" customHeight="true" outlineLevel="0" collapsed="false">
      <c r="A21" s="2"/>
      <c r="B21" s="2"/>
      <c r="F21" s="18"/>
      <c r="G21" s="17"/>
      <c r="H21" s="18"/>
      <c r="J21" s="19"/>
      <c r="L21" s="19"/>
    </row>
    <row r="22" s="4" customFormat="true" ht="15" hidden="false" customHeight="false" outlineLevel="0" collapsed="false">
      <c r="B22" s="2" t="s">
        <v>16</v>
      </c>
      <c r="C22" s="2"/>
      <c r="F22" s="15" t="n">
        <v>252</v>
      </c>
      <c r="G22" s="13"/>
      <c r="H22" s="15" t="n">
        <v>-51</v>
      </c>
      <c r="J22" s="20" t="n">
        <v>118</v>
      </c>
      <c r="L22" s="20" t="n">
        <v>-1</v>
      </c>
    </row>
    <row r="23" s="4" customFormat="true" ht="15" hidden="false" customHeight="false" outlineLevel="0" collapsed="false">
      <c r="B23" s="2" t="s">
        <v>17</v>
      </c>
      <c r="C23" s="2"/>
      <c r="F23" s="15" t="n">
        <v>-5000</v>
      </c>
      <c r="G23" s="13"/>
      <c r="H23" s="15" t="n">
        <v>0</v>
      </c>
      <c r="J23" s="15" t="n">
        <v>-5000</v>
      </c>
      <c r="K23" s="15"/>
      <c r="L23" s="15" t="n">
        <v>0</v>
      </c>
    </row>
    <row r="24" s="4" customFormat="true" ht="15" hidden="false" customHeight="false" outlineLevel="0" collapsed="false">
      <c r="B24" s="2" t="s">
        <v>18</v>
      </c>
      <c r="C24" s="2"/>
      <c r="F24" s="21" t="n">
        <v>1328</v>
      </c>
      <c r="G24" s="22"/>
      <c r="H24" s="21" t="n">
        <v>1015</v>
      </c>
      <c r="J24" s="12" t="n">
        <v>2869</v>
      </c>
      <c r="L24" s="12" t="n">
        <v>1996</v>
      </c>
    </row>
    <row r="25" s="4" customFormat="true" ht="15" hidden="false" customHeight="false" outlineLevel="0" collapsed="false">
      <c r="B25" s="2"/>
      <c r="C25" s="2"/>
      <c r="F25" s="18"/>
      <c r="G25" s="22"/>
      <c r="H25" s="18"/>
      <c r="J25" s="2"/>
      <c r="L25" s="2"/>
    </row>
    <row r="26" s="4" customFormat="true" ht="15" hidden="false" customHeight="false" outlineLevel="0" collapsed="false">
      <c r="B26" s="2" t="s">
        <v>19</v>
      </c>
      <c r="C26" s="2"/>
      <c r="G26" s="22"/>
    </row>
    <row r="27" s="4" customFormat="true" ht="15" hidden="false" customHeight="true" outlineLevel="0" collapsed="false">
      <c r="B27" s="2" t="s">
        <v>20</v>
      </c>
      <c r="C27" s="2"/>
      <c r="F27" s="18" t="n">
        <f aca="false">SUM(F20:F24)</f>
        <v>-3763</v>
      </c>
      <c r="G27" s="22"/>
      <c r="H27" s="18" t="n">
        <f aca="false">SUM(H20:H24)</f>
        <v>-60368</v>
      </c>
      <c r="J27" s="18" t="n">
        <f aca="false">SUM(J20:J24)</f>
        <v>-9028</v>
      </c>
      <c r="L27" s="18" t="n">
        <f aca="false">SUM(L20:L24)</f>
        <v>-2335</v>
      </c>
    </row>
    <row r="28" s="4" customFormat="true" ht="12" hidden="false" customHeight="true" outlineLevel="0" collapsed="false">
      <c r="B28" s="2"/>
      <c r="C28" s="2"/>
      <c r="F28" s="18"/>
      <c r="G28" s="22"/>
      <c r="H28" s="18"/>
    </row>
    <row r="29" s="4" customFormat="true" ht="15" hidden="false" customHeight="false" outlineLevel="0" collapsed="false">
      <c r="B29" s="2" t="s">
        <v>21</v>
      </c>
      <c r="C29" s="2"/>
    </row>
    <row r="30" s="4" customFormat="true" ht="15" hidden="false" customHeight="false" outlineLevel="0" collapsed="false">
      <c r="B30" s="2" t="s">
        <v>22</v>
      </c>
      <c r="C30" s="2"/>
      <c r="F30" s="23" t="n">
        <v>-1128</v>
      </c>
      <c r="G30" s="13"/>
      <c r="H30" s="23" t="n">
        <v>785</v>
      </c>
      <c r="J30" s="12" t="n">
        <v>-2708</v>
      </c>
      <c r="L30" s="12" t="n">
        <v>-594</v>
      </c>
    </row>
    <row r="31" s="4" customFormat="true" ht="12" hidden="false" customHeight="true" outlineLevel="0" collapsed="false">
      <c r="B31" s="2"/>
      <c r="C31" s="2"/>
      <c r="F31" s="15"/>
      <c r="G31" s="17"/>
      <c r="H31" s="15"/>
    </row>
    <row r="32" customFormat="false" ht="12.75" hidden="false" customHeight="false" outlineLevel="0" collapsed="false">
      <c r="H32" s="0"/>
    </row>
    <row r="33" s="4" customFormat="true" ht="15.75" hidden="false" customHeight="false" outlineLevel="0" collapsed="false">
      <c r="B33" s="2" t="s">
        <v>23</v>
      </c>
      <c r="C33" s="2"/>
      <c r="F33" s="24" t="n">
        <f aca="false">F27-F30</f>
        <v>-2635</v>
      </c>
      <c r="G33" s="25"/>
      <c r="H33" s="24" t="n">
        <f aca="false">H27-H30</f>
        <v>-61153</v>
      </c>
      <c r="J33" s="24" t="n">
        <f aca="false">J27-J30</f>
        <v>-6320</v>
      </c>
      <c r="L33" s="24" t="n">
        <f aca="false">L27-L30</f>
        <v>-1741</v>
      </c>
    </row>
    <row r="34" s="4" customFormat="true" ht="12" hidden="false" customHeight="true" outlineLevel="0" collapsed="false">
      <c r="B34" s="2"/>
      <c r="C34" s="2"/>
      <c r="F34" s="10"/>
      <c r="G34" s="25"/>
      <c r="H34" s="10"/>
    </row>
    <row r="35" s="4" customFormat="true" ht="15" hidden="false" customHeight="false" outlineLevel="0" collapsed="false">
      <c r="B35" s="2"/>
      <c r="C35" s="2"/>
      <c r="G35" s="25"/>
    </row>
    <row r="36" s="4" customFormat="true" ht="15.75" hidden="false" customHeight="false" outlineLevel="0" collapsed="false">
      <c r="B36" s="2" t="s">
        <v>24</v>
      </c>
      <c r="C36" s="2"/>
      <c r="F36" s="26" t="n">
        <f aca="false">+F33/F37</f>
        <v>-0.0885803610448112</v>
      </c>
      <c r="G36" s="27"/>
      <c r="H36" s="26" t="n">
        <f aca="false">+H33/H37</f>
        <v>-2.05390609256398</v>
      </c>
      <c r="J36" s="26" t="n">
        <f aca="false">+J33/J37</f>
        <v>-0.214288136167904</v>
      </c>
      <c r="L36" s="26" t="n">
        <f aca="false">+L33/L37</f>
        <v>-0.0624842981732046</v>
      </c>
    </row>
    <row r="37" s="4" customFormat="true" ht="16.5" hidden="false" customHeight="false" outlineLevel="0" collapsed="false">
      <c r="B37" s="2" t="s">
        <v>25</v>
      </c>
      <c r="C37" s="2"/>
      <c r="F37" s="28" t="n">
        <v>29747</v>
      </c>
      <c r="G37" s="27"/>
      <c r="H37" s="28" t="n">
        <v>29774</v>
      </c>
      <c r="J37" s="29" t="n">
        <v>29493</v>
      </c>
      <c r="L37" s="29" t="n">
        <v>27863</v>
      </c>
    </row>
    <row r="38" s="4" customFormat="true" ht="15.75" hidden="false" customHeight="false" outlineLevel="0" collapsed="false">
      <c r="B38" s="2"/>
      <c r="C38" s="2"/>
      <c r="G38" s="25"/>
    </row>
    <row r="39" s="4" customFormat="true" ht="15.75" hidden="false" customHeight="false" outlineLevel="0" collapsed="false">
      <c r="B39" s="2" t="s">
        <v>26</v>
      </c>
      <c r="C39" s="2"/>
      <c r="F39" s="26" t="n">
        <f aca="false">F33/F40</f>
        <v>-0.0885803610448112</v>
      </c>
      <c r="G39" s="27"/>
      <c r="H39" s="26" t="n">
        <f aca="false">H33/H40</f>
        <v>-2.18990152193375</v>
      </c>
      <c r="J39" s="26" t="n">
        <f aca="false">J33/J40</f>
        <v>-0.214288136167904</v>
      </c>
      <c r="L39" s="26" t="n">
        <f aca="false">L33/L40</f>
        <v>-0.0624842981732046</v>
      </c>
    </row>
    <row r="40" s="4" customFormat="true" ht="16.5" hidden="false" customHeight="false" outlineLevel="0" collapsed="false">
      <c r="B40" s="2" t="s">
        <v>27</v>
      </c>
      <c r="C40" s="2"/>
      <c r="F40" s="28" t="n">
        <v>29747</v>
      </c>
      <c r="G40" s="27"/>
      <c r="H40" s="28" t="n">
        <v>27925</v>
      </c>
      <c r="J40" s="29" t="n">
        <v>29493</v>
      </c>
      <c r="L40" s="29" t="n">
        <v>27863</v>
      </c>
    </row>
    <row r="41" s="4" customFormat="true" ht="15.75" hidden="false" customHeight="false" outlineLevel="0" collapsed="false">
      <c r="B41" s="2"/>
      <c r="C41" s="2"/>
      <c r="F41" s="30"/>
      <c r="G41" s="27"/>
      <c r="H41" s="30"/>
      <c r="J41" s="15"/>
      <c r="L41" s="15"/>
    </row>
    <row r="42" s="4" customFormat="true" ht="15" hidden="false" customHeight="false" outlineLevel="0" collapsed="false">
      <c r="B42" s="31" t="s">
        <v>28</v>
      </c>
      <c r="C42" s="0"/>
      <c r="D42" s="0"/>
      <c r="E42" s="0"/>
      <c r="F42" s="0"/>
      <c r="G42" s="0"/>
      <c r="H42" s="0"/>
      <c r="I42" s="0"/>
      <c r="J42" s="0"/>
      <c r="K42" s="0"/>
      <c r="L42" s="0"/>
    </row>
    <row r="43" s="4" customFormat="true" ht="6" hidden="false" customHeight="true" outlineLevel="0" collapsed="false"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</row>
    <row r="44" s="4" customFormat="true" ht="15.75" hidden="false" customHeight="false" outlineLevel="0" collapsed="false">
      <c r="B44" s="4" t="s">
        <v>29</v>
      </c>
      <c r="F44" s="24" t="n">
        <v>3111</v>
      </c>
      <c r="H44" s="24" t="n">
        <v>1421</v>
      </c>
      <c r="J44" s="24" t="n">
        <v>3154</v>
      </c>
      <c r="L44" s="24" t="n">
        <f aca="false">-1526</f>
        <v>-1526</v>
      </c>
    </row>
    <row r="45" s="4" customFormat="true" ht="7.5" hidden="false" customHeight="true" outlineLevel="0" collapsed="false">
      <c r="B45" s="0"/>
      <c r="C45" s="0"/>
      <c r="D45" s="0"/>
      <c r="E45" s="0"/>
      <c r="F45" s="0"/>
      <c r="G45" s="0"/>
      <c r="H45" s="1"/>
      <c r="I45" s="0"/>
      <c r="J45" s="32"/>
      <c r="K45" s="0"/>
      <c r="L45" s="0"/>
    </row>
    <row r="46" s="4" customFormat="true" ht="15.75" hidden="false" customHeight="false" outlineLevel="0" collapsed="false">
      <c r="B46" s="4" t="s">
        <v>30</v>
      </c>
      <c r="F46" s="26" t="n">
        <f aca="false">+F44/32703</f>
        <v>0.0951288872580497</v>
      </c>
      <c r="H46" s="26" t="n">
        <v>0.05</v>
      </c>
      <c r="J46" s="33" t="n">
        <f aca="false">+J44/32761</f>
        <v>0.0962730075394524</v>
      </c>
      <c r="L46" s="26" t="n">
        <f aca="false">-0.05</f>
        <v>-0.05</v>
      </c>
    </row>
    <row r="47" s="4" customFormat="true" ht="9.95" hidden="false" customHeight="true" outlineLevel="0" collapsed="false">
      <c r="B47" s="0"/>
      <c r="C47" s="0"/>
      <c r="D47" s="0"/>
      <c r="E47" s="0"/>
      <c r="F47" s="0"/>
      <c r="G47" s="0"/>
      <c r="H47" s="0"/>
      <c r="I47" s="0"/>
      <c r="J47" s="32"/>
      <c r="K47" s="0"/>
      <c r="L47" s="0"/>
    </row>
    <row r="48" s="31" customFormat="true" ht="14.25" hidden="false" customHeight="false" outlineLevel="0" collapsed="false">
      <c r="B48" s="31" t="s">
        <v>31</v>
      </c>
      <c r="J48" s="34"/>
    </row>
    <row r="49" customFormat="false" ht="8.25" hidden="false" customHeight="true" outlineLevel="0" collapsed="false">
      <c r="J49" s="32"/>
    </row>
    <row r="50" s="4" customFormat="true" ht="15.75" hidden="false" customHeight="false" outlineLevel="0" collapsed="false">
      <c r="B50" s="4" t="s">
        <v>32</v>
      </c>
      <c r="F50" s="24" t="n">
        <v>4305</v>
      </c>
      <c r="H50" s="24" t="n">
        <v>1421</v>
      </c>
      <c r="J50" s="24" t="n">
        <v>5042</v>
      </c>
      <c r="L50" s="24" t="n">
        <f aca="false">-1526</f>
        <v>-1526</v>
      </c>
    </row>
    <row r="51" customFormat="false" ht="15.75" hidden="false" customHeight="false" outlineLevel="0" collapsed="false">
      <c r="J51" s="32"/>
    </row>
    <row r="52" s="4" customFormat="true" ht="15.75" hidden="false" customHeight="false" outlineLevel="0" collapsed="false">
      <c r="B52" s="4" t="s">
        <v>30</v>
      </c>
      <c r="F52" s="26" t="n">
        <f aca="false">+F50/32703</f>
        <v>0.131639299146867</v>
      </c>
      <c r="H52" s="26" t="n">
        <v>0.05</v>
      </c>
      <c r="J52" s="33" t="n">
        <f aca="false">+J50/32761</f>
        <v>0.153902506028509</v>
      </c>
      <c r="L52" s="26" t="n">
        <f aca="false">-0.05</f>
        <v>-0.05</v>
      </c>
    </row>
    <row r="53" customFormat="false" ht="15.75" hidden="false" customHeight="false" outlineLevel="0" collapsed="false"/>
  </sheetData>
  <printOptions headings="false" gridLines="false" gridLinesSet="true" horizontalCentered="false" verticalCentered="false"/>
  <pageMargins left="0.25" right="0.25" top="1.35972222222222" bottom="0" header="0.529861111111111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Roman,Bold"&amp;12ASPEN TECHNOLOGY, INC.
CONSOLIDATED CONDENSED STATEMENTS OF OPERATIONS
&amp;"Times New Roman,Regular"&amp;10(Dollars in thousands, except per share data)</oddHeader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I4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L24" activeCellId="0" sqref="L24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2.41"/>
    <col collapsed="false" customWidth="true" hidden="false" outlineLevel="0" max="6" min="6" style="0" width="16.83"/>
    <col collapsed="false" customWidth="true" hidden="false" outlineLevel="0" max="7" min="7" style="0" width="13.12"/>
    <col collapsed="false" customWidth="true" hidden="false" outlineLevel="0" max="8" min="8" style="0" width="9.4"/>
    <col collapsed="false" customWidth="true" hidden="false" outlineLevel="0" max="9" min="9" style="0" width="12.98"/>
  </cols>
  <sheetData>
    <row r="1" s="4" customFormat="true" ht="15" hidden="false" customHeight="false" outlineLevel="0" collapsed="false"/>
    <row r="2" s="4" customFormat="true" ht="15" hidden="false" customHeight="false" outlineLevel="0" collapsed="false">
      <c r="H2" s="7"/>
      <c r="I2" s="35"/>
    </row>
    <row r="3" s="4" customFormat="true" ht="15" hidden="false" customHeight="false" outlineLevel="0" collapsed="false">
      <c r="G3" s="4" t="s">
        <v>2</v>
      </c>
      <c r="I3" s="36" t="s">
        <v>33</v>
      </c>
    </row>
    <row r="4" s="4" customFormat="true" ht="15" hidden="false" customHeight="false" outlineLevel="0" collapsed="false">
      <c r="G4" s="8" t="n">
        <v>2000</v>
      </c>
      <c r="H4" s="7"/>
      <c r="I4" s="8" t="n">
        <v>2000</v>
      </c>
    </row>
    <row r="5" s="4" customFormat="true" ht="15" hidden="false" customHeight="false" outlineLevel="0" collapsed="false">
      <c r="A5" s="3" t="s">
        <v>34</v>
      </c>
      <c r="B5" s="2"/>
      <c r="C5" s="2"/>
      <c r="D5" s="2"/>
      <c r="G5" s="5"/>
      <c r="H5" s="2"/>
    </row>
    <row r="6" s="4" customFormat="true" ht="15" hidden="false" customHeight="false" outlineLevel="0" collapsed="false">
      <c r="A6" s="4" t="s">
        <v>35</v>
      </c>
      <c r="B6" s="2"/>
      <c r="C6" s="2"/>
      <c r="D6" s="2"/>
      <c r="G6" s="37"/>
      <c r="H6" s="2"/>
    </row>
    <row r="7" s="4" customFormat="true" ht="15" hidden="false" customHeight="false" outlineLevel="0" collapsed="false">
      <c r="B7" s="2" t="s">
        <v>36</v>
      </c>
      <c r="C7" s="2"/>
      <c r="D7" s="2"/>
      <c r="G7" s="38" t="n">
        <v>83160</v>
      </c>
      <c r="H7" s="11"/>
      <c r="I7" s="10" t="n">
        <v>113532</v>
      </c>
    </row>
    <row r="8" s="4" customFormat="true" ht="15" hidden="false" customHeight="false" outlineLevel="0" collapsed="false">
      <c r="B8" s="2" t="s">
        <v>37</v>
      </c>
      <c r="C8" s="2"/>
      <c r="D8" s="2"/>
      <c r="G8" s="39" t="n">
        <v>107032</v>
      </c>
      <c r="H8" s="11"/>
      <c r="I8" s="15" t="n">
        <v>103675</v>
      </c>
    </row>
    <row r="9" s="4" customFormat="true" ht="15" hidden="false" customHeight="false" outlineLevel="0" collapsed="false">
      <c r="B9" s="2" t="s">
        <v>38</v>
      </c>
      <c r="C9" s="2"/>
      <c r="D9" s="2"/>
      <c r="G9" s="30" t="n">
        <v>29566</v>
      </c>
      <c r="H9" s="13"/>
      <c r="I9" s="15" t="n">
        <v>24873</v>
      </c>
    </row>
    <row r="10" s="4" customFormat="true" ht="15" hidden="false" customHeight="false" outlineLevel="0" collapsed="false">
      <c r="B10" s="2" t="s">
        <v>39</v>
      </c>
      <c r="C10" s="2"/>
      <c r="D10" s="2"/>
      <c r="G10" s="30" t="n">
        <v>3300</v>
      </c>
      <c r="H10" s="13"/>
      <c r="I10" s="15" t="n">
        <v>3300</v>
      </c>
    </row>
    <row r="11" s="4" customFormat="true" ht="15" hidden="false" customHeight="false" outlineLevel="0" collapsed="false">
      <c r="B11" s="2" t="s">
        <v>40</v>
      </c>
      <c r="C11" s="2"/>
      <c r="D11" s="2"/>
      <c r="G11" s="12" t="n">
        <v>18388</v>
      </c>
      <c r="H11" s="13"/>
      <c r="I11" s="12" t="n">
        <v>16175</v>
      </c>
    </row>
    <row r="12" s="4" customFormat="true" ht="12" hidden="false" customHeight="true" outlineLevel="0" collapsed="false">
      <c r="B12" s="2"/>
      <c r="C12" s="2"/>
      <c r="D12" s="2"/>
      <c r="G12" s="15"/>
      <c r="H12" s="13"/>
      <c r="I12" s="15"/>
    </row>
    <row r="13" s="4" customFormat="true" ht="15" hidden="false" customHeight="false" outlineLevel="0" collapsed="false">
      <c r="B13" s="2" t="s">
        <v>41</v>
      </c>
      <c r="C13" s="2"/>
      <c r="G13" s="12" t="n">
        <f aca="false">SUM(G7:G12)</f>
        <v>241446</v>
      </c>
      <c r="H13" s="13"/>
      <c r="I13" s="12" t="n">
        <f aca="false">SUM(I7:I11)</f>
        <v>261555</v>
      </c>
    </row>
    <row r="14" s="4" customFormat="true" ht="12" hidden="false" customHeight="true" outlineLevel="0" collapsed="false">
      <c r="D14" s="2"/>
      <c r="I14" s="15"/>
    </row>
    <row r="15" s="4" customFormat="true" ht="15" hidden="false" customHeight="false" outlineLevel="0" collapsed="false">
      <c r="A15" s="9" t="s">
        <v>42</v>
      </c>
      <c r="B15" s="2"/>
      <c r="C15" s="2"/>
      <c r="D15" s="2"/>
      <c r="G15" s="15" t="n">
        <v>38729</v>
      </c>
      <c r="H15" s="13"/>
      <c r="I15" s="15" t="n">
        <v>28301</v>
      </c>
    </row>
    <row r="16" s="4" customFormat="true" ht="15" hidden="false" customHeight="false" outlineLevel="0" collapsed="false">
      <c r="A16" s="2" t="s">
        <v>43</v>
      </c>
      <c r="B16" s="2"/>
      <c r="C16" s="2"/>
      <c r="D16" s="2"/>
      <c r="G16" s="15" t="n">
        <v>42385</v>
      </c>
      <c r="H16" s="13"/>
      <c r="I16" s="15" t="n">
        <v>36093</v>
      </c>
    </row>
    <row r="17" s="4" customFormat="true" ht="15" hidden="false" customHeight="false" outlineLevel="0" collapsed="false">
      <c r="A17" s="2" t="s">
        <v>44</v>
      </c>
      <c r="B17" s="2"/>
      <c r="C17" s="2"/>
      <c r="D17" s="2"/>
      <c r="G17" s="15" t="n">
        <v>7654</v>
      </c>
      <c r="H17" s="13"/>
      <c r="I17" s="15" t="n">
        <v>7026</v>
      </c>
    </row>
    <row r="18" s="4" customFormat="true" ht="15" hidden="false" customHeight="false" outlineLevel="0" collapsed="false">
      <c r="A18" s="2" t="s">
        <v>45</v>
      </c>
      <c r="B18" s="2"/>
      <c r="C18" s="2"/>
      <c r="D18" s="2"/>
      <c r="G18" s="15" t="n">
        <v>29409</v>
      </c>
      <c r="H18" s="13"/>
      <c r="I18" s="15" t="n">
        <v>8856</v>
      </c>
    </row>
    <row r="19" s="4" customFormat="true" ht="15" hidden="false" customHeight="false" outlineLevel="0" collapsed="false">
      <c r="A19" s="2" t="s">
        <v>39</v>
      </c>
      <c r="B19" s="2"/>
      <c r="C19" s="2"/>
      <c r="D19" s="2"/>
      <c r="G19" s="15" t="n">
        <v>4027</v>
      </c>
      <c r="H19" s="13"/>
      <c r="I19" s="15" t="n">
        <v>10130</v>
      </c>
    </row>
    <row r="20" s="4" customFormat="true" ht="15" hidden="false" customHeight="false" outlineLevel="0" collapsed="false">
      <c r="A20" s="2" t="s">
        <v>46</v>
      </c>
      <c r="B20" s="2"/>
      <c r="C20" s="2"/>
      <c r="D20" s="2"/>
      <c r="G20" s="12" t="n">
        <v>11661</v>
      </c>
      <c r="H20" s="13"/>
      <c r="I20" s="12" t="n">
        <v>12984</v>
      </c>
    </row>
    <row r="21" s="4" customFormat="true" ht="12" hidden="false" customHeight="true" outlineLevel="0" collapsed="false">
      <c r="I21" s="15"/>
    </row>
    <row r="22" s="4" customFormat="true" ht="15.75" hidden="false" customHeight="false" outlineLevel="0" collapsed="false">
      <c r="B22" s="4" t="s">
        <v>47</v>
      </c>
      <c r="G22" s="40" t="n">
        <f aca="false">SUM(G13:G20)</f>
        <v>375311</v>
      </c>
      <c r="H22" s="11"/>
      <c r="I22" s="24" t="n">
        <f aca="false">SUM(I13:I20)</f>
        <v>364945</v>
      </c>
    </row>
    <row r="23" s="4" customFormat="true" ht="15.75" hidden="false" customHeight="false" outlineLevel="0" collapsed="false">
      <c r="D23" s="2"/>
      <c r="I23" s="15"/>
    </row>
    <row r="24" s="4" customFormat="true" ht="15" hidden="false" customHeight="false" outlineLevel="0" collapsed="false">
      <c r="I24" s="15"/>
    </row>
    <row r="25" s="4" customFormat="true" ht="15" hidden="false" customHeight="false" outlineLevel="0" collapsed="false">
      <c r="A25" s="3" t="s">
        <v>48</v>
      </c>
      <c r="B25" s="3"/>
      <c r="C25" s="3"/>
      <c r="D25" s="3"/>
      <c r="E25" s="31"/>
      <c r="G25" s="41"/>
      <c r="H25" s="11"/>
      <c r="I25" s="15"/>
    </row>
    <row r="26" s="4" customFormat="true" ht="15" hidden="false" customHeight="false" outlineLevel="0" collapsed="false">
      <c r="A26" s="2" t="s">
        <v>49</v>
      </c>
      <c r="B26" s="2"/>
      <c r="C26" s="2"/>
      <c r="D26" s="2"/>
      <c r="G26" s="41"/>
      <c r="H26" s="11"/>
    </row>
    <row r="27" s="4" customFormat="true" ht="15" hidden="false" customHeight="false" outlineLevel="0" collapsed="false">
      <c r="B27" s="2" t="s">
        <v>50</v>
      </c>
      <c r="C27" s="2"/>
      <c r="D27" s="2"/>
      <c r="E27" s="2"/>
      <c r="G27" s="38" t="n">
        <v>2733</v>
      </c>
      <c r="H27" s="11"/>
      <c r="I27" s="10" t="n">
        <v>1327</v>
      </c>
    </row>
    <row r="28" s="4" customFormat="true" ht="15" hidden="false" customHeight="false" outlineLevel="0" collapsed="false">
      <c r="B28" s="2" t="s">
        <v>51</v>
      </c>
      <c r="C28" s="2"/>
      <c r="D28" s="2"/>
      <c r="E28" s="2"/>
      <c r="G28" s="42" t="n">
        <v>41126</v>
      </c>
      <c r="H28" s="13"/>
      <c r="I28" s="15" t="n">
        <v>53392</v>
      </c>
    </row>
    <row r="29" s="4" customFormat="true" ht="15" hidden="false" customHeight="false" outlineLevel="0" collapsed="false">
      <c r="B29" s="2" t="s">
        <v>52</v>
      </c>
      <c r="C29" s="2"/>
      <c r="D29" s="2"/>
      <c r="E29" s="2"/>
      <c r="G29" s="15" t="n">
        <v>19207</v>
      </c>
      <c r="H29" s="13"/>
      <c r="I29" s="15" t="n">
        <v>13903</v>
      </c>
    </row>
    <row r="30" s="4" customFormat="true" ht="15" hidden="false" customHeight="false" outlineLevel="0" collapsed="false">
      <c r="B30" s="2" t="s">
        <v>53</v>
      </c>
      <c r="C30" s="2"/>
      <c r="D30" s="2"/>
      <c r="E30" s="2"/>
      <c r="G30" s="15" t="n">
        <v>23599</v>
      </c>
      <c r="H30" s="13"/>
      <c r="I30" s="15" t="n">
        <v>23553</v>
      </c>
    </row>
    <row r="31" s="4" customFormat="true" ht="15" hidden="false" customHeight="false" outlineLevel="0" collapsed="false">
      <c r="B31" s="2" t="s">
        <v>54</v>
      </c>
      <c r="C31" s="2"/>
      <c r="D31" s="2"/>
      <c r="G31" s="16" t="n">
        <f aca="false">SUM(G27:G30)</f>
        <v>86665</v>
      </c>
      <c r="H31" s="13"/>
      <c r="I31" s="16" t="n">
        <f aca="false">SUM(I27:I30)</f>
        <v>92175</v>
      </c>
    </row>
    <row r="32" s="4" customFormat="true" ht="12" hidden="false" customHeight="true" outlineLevel="0" collapsed="false">
      <c r="A32" s="2"/>
      <c r="B32" s="2"/>
      <c r="C32" s="2"/>
      <c r="D32" s="2"/>
      <c r="G32" s="15"/>
      <c r="H32" s="13"/>
      <c r="I32" s="15"/>
    </row>
    <row r="33" s="4" customFormat="true" ht="15" hidden="false" customHeight="false" outlineLevel="0" collapsed="false">
      <c r="A33" s="2" t="s">
        <v>55</v>
      </c>
      <c r="B33" s="2"/>
      <c r="C33" s="2"/>
      <c r="D33" s="2"/>
      <c r="G33" s="15" t="n">
        <v>88489</v>
      </c>
      <c r="H33" s="13"/>
      <c r="I33" s="15" t="n">
        <v>88173</v>
      </c>
    </row>
    <row r="34" s="4" customFormat="true" ht="15" hidden="false" customHeight="false" outlineLevel="0" collapsed="false">
      <c r="A34" s="2" t="s">
        <v>56</v>
      </c>
      <c r="B34" s="2"/>
      <c r="C34" s="2"/>
      <c r="D34" s="2"/>
      <c r="G34" s="15" t="n">
        <v>13199</v>
      </c>
      <c r="H34" s="13"/>
      <c r="I34" s="15" t="n">
        <v>14374</v>
      </c>
    </row>
    <row r="35" s="4" customFormat="true" ht="15" hidden="false" customHeight="false" outlineLevel="0" collapsed="false">
      <c r="A35" s="2" t="s">
        <v>57</v>
      </c>
      <c r="B35" s="2"/>
      <c r="C35" s="2"/>
      <c r="D35" s="2"/>
      <c r="G35" s="12" t="n">
        <v>832</v>
      </c>
      <c r="H35" s="13"/>
      <c r="I35" s="12" t="n">
        <v>1025</v>
      </c>
    </row>
    <row r="36" s="4" customFormat="true" ht="12" hidden="false" customHeight="true" outlineLevel="0" collapsed="false">
      <c r="I36" s="15"/>
    </row>
    <row r="37" s="4" customFormat="true" ht="15" hidden="false" customHeight="false" outlineLevel="0" collapsed="false">
      <c r="A37" s="2" t="s">
        <v>58</v>
      </c>
      <c r="B37" s="2"/>
      <c r="C37" s="2"/>
      <c r="D37" s="2"/>
      <c r="G37" s="12" t="n">
        <v>186126</v>
      </c>
      <c r="H37" s="17"/>
      <c r="I37" s="12" t="n">
        <v>169198</v>
      </c>
    </row>
    <row r="38" s="4" customFormat="true" ht="15.75" hidden="false" customHeight="false" outlineLevel="0" collapsed="false">
      <c r="A38" s="2"/>
      <c r="B38" s="2" t="s">
        <v>59</v>
      </c>
      <c r="C38" s="2"/>
      <c r="D38" s="2"/>
      <c r="G38" s="24" t="n">
        <f aca="false">SUM(G31:G37)</f>
        <v>375311</v>
      </c>
      <c r="H38" s="13"/>
      <c r="I38" s="24" t="n">
        <f aca="false">SUM(I31:I37)</f>
        <v>364945</v>
      </c>
    </row>
    <row r="39" s="4" customFormat="true" ht="15.75" hidden="false" customHeight="false" outlineLevel="0" collapsed="false">
      <c r="A39" s="3"/>
      <c r="B39" s="2"/>
      <c r="C39" s="2"/>
      <c r="D39" s="2"/>
      <c r="G39" s="43"/>
      <c r="H39" s="13"/>
      <c r="I39" s="15"/>
    </row>
    <row r="40" s="4" customFormat="true" ht="15" hidden="false" customHeight="false" outlineLevel="0" collapsed="false">
      <c r="A40" s="2"/>
      <c r="B40" s="2"/>
      <c r="C40" s="2"/>
      <c r="D40" s="2"/>
      <c r="G40" s="42"/>
      <c r="H40" s="13"/>
      <c r="I40" s="15"/>
    </row>
    <row r="41" s="4" customFormat="true" ht="15" hidden="false" customHeight="false" outlineLevel="0" collapsed="false">
      <c r="A41" s="2"/>
      <c r="B41" s="2"/>
      <c r="C41" s="2"/>
      <c r="D41" s="2"/>
      <c r="G41" s="44"/>
      <c r="H41" s="13"/>
      <c r="I41" s="10"/>
    </row>
    <row r="42" s="4" customFormat="true" ht="15" hidden="false" customHeight="false" outlineLevel="0" collapsed="false">
      <c r="A42" s="2"/>
      <c r="B42" s="2"/>
      <c r="C42" s="2"/>
      <c r="D42" s="2"/>
      <c r="G42" s="44"/>
      <c r="H42" s="13"/>
      <c r="I42" s="15"/>
    </row>
    <row r="43" s="4" customFormat="true" ht="15" hidden="false" customHeight="false" outlineLevel="0" collapsed="false"/>
    <row r="44" s="4" customFormat="true" ht="15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1.44027777777778" bottom="0.984027777777778" header="0.770138888888889" footer="0.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Roman,Bold"&amp;12ASPEN TECHNOLOGY, INC.
CONSOLIDATED CONDENSED BALANCE SHEET
&amp;"Times New Roman,Regular"&amp;10(Dollars in thousands)</oddHeader>
    <oddFooter>&amp;C# # #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1997-01-17T20:57:24Z</dcterms:created>
  <dc:creator>Aspen Technology</dc:creator>
  <dc:description/>
  <dc:language>en-US</dc:language>
  <cp:lastModifiedBy>Joshua Young</cp:lastModifiedBy>
  <cp:lastPrinted>2001-01-24T20:22:22Z</cp:lastPrinted>
  <dcterms:modified xsi:type="dcterms:W3CDTF">2001-01-24T20:24:09Z</dcterms:modified>
  <cp:revision>0</cp:revision>
  <dc:subject/>
  <dc:title/>
</cp:coreProperties>
</file>