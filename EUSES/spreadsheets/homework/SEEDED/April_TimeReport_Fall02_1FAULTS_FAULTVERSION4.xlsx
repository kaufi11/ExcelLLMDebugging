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B073150C-9F81-4D13-8590-658FE9D5B58B}" xr6:coauthVersionLast="47" xr6:coauthVersionMax="47" xr10:uidLastSave="{00000000-0000-0000-0000-000000000000}"/>
  <bookViews>
    <workbookView xWindow="2190" yWindow="2085" windowWidth="15330" windowHeight="10770" xr2:uid="{B7FA1D5D-14A1-4316-BC71-826D29718048}"/>
  </bookViews>
  <sheets>
    <sheet name="Reporting" sheetId="1" r:id="rId1"/>
  </sheets>
  <definedNames>
    <definedName name="_xlnm.Print_Titles" localSheetId="0">Reporting!$A:$A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B7" i="1"/>
  <c r="N20" i="1"/>
  <c r="N22" i="1"/>
  <c r="N23" i="1"/>
  <c r="N25" i="1"/>
  <c r="N32" i="1"/>
  <c r="N24" i="1"/>
  <c r="N21" i="1"/>
  <c r="N26" i="1"/>
  <c r="N27" i="1"/>
  <c r="N28" i="1"/>
  <c r="N29" i="1"/>
  <c r="N30" i="1"/>
  <c r="N31" i="1"/>
  <c r="N33" i="1"/>
  <c r="N34" i="1"/>
  <c r="N19" i="1"/>
  <c r="N4" i="1"/>
  <c r="N3" i="1" s="1"/>
  <c r="N35" i="1" s="1"/>
  <c r="C3" i="1"/>
  <c r="C35" i="1" s="1"/>
  <c r="B3" i="1"/>
  <c r="B35" i="1" s="1"/>
  <c r="B19" i="1"/>
  <c r="C19" i="1"/>
  <c r="D19" i="1"/>
  <c r="E19" i="1"/>
  <c r="F19" i="1"/>
  <c r="G19" i="1"/>
  <c r="H19" i="1"/>
  <c r="I19" i="1"/>
  <c r="J19" i="1"/>
  <c r="K19" i="1"/>
  <c r="L19" i="1"/>
  <c r="M19" i="1"/>
  <c r="M35" i="1" s="1"/>
  <c r="N5" i="1"/>
  <c r="N6" i="1"/>
  <c r="N8" i="1"/>
  <c r="N9" i="1"/>
  <c r="N10" i="1"/>
  <c r="N7" i="1"/>
  <c r="N12" i="1"/>
  <c r="N13" i="1"/>
  <c r="N14" i="1"/>
  <c r="N11" i="1"/>
  <c r="N16" i="1"/>
  <c r="N17" i="1"/>
  <c r="N18" i="1"/>
  <c r="N15" i="1"/>
  <c r="M3" i="1"/>
  <c r="M11" i="1"/>
  <c r="M15" i="1"/>
  <c r="L3" i="1"/>
  <c r="L7" i="1"/>
  <c r="L11" i="1"/>
  <c r="L15" i="1"/>
  <c r="L35" i="1"/>
  <c r="K3" i="1"/>
  <c r="K7" i="1"/>
  <c r="K11" i="1"/>
  <c r="K15" i="1"/>
  <c r="K35" i="1"/>
  <c r="J3" i="1"/>
  <c r="J35" i="1" s="1"/>
  <c r="J7" i="1"/>
  <c r="J11" i="1"/>
  <c r="J15" i="1"/>
  <c r="I3" i="1"/>
  <c r="I7" i="1"/>
  <c r="I11" i="1"/>
  <c r="I15" i="1"/>
  <c r="I35" i="1"/>
  <c r="H3" i="1"/>
  <c r="H7" i="1"/>
  <c r="H11" i="1"/>
  <c r="H15" i="1"/>
  <c r="H35" i="1"/>
  <c r="G3" i="1"/>
  <c r="G7" i="1"/>
  <c r="G11" i="1"/>
  <c r="G15" i="1"/>
  <c r="G35" i="1"/>
  <c r="F3" i="1"/>
  <c r="F7" i="1"/>
  <c r="F11" i="1"/>
  <c r="F15" i="1"/>
  <c r="F35" i="1"/>
  <c r="E3" i="1"/>
  <c r="E7" i="1"/>
  <c r="E11" i="1"/>
  <c r="E15" i="1"/>
  <c r="E35" i="1"/>
  <c r="D3" i="1"/>
  <c r="D7" i="1"/>
  <c r="D11" i="1"/>
  <c r="D15" i="1"/>
  <c r="D35" i="1"/>
  <c r="C7" i="1"/>
  <c r="C11" i="1"/>
  <c r="C15" i="1"/>
  <c r="B11" i="1"/>
  <c r="B15" i="1"/>
</calcChain>
</file>

<file path=xl/sharedStrings.xml><?xml version="1.0" encoding="utf-8"?>
<sst xmlns="http://schemas.openxmlformats.org/spreadsheetml/2006/main" count="57" uniqueCount="45">
  <si>
    <t>Week 4</t>
  </si>
  <si>
    <t>Week 5</t>
  </si>
  <si>
    <t>Week 6</t>
  </si>
  <si>
    <t>Week 7</t>
  </si>
  <si>
    <t>Week 8</t>
  </si>
  <si>
    <t>Week 10</t>
  </si>
  <si>
    <t>Week 11</t>
  </si>
  <si>
    <t>Week 12</t>
  </si>
  <si>
    <t>Elective</t>
  </si>
  <si>
    <t>Reading/Preparing</t>
  </si>
  <si>
    <t>Homework</t>
  </si>
  <si>
    <t>Class</t>
  </si>
  <si>
    <t>Team Meetings</t>
  </si>
  <si>
    <t>Client Meetings</t>
  </si>
  <si>
    <t>Mentor Meetings</t>
  </si>
  <si>
    <t>Studio Work</t>
  </si>
  <si>
    <t>Team Lead</t>
  </si>
  <si>
    <t>Client Liasion</t>
  </si>
  <si>
    <t>QA</t>
  </si>
  <si>
    <t>Support</t>
  </si>
  <si>
    <t>Process</t>
  </si>
  <si>
    <t>Development</t>
  </si>
  <si>
    <t>Planning</t>
  </si>
  <si>
    <t>Studio Specialist Role</t>
  </si>
  <si>
    <t>Week 13</t>
  </si>
  <si>
    <t>Week 14</t>
  </si>
  <si>
    <t>Week 15</t>
  </si>
  <si>
    <t>Models</t>
  </si>
  <si>
    <t>Management</t>
  </si>
  <si>
    <t>Studio I</t>
  </si>
  <si>
    <t>Requirements</t>
  </si>
  <si>
    <t>Total</t>
  </si>
  <si>
    <t xml:space="preserve">Week9 </t>
  </si>
  <si>
    <t>09/16 - 09/22</t>
  </si>
  <si>
    <t>09/23 - 09/29</t>
  </si>
  <si>
    <t>09/30 - 10/06</t>
  </si>
  <si>
    <t>10/07 - 10/13</t>
  </si>
  <si>
    <t>10/14 - 10/20</t>
  </si>
  <si>
    <t>10/21 - 10/27</t>
  </si>
  <si>
    <t>10/28 - 11/03</t>
  </si>
  <si>
    <t>11/04 - 11/10</t>
  </si>
  <si>
    <t>11/11 - 11/17</t>
  </si>
  <si>
    <t>11/18 - 11/24</t>
  </si>
  <si>
    <t>11/25 - 12/01</t>
  </si>
  <si>
    <t>12/02 - 12/08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</si>
</sst>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/d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172" fontId="1" fillId="0" borderId="3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0" xfId="0" applyBorder="1"/>
    <xf numFmtId="0" fontId="0" fillId="0" borderId="8" xfId="0" applyBorder="1" applyAlignment="1"/>
    <xf numFmtId="0" fontId="1" fillId="0" borderId="5" xfId="0" applyFont="1" applyBorder="1"/>
    <xf numFmtId="0" fontId="2" fillId="0" borderId="5" xfId="0" applyFont="1" applyBorder="1" applyAlignment="1"/>
    <xf numFmtId="0" fontId="1" fillId="0" borderId="9" xfId="0" applyFont="1" applyFill="1" applyBorder="1"/>
    <xf numFmtId="0" fontId="1" fillId="0" borderId="10" xfId="0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1" fillId="0" borderId="18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696B-E428-4C9A-A46C-41E9540FC4E5}">
  <dimension ref="A1:N681"/>
  <sheetViews>
    <sheetView tabSelected="1" workbookViewId="0">
      <pane xSplit="1" ySplit="2" topLeftCell="M3" activePane="bottomRight" state="frozen"/>
      <selection pane="topRight" activeCell="B1" sqref="B1"/>
      <selection pane="bottomLeft" activeCell="A4" sqref="A4"/>
      <selection pane="bottomRight" activeCell="P38" sqref="P38:P39"/>
    </sheetView>
  </sheetViews>
  <sheetFormatPr baseColWidth="10" defaultRowHeight="12.75" x14ac:dyDescent="0.2"/>
  <cols>
    <col min="1" max="1" width="29.28515625" bestFit="1" customWidth="1"/>
    <col min="2" max="13" width="11.85546875" style="22" bestFit="1" customWidth="1"/>
    <col min="14" max="14" width="11.28515625" style="29" customWidth="1"/>
    <col min="15" max="256" width="9.140625" customWidth="1"/>
  </cols>
  <sheetData>
    <row r="1" spans="1:14" x14ac:dyDescent="0.2">
      <c r="A1" s="1"/>
      <c r="B1" s="17" t="s">
        <v>0</v>
      </c>
      <c r="C1" s="17" t="s">
        <v>1</v>
      </c>
      <c r="D1" s="15" t="s">
        <v>2</v>
      </c>
      <c r="E1" s="15" t="s">
        <v>3</v>
      </c>
      <c r="F1" s="15" t="s">
        <v>4</v>
      </c>
      <c r="G1" s="15" t="s">
        <v>32</v>
      </c>
      <c r="H1" s="15" t="s">
        <v>5</v>
      </c>
      <c r="I1" s="15" t="s">
        <v>6</v>
      </c>
      <c r="J1" s="15" t="s">
        <v>7</v>
      </c>
      <c r="K1" s="15" t="s">
        <v>24</v>
      </c>
      <c r="L1" s="15" t="s">
        <v>25</v>
      </c>
      <c r="M1" s="15" t="s">
        <v>26</v>
      </c>
      <c r="N1" s="16" t="s">
        <v>31</v>
      </c>
    </row>
    <row r="2" spans="1:14" ht="13.5" thickBot="1" x14ac:dyDescent="0.25">
      <c r="A2" s="2"/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24"/>
    </row>
    <row r="3" spans="1:14" x14ac:dyDescent="0.2">
      <c r="A3" s="12" t="s">
        <v>28</v>
      </c>
      <c r="B3" s="30">
        <f t="shared" ref="B3:G3" si="0">SUM(B4:B6)</f>
        <v>15</v>
      </c>
      <c r="C3" s="30">
        <f t="shared" si="0"/>
        <v>11</v>
      </c>
      <c r="D3" s="30">
        <f t="shared" si="0"/>
        <v>13.5</v>
      </c>
      <c r="E3" s="30">
        <f t="shared" si="0"/>
        <v>10.5</v>
      </c>
      <c r="F3" s="30">
        <f t="shared" si="0"/>
        <v>9.5</v>
      </c>
      <c r="G3" s="30">
        <f t="shared" si="0"/>
        <v>13</v>
      </c>
      <c r="H3" s="30">
        <f t="shared" ref="H3:N3" si="1">SUM(H4:H6)</f>
        <v>6.5</v>
      </c>
      <c r="I3" s="30">
        <f t="shared" si="1"/>
        <v>10</v>
      </c>
      <c r="J3" s="30">
        <f t="shared" si="1"/>
        <v>9.5</v>
      </c>
      <c r="K3" s="30">
        <f t="shared" si="1"/>
        <v>8</v>
      </c>
      <c r="L3" s="30">
        <f t="shared" si="1"/>
        <v>12.5</v>
      </c>
      <c r="M3" s="30">
        <f t="shared" si="1"/>
        <v>27.5</v>
      </c>
      <c r="N3" s="25">
        <f t="shared" si="1"/>
        <v>146.5</v>
      </c>
    </row>
    <row r="4" spans="1:14" x14ac:dyDescent="0.2">
      <c r="A4" s="5" t="s">
        <v>9</v>
      </c>
      <c r="B4" s="19">
        <v>7</v>
      </c>
      <c r="C4" s="19">
        <v>1.5</v>
      </c>
      <c r="D4" s="19">
        <v>1.5</v>
      </c>
      <c r="E4" s="19">
        <v>1.5</v>
      </c>
      <c r="F4" s="19">
        <v>2</v>
      </c>
      <c r="G4" s="19">
        <v>0.5</v>
      </c>
      <c r="H4" s="19">
        <v>2</v>
      </c>
      <c r="I4" s="19">
        <v>2.5</v>
      </c>
      <c r="J4" s="19">
        <v>4.5</v>
      </c>
      <c r="K4" s="19">
        <v>2</v>
      </c>
      <c r="L4" s="19">
        <v>3.5</v>
      </c>
      <c r="M4" s="19">
        <v>0</v>
      </c>
      <c r="N4" s="26">
        <f>B4+C4+D4+E4+F4+G4+H4+I4+J4+K4+L4+M4</f>
        <v>28.5</v>
      </c>
    </row>
    <row r="5" spans="1:14" x14ac:dyDescent="0.2">
      <c r="A5" s="5" t="s">
        <v>10</v>
      </c>
      <c r="B5" s="19">
        <v>5</v>
      </c>
      <c r="C5" s="19">
        <v>3</v>
      </c>
      <c r="D5" s="19">
        <v>9</v>
      </c>
      <c r="E5" s="19">
        <v>6</v>
      </c>
      <c r="F5" s="19">
        <v>4.5</v>
      </c>
      <c r="G5" s="19">
        <v>11</v>
      </c>
      <c r="H5" s="19">
        <v>1.5</v>
      </c>
      <c r="I5" s="19">
        <v>4.5</v>
      </c>
      <c r="J5" s="19">
        <v>2</v>
      </c>
      <c r="K5" s="19">
        <v>3</v>
      </c>
      <c r="L5" s="19">
        <v>7.5</v>
      </c>
      <c r="M5" s="19">
        <v>24.5</v>
      </c>
      <c r="N5" s="26">
        <f>B5+C5+D5+E5+F5+G5+H5+I5+J5+K5+L5+M5</f>
        <v>81.5</v>
      </c>
    </row>
    <row r="6" spans="1:14" x14ac:dyDescent="0.2">
      <c r="A6" s="5" t="s">
        <v>11</v>
      </c>
      <c r="B6" s="19">
        <v>3</v>
      </c>
      <c r="C6" s="19">
        <v>6.5</v>
      </c>
      <c r="D6" s="19">
        <v>3</v>
      </c>
      <c r="E6" s="19">
        <v>3</v>
      </c>
      <c r="F6" s="19">
        <v>3</v>
      </c>
      <c r="G6" s="19">
        <v>1.5</v>
      </c>
      <c r="H6" s="19">
        <v>3</v>
      </c>
      <c r="I6" s="19">
        <v>3</v>
      </c>
      <c r="J6" s="19">
        <v>3</v>
      </c>
      <c r="K6" s="19">
        <v>3</v>
      </c>
      <c r="L6" s="19">
        <v>1.5</v>
      </c>
      <c r="M6" s="19">
        <v>3</v>
      </c>
      <c r="N6" s="27">
        <f>B6+C6+D6+E6+F6+G6+H6+I6+J6+K6+L6+M6</f>
        <v>36.5</v>
      </c>
    </row>
    <row r="7" spans="1:14" x14ac:dyDescent="0.2">
      <c r="A7" s="14" t="s">
        <v>27</v>
      </c>
      <c r="B7" s="18">
        <f t="shared" ref="B7:G7" si="2">SUM(B8:B10)</f>
        <v>14</v>
      </c>
      <c r="C7" s="18">
        <f t="shared" si="2"/>
        <v>28</v>
      </c>
      <c r="D7" s="18">
        <f t="shared" si="2"/>
        <v>20</v>
      </c>
      <c r="E7" s="18">
        <f t="shared" si="2"/>
        <v>10</v>
      </c>
      <c r="F7" s="18">
        <f t="shared" si="2"/>
        <v>23</v>
      </c>
      <c r="G7" s="18">
        <f t="shared" si="2"/>
        <v>9.5</v>
      </c>
      <c r="H7" s="18">
        <f t="shared" ref="H7:N7" si="3">SUM(H8:H10)</f>
        <v>25</v>
      </c>
      <c r="I7" s="18">
        <f t="shared" si="3"/>
        <v>15.5</v>
      </c>
      <c r="J7" s="18">
        <f t="shared" si="3"/>
        <v>9</v>
      </c>
      <c r="K7" s="18">
        <f t="shared" si="3"/>
        <v>23.5</v>
      </c>
      <c r="L7" s="18">
        <f t="shared" si="3"/>
        <v>5.5</v>
      </c>
      <c r="M7" s="18">
        <f t="shared" si="3"/>
        <v>6.5</v>
      </c>
      <c r="N7" s="28">
        <f t="shared" si="3"/>
        <v>189.5</v>
      </c>
    </row>
    <row r="8" spans="1:14" x14ac:dyDescent="0.2">
      <c r="A8" s="5" t="s">
        <v>9</v>
      </c>
      <c r="B8" s="19">
        <v>6</v>
      </c>
      <c r="C8" s="19">
        <v>3</v>
      </c>
      <c r="D8" s="19">
        <v>1.5</v>
      </c>
      <c r="E8" s="19">
        <v>2</v>
      </c>
      <c r="F8" s="19">
        <v>2</v>
      </c>
      <c r="G8" s="19">
        <v>1.5</v>
      </c>
      <c r="H8" s="19">
        <v>3.5</v>
      </c>
      <c r="I8" s="19">
        <v>2.5</v>
      </c>
      <c r="J8" s="19">
        <v>3.5</v>
      </c>
      <c r="K8" s="19">
        <v>3</v>
      </c>
      <c r="L8" s="19">
        <v>0</v>
      </c>
      <c r="M8" s="19">
        <v>0</v>
      </c>
      <c r="N8" s="26">
        <f>B8+C8+D8+E8+F8+G8+H8+I8+J8+K8+L8+M8</f>
        <v>28.5</v>
      </c>
    </row>
    <row r="9" spans="1:14" x14ac:dyDescent="0.2">
      <c r="A9" s="5" t="s">
        <v>10</v>
      </c>
      <c r="B9" s="19">
        <v>5</v>
      </c>
      <c r="C9" s="19">
        <v>22</v>
      </c>
      <c r="D9" s="19">
        <v>15.5</v>
      </c>
      <c r="E9" s="19">
        <v>5</v>
      </c>
      <c r="F9" s="19">
        <v>18</v>
      </c>
      <c r="G9" s="19">
        <v>5</v>
      </c>
      <c r="H9" s="19">
        <v>18.5</v>
      </c>
      <c r="I9" s="19">
        <v>10</v>
      </c>
      <c r="J9" s="19">
        <v>2.5</v>
      </c>
      <c r="K9" s="19">
        <v>20.5</v>
      </c>
      <c r="L9" s="19">
        <v>4</v>
      </c>
      <c r="M9" s="19">
        <v>3.5</v>
      </c>
      <c r="N9" s="26">
        <f>B9+C9+D9+E9+F9+G9+H9+I9+J9+K9+L9+M9</f>
        <v>129.5</v>
      </c>
    </row>
    <row r="10" spans="1:14" x14ac:dyDescent="0.2">
      <c r="A10" s="5" t="s">
        <v>11</v>
      </c>
      <c r="B10" s="19">
        <v>3</v>
      </c>
      <c r="C10" s="19">
        <v>3</v>
      </c>
      <c r="D10" s="19">
        <v>3</v>
      </c>
      <c r="E10" s="19">
        <v>3</v>
      </c>
      <c r="F10" s="19">
        <v>3</v>
      </c>
      <c r="G10" s="19">
        <v>3</v>
      </c>
      <c r="H10" s="19">
        <v>3</v>
      </c>
      <c r="I10" s="19">
        <v>3</v>
      </c>
      <c r="J10" s="19">
        <v>3</v>
      </c>
      <c r="K10" s="19">
        <v>0</v>
      </c>
      <c r="L10" s="19">
        <v>1.5</v>
      </c>
      <c r="M10" s="19">
        <v>3</v>
      </c>
      <c r="N10" s="27">
        <f>B10+C10+D10+E10+F10+G10+H10+I10+J10+K10+L10+M10</f>
        <v>31.5</v>
      </c>
    </row>
    <row r="11" spans="1:14" x14ac:dyDescent="0.2">
      <c r="A11" s="14" t="s">
        <v>30</v>
      </c>
      <c r="B11" s="18">
        <f t="shared" ref="B11:G11" si="4">SUM(B12:B14)</f>
        <v>12</v>
      </c>
      <c r="C11" s="18">
        <f t="shared" si="4"/>
        <v>9</v>
      </c>
      <c r="D11" s="18">
        <f t="shared" si="4"/>
        <v>6</v>
      </c>
      <c r="E11" s="18">
        <f t="shared" si="4"/>
        <v>14.5</v>
      </c>
      <c r="F11" s="18">
        <f t="shared" si="4"/>
        <v>7</v>
      </c>
      <c r="G11" s="18">
        <f t="shared" si="4"/>
        <v>8.5</v>
      </c>
      <c r="H11" s="18">
        <f t="shared" ref="H11:N11" si="5">SUM(H12:H14)</f>
        <v>7.5</v>
      </c>
      <c r="I11" s="18">
        <f t="shared" si="5"/>
        <v>11</v>
      </c>
      <c r="J11" s="18">
        <f t="shared" si="5"/>
        <v>11.5</v>
      </c>
      <c r="K11" s="18">
        <f t="shared" si="5"/>
        <v>9</v>
      </c>
      <c r="L11" s="18">
        <f t="shared" si="5"/>
        <v>1.5</v>
      </c>
      <c r="M11" s="18">
        <f t="shared" si="5"/>
        <v>14</v>
      </c>
      <c r="N11" s="28">
        <f t="shared" si="5"/>
        <v>111.5</v>
      </c>
    </row>
    <row r="12" spans="1:14" x14ac:dyDescent="0.2">
      <c r="A12" s="5" t="s">
        <v>9</v>
      </c>
      <c r="B12" s="19">
        <v>4.5</v>
      </c>
      <c r="C12" s="19">
        <v>1.5</v>
      </c>
      <c r="D12" s="19">
        <v>0</v>
      </c>
      <c r="E12" s="19">
        <v>1.5</v>
      </c>
      <c r="F12" s="19">
        <v>4</v>
      </c>
      <c r="G12" s="19">
        <v>0.5</v>
      </c>
      <c r="H12" s="19">
        <v>2</v>
      </c>
      <c r="I12" s="19">
        <v>1.5</v>
      </c>
      <c r="J12" s="19">
        <v>2.5</v>
      </c>
      <c r="K12" s="19">
        <v>0</v>
      </c>
      <c r="L12" s="19">
        <v>0</v>
      </c>
      <c r="M12" s="19">
        <v>0</v>
      </c>
      <c r="N12" s="26">
        <f>B12+C12+D12+E12+F12+G12+H12+I12+J12+K12+L12+M12</f>
        <v>18</v>
      </c>
    </row>
    <row r="13" spans="1:14" x14ac:dyDescent="0.2">
      <c r="A13" s="5" t="s">
        <v>10</v>
      </c>
      <c r="B13" s="19">
        <v>3.5</v>
      </c>
      <c r="C13" s="19">
        <v>3</v>
      </c>
      <c r="D13" s="19">
        <v>2</v>
      </c>
      <c r="E13" s="19">
        <v>8</v>
      </c>
      <c r="F13" s="19">
        <v>0</v>
      </c>
      <c r="G13" s="19">
        <v>3.5</v>
      </c>
      <c r="H13" s="19">
        <v>1</v>
      </c>
      <c r="I13" s="19">
        <v>5</v>
      </c>
      <c r="J13" s="19">
        <v>4.5</v>
      </c>
      <c r="K13" s="19">
        <v>4.5</v>
      </c>
      <c r="L13" s="19">
        <v>0</v>
      </c>
      <c r="M13" s="19">
        <v>9.5</v>
      </c>
      <c r="N13" s="26">
        <f>B13+C13+D13+E13+F13+G13+H13+I13+J13+K13+L13+M13</f>
        <v>44.5</v>
      </c>
    </row>
    <row r="14" spans="1:14" x14ac:dyDescent="0.2">
      <c r="A14" s="5" t="s">
        <v>11</v>
      </c>
      <c r="B14" s="19">
        <v>4</v>
      </c>
      <c r="C14" s="19">
        <v>4.5</v>
      </c>
      <c r="D14" s="19">
        <v>4</v>
      </c>
      <c r="E14" s="19">
        <v>5</v>
      </c>
      <c r="F14" s="19">
        <v>3</v>
      </c>
      <c r="G14" s="19">
        <v>4.5</v>
      </c>
      <c r="H14" s="19">
        <v>4.5</v>
      </c>
      <c r="I14" s="19">
        <v>4.5</v>
      </c>
      <c r="J14" s="19">
        <v>4.5</v>
      </c>
      <c r="K14" s="19">
        <v>4.5</v>
      </c>
      <c r="L14" s="19">
        <v>1.5</v>
      </c>
      <c r="M14" s="19">
        <v>4.5</v>
      </c>
      <c r="N14" s="27">
        <f>B14+C14+D14+E14+F14+G14+H14+I14+J14+K14+L14+M14</f>
        <v>49</v>
      </c>
    </row>
    <row r="15" spans="1:14" x14ac:dyDescent="0.2">
      <c r="A15" s="12" t="s">
        <v>8</v>
      </c>
      <c r="B15" s="18">
        <f t="shared" ref="B15:G15" si="6">SUM(B16:B18)</f>
        <v>8.5</v>
      </c>
      <c r="C15" s="18">
        <f t="shared" si="6"/>
        <v>18</v>
      </c>
      <c r="D15" s="18">
        <f t="shared" si="6"/>
        <v>5</v>
      </c>
      <c r="E15" s="18">
        <f t="shared" si="6"/>
        <v>11</v>
      </c>
      <c r="F15" s="18">
        <f t="shared" si="6"/>
        <v>13.5</v>
      </c>
      <c r="G15" s="18">
        <f t="shared" si="6"/>
        <v>13</v>
      </c>
      <c r="H15" s="18">
        <f t="shared" ref="H15:N15" si="7">SUM(H16:H18)</f>
        <v>3</v>
      </c>
      <c r="I15" s="18">
        <f t="shared" si="7"/>
        <v>9</v>
      </c>
      <c r="J15" s="18">
        <f t="shared" si="7"/>
        <v>16.5</v>
      </c>
      <c r="K15" s="18">
        <f t="shared" si="7"/>
        <v>19.5</v>
      </c>
      <c r="L15" s="18">
        <f t="shared" si="7"/>
        <v>1.5</v>
      </c>
      <c r="M15" s="18">
        <f t="shared" si="7"/>
        <v>19.5</v>
      </c>
      <c r="N15" s="28">
        <f t="shared" si="7"/>
        <v>138</v>
      </c>
    </row>
    <row r="16" spans="1:14" x14ac:dyDescent="0.2">
      <c r="A16" s="5" t="s">
        <v>9</v>
      </c>
      <c r="B16" s="19">
        <v>0</v>
      </c>
      <c r="C16" s="19">
        <v>0.5</v>
      </c>
      <c r="D16" s="19">
        <v>0</v>
      </c>
      <c r="E16" s="19">
        <v>2.5</v>
      </c>
      <c r="F16" s="19">
        <v>1.5</v>
      </c>
      <c r="G16" s="19">
        <v>0</v>
      </c>
      <c r="H16" s="19">
        <v>0</v>
      </c>
      <c r="I16" s="19">
        <v>0</v>
      </c>
      <c r="J16" s="19">
        <v>0.5</v>
      </c>
      <c r="K16" s="19">
        <v>0</v>
      </c>
      <c r="L16" s="19">
        <v>0</v>
      </c>
      <c r="M16" s="19">
        <v>0</v>
      </c>
      <c r="N16" s="26">
        <f>B16+C16+D16+E16+F16+G16+H16+I16+J16+K16+L16+M16</f>
        <v>5</v>
      </c>
    </row>
    <row r="17" spans="1:14" x14ac:dyDescent="0.2">
      <c r="A17" s="5" t="s">
        <v>10</v>
      </c>
      <c r="B17" s="19">
        <v>5.5</v>
      </c>
      <c r="C17" s="19">
        <v>14.5</v>
      </c>
      <c r="D17" s="19">
        <v>2</v>
      </c>
      <c r="E17" s="19">
        <v>7</v>
      </c>
      <c r="F17" s="19">
        <v>9</v>
      </c>
      <c r="G17" s="19">
        <v>10</v>
      </c>
      <c r="H17" s="19">
        <v>0</v>
      </c>
      <c r="I17" s="19">
        <v>6</v>
      </c>
      <c r="J17" s="19">
        <v>13</v>
      </c>
      <c r="K17" s="19">
        <v>16.5</v>
      </c>
      <c r="L17" s="19">
        <v>0</v>
      </c>
      <c r="M17" s="19">
        <v>18</v>
      </c>
      <c r="N17" s="26">
        <f>B17+C17+D17+E17+F17+G17+H17+I17+J17+K17+L17+M17</f>
        <v>101.5</v>
      </c>
    </row>
    <row r="18" spans="1:14" x14ac:dyDescent="0.2">
      <c r="A18" s="5" t="s">
        <v>11</v>
      </c>
      <c r="B18" s="19">
        <v>3</v>
      </c>
      <c r="C18" s="19">
        <v>3</v>
      </c>
      <c r="D18" s="19">
        <v>3</v>
      </c>
      <c r="E18" s="19">
        <v>1.5</v>
      </c>
      <c r="F18" s="19">
        <v>3</v>
      </c>
      <c r="G18" s="19">
        <v>3</v>
      </c>
      <c r="H18" s="19">
        <v>3</v>
      </c>
      <c r="I18" s="19">
        <v>3</v>
      </c>
      <c r="J18" s="19">
        <v>3</v>
      </c>
      <c r="K18" s="19">
        <v>3</v>
      </c>
      <c r="L18" s="19">
        <v>1.5</v>
      </c>
      <c r="M18" s="19">
        <v>1.5</v>
      </c>
      <c r="N18" s="26">
        <f>B18+C18+D18+E18+F18+G18+H18+I18+J18+K18+L18+M18</f>
        <v>31.5</v>
      </c>
    </row>
    <row r="19" spans="1:14" x14ac:dyDescent="0.2">
      <c r="A19" s="6" t="s">
        <v>29</v>
      </c>
      <c r="B19" s="20">
        <f t="shared" ref="B19:M19" si="8">SUM(B20:B34)</f>
        <v>11.5</v>
      </c>
      <c r="C19" s="20">
        <f t="shared" si="8"/>
        <v>10</v>
      </c>
      <c r="D19" s="20">
        <f t="shared" si="8"/>
        <v>22.5</v>
      </c>
      <c r="E19" s="20">
        <f t="shared" si="8"/>
        <v>11.5</v>
      </c>
      <c r="F19" s="20">
        <f t="shared" si="8"/>
        <v>14</v>
      </c>
      <c r="G19" s="20">
        <f t="shared" si="8"/>
        <v>20.5</v>
      </c>
      <c r="H19" s="20">
        <f t="shared" si="8"/>
        <v>21</v>
      </c>
      <c r="I19" s="20">
        <f t="shared" si="8"/>
        <v>11.5</v>
      </c>
      <c r="J19" s="20">
        <f t="shared" si="8"/>
        <v>15.5</v>
      </c>
      <c r="K19" s="20">
        <f t="shared" si="8"/>
        <v>17.5</v>
      </c>
      <c r="L19" s="20">
        <f t="shared" si="8"/>
        <v>11.5</v>
      </c>
      <c r="M19" s="20">
        <f t="shared" si="8"/>
        <v>9.5</v>
      </c>
      <c r="N19" s="28">
        <f>SUM(N20:N34)</f>
        <v>183.5</v>
      </c>
    </row>
    <row r="20" spans="1:14" x14ac:dyDescent="0.2">
      <c r="A20" s="13" t="s">
        <v>9</v>
      </c>
      <c r="B20" s="19">
        <v>4.5</v>
      </c>
      <c r="C20" s="19">
        <v>3.5</v>
      </c>
      <c r="D20" s="19">
        <v>4.5</v>
      </c>
      <c r="E20" s="19">
        <v>4</v>
      </c>
      <c r="F20" s="19">
        <v>9.5</v>
      </c>
      <c r="G20" s="19">
        <v>11</v>
      </c>
      <c r="H20" s="19">
        <v>8.5</v>
      </c>
      <c r="I20" s="19">
        <v>0</v>
      </c>
      <c r="J20" s="19">
        <v>1</v>
      </c>
      <c r="K20" s="19">
        <v>0.5</v>
      </c>
      <c r="L20" s="19">
        <v>0.5</v>
      </c>
      <c r="M20" s="19">
        <v>0</v>
      </c>
      <c r="N20" s="26">
        <f t="shared" ref="N20:N28" si="9">B20+C20+D20+E20+F20+G20+H20+I20+J20+K20+L20+M20</f>
        <v>47.5</v>
      </c>
    </row>
    <row r="21" spans="1:14" x14ac:dyDescent="0.2">
      <c r="A21" s="13" t="s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6">
        <f t="shared" si="9"/>
        <v>0</v>
      </c>
    </row>
    <row r="22" spans="1:14" x14ac:dyDescent="0.2">
      <c r="A22" s="13" t="s">
        <v>11</v>
      </c>
      <c r="B22" s="19">
        <v>2.5</v>
      </c>
      <c r="C22" s="19">
        <v>2.5</v>
      </c>
      <c r="D22" s="19">
        <v>3</v>
      </c>
      <c r="E22" s="19">
        <v>6</v>
      </c>
      <c r="F22" s="19">
        <v>3</v>
      </c>
      <c r="G22" s="19">
        <v>3</v>
      </c>
      <c r="H22" s="19">
        <v>3</v>
      </c>
      <c r="I22" s="19">
        <v>3</v>
      </c>
      <c r="J22" s="19">
        <v>3</v>
      </c>
      <c r="K22" s="19">
        <v>3</v>
      </c>
      <c r="L22" s="19">
        <v>1.5</v>
      </c>
      <c r="M22" s="19">
        <v>0</v>
      </c>
      <c r="N22" s="26">
        <f t="shared" si="9"/>
        <v>33.5</v>
      </c>
    </row>
    <row r="23" spans="1:14" x14ac:dyDescent="0.2">
      <c r="A23" s="7" t="s">
        <v>12</v>
      </c>
      <c r="B23" s="19">
        <v>4</v>
      </c>
      <c r="C23" s="19">
        <v>2</v>
      </c>
      <c r="D23" s="19">
        <v>6</v>
      </c>
      <c r="E23" s="19">
        <v>1</v>
      </c>
      <c r="F23" s="19">
        <v>1</v>
      </c>
      <c r="G23" s="19">
        <v>4.5</v>
      </c>
      <c r="H23" s="19">
        <v>4</v>
      </c>
      <c r="I23" s="19">
        <v>4</v>
      </c>
      <c r="J23" s="19">
        <v>1</v>
      </c>
      <c r="K23" s="19">
        <v>1</v>
      </c>
      <c r="L23" s="19">
        <v>0</v>
      </c>
      <c r="M23" s="19">
        <v>4.5</v>
      </c>
      <c r="N23" s="26">
        <f t="shared" si="9"/>
        <v>33</v>
      </c>
    </row>
    <row r="24" spans="1:14" x14ac:dyDescent="0.2">
      <c r="A24" s="7" t="s">
        <v>13</v>
      </c>
      <c r="B24" s="19">
        <v>0</v>
      </c>
      <c r="C24" s="19">
        <v>1</v>
      </c>
      <c r="D24" s="19">
        <v>1</v>
      </c>
      <c r="E24" s="19">
        <v>0</v>
      </c>
      <c r="F24" s="19">
        <v>0</v>
      </c>
      <c r="G24" s="19">
        <v>1</v>
      </c>
      <c r="H24" s="19">
        <v>0</v>
      </c>
      <c r="I24" s="19">
        <v>0</v>
      </c>
      <c r="J24" s="19">
        <v>0</v>
      </c>
      <c r="K24" s="19">
        <v>1</v>
      </c>
      <c r="L24" s="19">
        <v>0</v>
      </c>
      <c r="M24" s="19">
        <v>0</v>
      </c>
      <c r="N24" s="26">
        <f t="shared" si="9"/>
        <v>4</v>
      </c>
    </row>
    <row r="25" spans="1:14" x14ac:dyDescent="0.2">
      <c r="A25" s="7" t="s">
        <v>14</v>
      </c>
      <c r="B25" s="19">
        <v>0.5</v>
      </c>
      <c r="C25" s="19">
        <v>1</v>
      </c>
      <c r="D25" s="19">
        <v>1.5</v>
      </c>
      <c r="E25" s="19">
        <v>0.5</v>
      </c>
      <c r="F25" s="19">
        <v>0.5</v>
      </c>
      <c r="G25" s="19">
        <v>1</v>
      </c>
      <c r="H25" s="19">
        <v>1</v>
      </c>
      <c r="I25" s="19">
        <v>1</v>
      </c>
      <c r="J25" s="19">
        <v>1</v>
      </c>
      <c r="K25" s="19">
        <v>0.5</v>
      </c>
      <c r="L25" s="19">
        <v>1</v>
      </c>
      <c r="M25" s="19">
        <v>1</v>
      </c>
      <c r="N25" s="26">
        <f t="shared" si="9"/>
        <v>10.5</v>
      </c>
    </row>
    <row r="26" spans="1:14" x14ac:dyDescent="0.2">
      <c r="A26" s="7" t="s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3.5</v>
      </c>
      <c r="J26" s="19">
        <v>6</v>
      </c>
      <c r="K26" s="19">
        <v>10.5</v>
      </c>
      <c r="L26" s="19">
        <v>8.5</v>
      </c>
      <c r="M26" s="19">
        <v>4</v>
      </c>
      <c r="N26" s="26">
        <f t="shared" si="9"/>
        <v>32.5</v>
      </c>
    </row>
    <row r="27" spans="1:14" x14ac:dyDescent="0.2">
      <c r="A27" s="7" t="s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26">
        <f t="shared" si="9"/>
        <v>0</v>
      </c>
    </row>
    <row r="28" spans="1:14" x14ac:dyDescent="0.2">
      <c r="A28" s="7" t="s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26">
        <f t="shared" si="9"/>
        <v>0</v>
      </c>
    </row>
    <row r="29" spans="1:14" x14ac:dyDescent="0.2">
      <c r="A29" s="7" t="s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26">
        <f>7</f>
        <v>7</v>
      </c>
    </row>
    <row r="30" spans="1:14" x14ac:dyDescent="0.2">
      <c r="A30" s="7" t="s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26">
        <f>B30+C30+D30+E30+F30+G30+H30+I30+J30+K30+L30+M30</f>
        <v>0</v>
      </c>
    </row>
    <row r="31" spans="1:14" x14ac:dyDescent="0.2">
      <c r="A31" s="7" t="s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26">
        <f>B31+C31+D31+E31+F31+G31+H31+I31+J31+K31+L31+M31</f>
        <v>0</v>
      </c>
    </row>
    <row r="32" spans="1:14" x14ac:dyDescent="0.2">
      <c r="A32" s="7" t="s">
        <v>21</v>
      </c>
      <c r="B32" s="19">
        <v>0</v>
      </c>
      <c r="C32" s="19">
        <v>0</v>
      </c>
      <c r="D32" s="19">
        <v>6.5</v>
      </c>
      <c r="E32" s="19">
        <v>0</v>
      </c>
      <c r="F32" s="19">
        <v>0</v>
      </c>
      <c r="G32" s="19">
        <v>0</v>
      </c>
      <c r="H32" s="19">
        <v>4.5</v>
      </c>
      <c r="I32" s="19">
        <v>0</v>
      </c>
      <c r="J32" s="19">
        <v>2</v>
      </c>
      <c r="K32" s="19">
        <v>0</v>
      </c>
      <c r="L32" s="19">
        <v>0</v>
      </c>
      <c r="M32" s="19">
        <v>0</v>
      </c>
      <c r="N32" s="26">
        <f>B32+C32+D32+E32+F32+G32+H32+I32+J32+K32+L32+M32</f>
        <v>13</v>
      </c>
    </row>
    <row r="33" spans="1:14" x14ac:dyDescent="0.2">
      <c r="A33" s="8" t="s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7">
        <f>B33+C33+D33+E33+F33+G33+H33+I33+J33+K33+L33+M33</f>
        <v>0</v>
      </c>
    </row>
    <row r="34" spans="1:14" ht="13.5" thickBot="1" x14ac:dyDescent="0.25">
      <c r="A34" s="11" t="s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1.5</v>
      </c>
      <c r="K34" s="19">
        <v>1</v>
      </c>
      <c r="L34" s="19">
        <v>0</v>
      </c>
      <c r="M34" s="19">
        <v>0</v>
      </c>
      <c r="N34" s="27">
        <f>B34+C34+D34+E34+F34+G34+H34+I34+J34+K34+L34+M34</f>
        <v>2.5</v>
      </c>
    </row>
    <row r="35" spans="1:14" ht="13.5" thickBot="1" x14ac:dyDescent="0.25">
      <c r="A35" s="9"/>
      <c r="B35" s="21">
        <f t="shared" ref="B35:N35" si="10">B3+B7+B11+B15+B19</f>
        <v>61</v>
      </c>
      <c r="C35" s="21">
        <f t="shared" si="10"/>
        <v>76</v>
      </c>
      <c r="D35" s="21">
        <f t="shared" si="10"/>
        <v>67</v>
      </c>
      <c r="E35" s="21">
        <f t="shared" si="10"/>
        <v>57.5</v>
      </c>
      <c r="F35" s="21">
        <f t="shared" si="10"/>
        <v>67</v>
      </c>
      <c r="G35" s="21">
        <f t="shared" si="10"/>
        <v>64.5</v>
      </c>
      <c r="H35" s="21">
        <f t="shared" si="10"/>
        <v>63</v>
      </c>
      <c r="I35" s="21">
        <f t="shared" si="10"/>
        <v>57</v>
      </c>
      <c r="J35" s="21">
        <f t="shared" si="10"/>
        <v>62</v>
      </c>
      <c r="K35" s="21">
        <f t="shared" si="10"/>
        <v>77.5</v>
      </c>
      <c r="L35" s="21">
        <f t="shared" si="10"/>
        <v>32.5</v>
      </c>
      <c r="M35" s="21">
        <f t="shared" si="10"/>
        <v>77</v>
      </c>
      <c r="N35" s="21">
        <f t="shared" si="10"/>
        <v>769</v>
      </c>
    </row>
    <row r="36" spans="1:14" x14ac:dyDescent="0.2">
      <c r="A36" s="10"/>
    </row>
    <row r="37" spans="1:14" x14ac:dyDescent="0.2">
      <c r="A37" s="10"/>
    </row>
    <row r="38" spans="1:14" x14ac:dyDescent="0.2">
      <c r="A38" s="10"/>
    </row>
    <row r="39" spans="1:14" x14ac:dyDescent="0.2">
      <c r="A39" s="10"/>
      <c r="B39" s="23"/>
    </row>
    <row r="40" spans="1:14" x14ac:dyDescent="0.2">
      <c r="A40" s="10"/>
    </row>
    <row r="41" spans="1:14" x14ac:dyDescent="0.2">
      <c r="A41" s="10"/>
    </row>
    <row r="42" spans="1:14" x14ac:dyDescent="0.2">
      <c r="A42" s="10"/>
    </row>
    <row r="43" spans="1:14" x14ac:dyDescent="0.2">
      <c r="A43" s="10"/>
    </row>
    <row r="44" spans="1:14" x14ac:dyDescent="0.2">
      <c r="A44" s="10"/>
    </row>
    <row r="45" spans="1:14" x14ac:dyDescent="0.2">
      <c r="A45" s="10"/>
    </row>
    <row r="46" spans="1:14" x14ac:dyDescent="0.2">
      <c r="A46" s="10"/>
    </row>
    <row r="47" spans="1:14" x14ac:dyDescent="0.2">
      <c r="A47" s="10"/>
    </row>
    <row r="48" spans="1:14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  <row r="85" spans="1:1" x14ac:dyDescent="0.2">
      <c r="A85" s="10"/>
    </row>
    <row r="86" spans="1:1" x14ac:dyDescent="0.2">
      <c r="A86" s="10"/>
    </row>
    <row r="87" spans="1:1" x14ac:dyDescent="0.2">
      <c r="A87" s="10"/>
    </row>
    <row r="88" spans="1:1" x14ac:dyDescent="0.2">
      <c r="A88" s="10"/>
    </row>
    <row r="89" spans="1:1" x14ac:dyDescent="0.2">
      <c r="A89" s="10"/>
    </row>
    <row r="90" spans="1:1" x14ac:dyDescent="0.2">
      <c r="A90" s="10"/>
    </row>
    <row r="91" spans="1:1" x14ac:dyDescent="0.2">
      <c r="A91" s="10"/>
    </row>
    <row r="92" spans="1:1" x14ac:dyDescent="0.2">
      <c r="A92" s="10"/>
    </row>
    <row r="93" spans="1:1" x14ac:dyDescent="0.2">
      <c r="A93" s="10"/>
    </row>
    <row r="94" spans="1:1" x14ac:dyDescent="0.2">
      <c r="A94" s="10"/>
    </row>
    <row r="95" spans="1:1" x14ac:dyDescent="0.2">
      <c r="A95" s="10"/>
    </row>
    <row r="96" spans="1:1" x14ac:dyDescent="0.2">
      <c r="A96" s="10"/>
    </row>
    <row r="97" spans="1:1" x14ac:dyDescent="0.2">
      <c r="A97" s="10"/>
    </row>
    <row r="98" spans="1:1" x14ac:dyDescent="0.2">
      <c r="A98" s="10"/>
    </row>
    <row r="99" spans="1:1" x14ac:dyDescent="0.2">
      <c r="A99" s="10"/>
    </row>
    <row r="100" spans="1:1" x14ac:dyDescent="0.2">
      <c r="A100" s="10"/>
    </row>
    <row r="101" spans="1:1" x14ac:dyDescent="0.2">
      <c r="A101" s="10"/>
    </row>
    <row r="102" spans="1:1" x14ac:dyDescent="0.2">
      <c r="A102" s="10"/>
    </row>
    <row r="103" spans="1:1" x14ac:dyDescent="0.2">
      <c r="A103" s="10"/>
    </row>
    <row r="104" spans="1:1" x14ac:dyDescent="0.2">
      <c r="A104" s="10"/>
    </row>
    <row r="105" spans="1:1" x14ac:dyDescent="0.2">
      <c r="A105" s="10"/>
    </row>
    <row r="106" spans="1:1" x14ac:dyDescent="0.2">
      <c r="A106" s="10"/>
    </row>
    <row r="107" spans="1:1" x14ac:dyDescent="0.2">
      <c r="A107" s="10"/>
    </row>
    <row r="108" spans="1:1" x14ac:dyDescent="0.2">
      <c r="A108" s="10"/>
    </row>
    <row r="109" spans="1:1" x14ac:dyDescent="0.2">
      <c r="A109" s="10"/>
    </row>
    <row r="110" spans="1:1" x14ac:dyDescent="0.2">
      <c r="A110" s="10"/>
    </row>
    <row r="111" spans="1:1" x14ac:dyDescent="0.2">
      <c r="A111" s="10"/>
    </row>
    <row r="112" spans="1:1" x14ac:dyDescent="0.2">
      <c r="A112" s="10"/>
    </row>
    <row r="113" spans="1:1" x14ac:dyDescent="0.2">
      <c r="A113" s="10"/>
    </row>
    <row r="114" spans="1:1" x14ac:dyDescent="0.2">
      <c r="A114" s="10"/>
    </row>
    <row r="115" spans="1:1" x14ac:dyDescent="0.2">
      <c r="A115" s="10"/>
    </row>
    <row r="116" spans="1:1" x14ac:dyDescent="0.2">
      <c r="A116" s="10"/>
    </row>
    <row r="117" spans="1:1" x14ac:dyDescent="0.2">
      <c r="A117" s="10"/>
    </row>
    <row r="118" spans="1:1" x14ac:dyDescent="0.2">
      <c r="A118" s="10"/>
    </row>
    <row r="119" spans="1:1" x14ac:dyDescent="0.2">
      <c r="A119" s="10"/>
    </row>
    <row r="120" spans="1:1" x14ac:dyDescent="0.2">
      <c r="A120" s="10"/>
    </row>
    <row r="121" spans="1:1" x14ac:dyDescent="0.2">
      <c r="A121" s="10"/>
    </row>
    <row r="122" spans="1:1" x14ac:dyDescent="0.2">
      <c r="A122" s="10"/>
    </row>
    <row r="123" spans="1:1" x14ac:dyDescent="0.2">
      <c r="A123" s="10"/>
    </row>
    <row r="124" spans="1:1" x14ac:dyDescent="0.2">
      <c r="A124" s="10"/>
    </row>
    <row r="125" spans="1:1" x14ac:dyDescent="0.2">
      <c r="A125" s="10"/>
    </row>
    <row r="126" spans="1:1" x14ac:dyDescent="0.2">
      <c r="A126" s="10"/>
    </row>
    <row r="127" spans="1:1" x14ac:dyDescent="0.2">
      <c r="A127" s="10"/>
    </row>
    <row r="128" spans="1:1" x14ac:dyDescent="0.2">
      <c r="A128" s="10"/>
    </row>
    <row r="129" spans="1:1" x14ac:dyDescent="0.2">
      <c r="A129" s="10"/>
    </row>
    <row r="130" spans="1:1" x14ac:dyDescent="0.2">
      <c r="A130" s="10"/>
    </row>
    <row r="131" spans="1:1" x14ac:dyDescent="0.2">
      <c r="A131" s="10"/>
    </row>
    <row r="132" spans="1:1" x14ac:dyDescent="0.2">
      <c r="A132" s="10"/>
    </row>
    <row r="133" spans="1:1" x14ac:dyDescent="0.2">
      <c r="A133" s="10"/>
    </row>
    <row r="134" spans="1:1" x14ac:dyDescent="0.2">
      <c r="A134" s="10"/>
    </row>
    <row r="135" spans="1:1" x14ac:dyDescent="0.2">
      <c r="A135" s="10"/>
    </row>
    <row r="136" spans="1:1" x14ac:dyDescent="0.2">
      <c r="A136" s="10"/>
    </row>
    <row r="137" spans="1:1" x14ac:dyDescent="0.2">
      <c r="A137" s="10"/>
    </row>
    <row r="138" spans="1:1" x14ac:dyDescent="0.2">
      <c r="A138" s="10"/>
    </row>
    <row r="139" spans="1:1" x14ac:dyDescent="0.2">
      <c r="A139" s="10"/>
    </row>
    <row r="140" spans="1:1" x14ac:dyDescent="0.2">
      <c r="A140" s="10"/>
    </row>
    <row r="141" spans="1:1" x14ac:dyDescent="0.2">
      <c r="A141" s="10"/>
    </row>
    <row r="142" spans="1:1" x14ac:dyDescent="0.2">
      <c r="A142" s="10"/>
    </row>
    <row r="143" spans="1:1" x14ac:dyDescent="0.2">
      <c r="A143" s="10"/>
    </row>
    <row r="144" spans="1:1" x14ac:dyDescent="0.2">
      <c r="A144" s="10"/>
    </row>
    <row r="145" spans="1:1" x14ac:dyDescent="0.2">
      <c r="A145" s="10"/>
    </row>
    <row r="146" spans="1:1" x14ac:dyDescent="0.2">
      <c r="A146" s="10"/>
    </row>
    <row r="147" spans="1:1" x14ac:dyDescent="0.2">
      <c r="A147" s="10"/>
    </row>
    <row r="148" spans="1:1" x14ac:dyDescent="0.2">
      <c r="A148" s="10"/>
    </row>
    <row r="149" spans="1:1" x14ac:dyDescent="0.2">
      <c r="A149" s="10"/>
    </row>
    <row r="150" spans="1:1" x14ac:dyDescent="0.2">
      <c r="A150" s="10"/>
    </row>
    <row r="151" spans="1:1" x14ac:dyDescent="0.2">
      <c r="A151" s="10"/>
    </row>
    <row r="152" spans="1:1" x14ac:dyDescent="0.2">
      <c r="A152" s="10"/>
    </row>
    <row r="153" spans="1:1" x14ac:dyDescent="0.2">
      <c r="A153" s="10"/>
    </row>
    <row r="154" spans="1:1" x14ac:dyDescent="0.2">
      <c r="A154" s="10"/>
    </row>
    <row r="155" spans="1:1" x14ac:dyDescent="0.2">
      <c r="A155" s="10"/>
    </row>
    <row r="156" spans="1:1" x14ac:dyDescent="0.2">
      <c r="A156" s="10"/>
    </row>
    <row r="157" spans="1:1" x14ac:dyDescent="0.2">
      <c r="A157" s="10"/>
    </row>
    <row r="158" spans="1:1" x14ac:dyDescent="0.2">
      <c r="A158" s="10"/>
    </row>
    <row r="159" spans="1:1" x14ac:dyDescent="0.2">
      <c r="A159" s="10"/>
    </row>
    <row r="160" spans="1:1" x14ac:dyDescent="0.2">
      <c r="A160" s="10"/>
    </row>
    <row r="161" spans="1:1" x14ac:dyDescent="0.2">
      <c r="A161" s="10"/>
    </row>
    <row r="162" spans="1:1" x14ac:dyDescent="0.2">
      <c r="A162" s="10"/>
    </row>
    <row r="163" spans="1:1" x14ac:dyDescent="0.2">
      <c r="A163" s="10"/>
    </row>
    <row r="164" spans="1:1" x14ac:dyDescent="0.2">
      <c r="A164" s="10"/>
    </row>
    <row r="165" spans="1:1" x14ac:dyDescent="0.2">
      <c r="A165" s="10"/>
    </row>
    <row r="166" spans="1:1" x14ac:dyDescent="0.2">
      <c r="A166" s="10"/>
    </row>
    <row r="167" spans="1:1" x14ac:dyDescent="0.2">
      <c r="A167" s="10"/>
    </row>
    <row r="168" spans="1:1" x14ac:dyDescent="0.2">
      <c r="A168" s="10"/>
    </row>
    <row r="169" spans="1:1" x14ac:dyDescent="0.2">
      <c r="A169" s="10"/>
    </row>
    <row r="170" spans="1:1" x14ac:dyDescent="0.2">
      <c r="A170" s="10"/>
    </row>
    <row r="171" spans="1:1" x14ac:dyDescent="0.2">
      <c r="A171" s="10"/>
    </row>
    <row r="172" spans="1:1" x14ac:dyDescent="0.2">
      <c r="A172" s="10"/>
    </row>
    <row r="173" spans="1:1" x14ac:dyDescent="0.2">
      <c r="A173" s="10"/>
    </row>
    <row r="174" spans="1:1" x14ac:dyDescent="0.2">
      <c r="A174" s="10"/>
    </row>
    <row r="175" spans="1:1" x14ac:dyDescent="0.2">
      <c r="A175" s="10"/>
    </row>
    <row r="176" spans="1:1" x14ac:dyDescent="0.2">
      <c r="A176" s="10"/>
    </row>
    <row r="177" spans="1:1" x14ac:dyDescent="0.2">
      <c r="A177" s="10"/>
    </row>
    <row r="178" spans="1:1" x14ac:dyDescent="0.2">
      <c r="A178" s="10"/>
    </row>
    <row r="179" spans="1:1" x14ac:dyDescent="0.2">
      <c r="A179" s="10"/>
    </row>
    <row r="180" spans="1:1" x14ac:dyDescent="0.2">
      <c r="A180" s="10"/>
    </row>
    <row r="181" spans="1:1" x14ac:dyDescent="0.2">
      <c r="A181" s="10"/>
    </row>
    <row r="182" spans="1:1" x14ac:dyDescent="0.2">
      <c r="A182" s="10"/>
    </row>
    <row r="183" spans="1:1" x14ac:dyDescent="0.2">
      <c r="A183" s="10"/>
    </row>
    <row r="184" spans="1:1" x14ac:dyDescent="0.2">
      <c r="A184" s="10"/>
    </row>
    <row r="185" spans="1:1" x14ac:dyDescent="0.2">
      <c r="A185" s="10"/>
    </row>
    <row r="186" spans="1:1" x14ac:dyDescent="0.2">
      <c r="A186" s="10"/>
    </row>
    <row r="187" spans="1:1" x14ac:dyDescent="0.2">
      <c r="A187" s="10"/>
    </row>
    <row r="188" spans="1:1" x14ac:dyDescent="0.2">
      <c r="A188" s="10"/>
    </row>
    <row r="189" spans="1:1" x14ac:dyDescent="0.2">
      <c r="A189" s="10"/>
    </row>
    <row r="190" spans="1:1" x14ac:dyDescent="0.2">
      <c r="A190" s="10"/>
    </row>
    <row r="191" spans="1:1" x14ac:dyDescent="0.2">
      <c r="A191" s="10"/>
    </row>
    <row r="192" spans="1:1" x14ac:dyDescent="0.2">
      <c r="A192" s="10"/>
    </row>
    <row r="193" spans="1:1" x14ac:dyDescent="0.2">
      <c r="A193" s="10"/>
    </row>
    <row r="194" spans="1:1" x14ac:dyDescent="0.2">
      <c r="A194" s="10"/>
    </row>
    <row r="195" spans="1:1" x14ac:dyDescent="0.2">
      <c r="A195" s="10"/>
    </row>
    <row r="196" spans="1:1" x14ac:dyDescent="0.2">
      <c r="A196" s="10"/>
    </row>
    <row r="197" spans="1:1" x14ac:dyDescent="0.2">
      <c r="A197" s="10"/>
    </row>
    <row r="198" spans="1:1" x14ac:dyDescent="0.2">
      <c r="A198" s="10"/>
    </row>
    <row r="199" spans="1:1" x14ac:dyDescent="0.2">
      <c r="A199" s="10"/>
    </row>
    <row r="200" spans="1:1" x14ac:dyDescent="0.2">
      <c r="A200" s="10"/>
    </row>
    <row r="201" spans="1:1" x14ac:dyDescent="0.2">
      <c r="A201" s="10"/>
    </row>
    <row r="202" spans="1:1" x14ac:dyDescent="0.2">
      <c r="A202" s="10"/>
    </row>
    <row r="203" spans="1:1" x14ac:dyDescent="0.2">
      <c r="A203" s="10"/>
    </row>
    <row r="204" spans="1:1" x14ac:dyDescent="0.2">
      <c r="A204" s="10"/>
    </row>
    <row r="205" spans="1:1" x14ac:dyDescent="0.2">
      <c r="A205" s="10"/>
    </row>
    <row r="206" spans="1:1" x14ac:dyDescent="0.2">
      <c r="A206" s="10"/>
    </row>
    <row r="207" spans="1:1" x14ac:dyDescent="0.2">
      <c r="A207" s="10"/>
    </row>
    <row r="208" spans="1:1" x14ac:dyDescent="0.2">
      <c r="A208" s="10"/>
    </row>
    <row r="209" spans="1:1" x14ac:dyDescent="0.2">
      <c r="A209" s="10"/>
    </row>
    <row r="210" spans="1:1" x14ac:dyDescent="0.2">
      <c r="A210" s="10"/>
    </row>
    <row r="211" spans="1:1" x14ac:dyDescent="0.2">
      <c r="A211" s="10"/>
    </row>
    <row r="212" spans="1:1" x14ac:dyDescent="0.2">
      <c r="A212" s="10"/>
    </row>
    <row r="213" spans="1:1" x14ac:dyDescent="0.2">
      <c r="A213" s="10"/>
    </row>
    <row r="214" spans="1:1" x14ac:dyDescent="0.2">
      <c r="A214" s="10"/>
    </row>
    <row r="215" spans="1:1" x14ac:dyDescent="0.2">
      <c r="A215" s="10"/>
    </row>
    <row r="216" spans="1:1" x14ac:dyDescent="0.2">
      <c r="A216" s="10"/>
    </row>
    <row r="217" spans="1:1" x14ac:dyDescent="0.2">
      <c r="A217" s="10"/>
    </row>
    <row r="218" spans="1:1" x14ac:dyDescent="0.2">
      <c r="A218" s="10"/>
    </row>
    <row r="219" spans="1:1" x14ac:dyDescent="0.2">
      <c r="A219" s="10"/>
    </row>
    <row r="220" spans="1:1" x14ac:dyDescent="0.2">
      <c r="A220" s="10"/>
    </row>
    <row r="221" spans="1:1" x14ac:dyDescent="0.2">
      <c r="A221" s="10"/>
    </row>
    <row r="222" spans="1:1" x14ac:dyDescent="0.2">
      <c r="A222" s="10"/>
    </row>
    <row r="223" spans="1:1" x14ac:dyDescent="0.2">
      <c r="A223" s="10"/>
    </row>
    <row r="224" spans="1:1" x14ac:dyDescent="0.2">
      <c r="A224" s="10"/>
    </row>
    <row r="225" spans="1:1" x14ac:dyDescent="0.2">
      <c r="A225" s="10"/>
    </row>
    <row r="226" spans="1:1" x14ac:dyDescent="0.2">
      <c r="A226" s="10"/>
    </row>
    <row r="227" spans="1:1" x14ac:dyDescent="0.2">
      <c r="A227" s="10"/>
    </row>
    <row r="228" spans="1:1" x14ac:dyDescent="0.2">
      <c r="A228" s="10"/>
    </row>
    <row r="229" spans="1:1" x14ac:dyDescent="0.2">
      <c r="A229" s="10"/>
    </row>
    <row r="230" spans="1:1" x14ac:dyDescent="0.2">
      <c r="A230" s="10"/>
    </row>
    <row r="231" spans="1:1" x14ac:dyDescent="0.2">
      <c r="A231" s="10"/>
    </row>
    <row r="232" spans="1:1" x14ac:dyDescent="0.2">
      <c r="A232" s="10"/>
    </row>
    <row r="233" spans="1:1" x14ac:dyDescent="0.2">
      <c r="A233" s="10"/>
    </row>
    <row r="234" spans="1:1" x14ac:dyDescent="0.2">
      <c r="A234" s="10"/>
    </row>
    <row r="235" spans="1:1" x14ac:dyDescent="0.2">
      <c r="A235" s="10"/>
    </row>
    <row r="236" spans="1:1" x14ac:dyDescent="0.2">
      <c r="A236" s="10"/>
    </row>
    <row r="237" spans="1:1" x14ac:dyDescent="0.2">
      <c r="A237" s="10"/>
    </row>
    <row r="238" spans="1:1" x14ac:dyDescent="0.2">
      <c r="A238" s="10"/>
    </row>
    <row r="239" spans="1:1" x14ac:dyDescent="0.2">
      <c r="A239" s="10"/>
    </row>
    <row r="240" spans="1:1" x14ac:dyDescent="0.2">
      <c r="A240" s="10"/>
    </row>
    <row r="241" spans="1:1" x14ac:dyDescent="0.2">
      <c r="A241" s="10"/>
    </row>
    <row r="242" spans="1:1" x14ac:dyDescent="0.2">
      <c r="A242" s="10"/>
    </row>
    <row r="243" spans="1:1" x14ac:dyDescent="0.2">
      <c r="A243" s="10"/>
    </row>
    <row r="244" spans="1:1" x14ac:dyDescent="0.2">
      <c r="A244" s="10"/>
    </row>
    <row r="245" spans="1:1" x14ac:dyDescent="0.2">
      <c r="A245" s="10"/>
    </row>
    <row r="246" spans="1:1" x14ac:dyDescent="0.2">
      <c r="A246" s="10"/>
    </row>
    <row r="247" spans="1:1" x14ac:dyDescent="0.2">
      <c r="A247" s="10"/>
    </row>
    <row r="248" spans="1:1" x14ac:dyDescent="0.2">
      <c r="A248" s="10"/>
    </row>
    <row r="249" spans="1:1" x14ac:dyDescent="0.2">
      <c r="A249" s="10"/>
    </row>
    <row r="250" spans="1:1" x14ac:dyDescent="0.2">
      <c r="A250" s="10"/>
    </row>
    <row r="251" spans="1:1" x14ac:dyDescent="0.2">
      <c r="A251" s="10"/>
    </row>
    <row r="252" spans="1:1" x14ac:dyDescent="0.2">
      <c r="A252" s="10"/>
    </row>
    <row r="253" spans="1:1" x14ac:dyDescent="0.2">
      <c r="A253" s="10"/>
    </row>
    <row r="254" spans="1:1" x14ac:dyDescent="0.2">
      <c r="A254" s="10"/>
    </row>
    <row r="255" spans="1:1" x14ac:dyDescent="0.2">
      <c r="A255" s="10"/>
    </row>
    <row r="256" spans="1:1" x14ac:dyDescent="0.2">
      <c r="A256" s="10"/>
    </row>
    <row r="257" spans="1:1" x14ac:dyDescent="0.2">
      <c r="A257" s="10"/>
    </row>
    <row r="258" spans="1:1" x14ac:dyDescent="0.2">
      <c r="A258" s="10"/>
    </row>
    <row r="259" spans="1:1" x14ac:dyDescent="0.2">
      <c r="A259" s="10"/>
    </row>
    <row r="260" spans="1:1" x14ac:dyDescent="0.2">
      <c r="A260" s="10"/>
    </row>
    <row r="261" spans="1:1" x14ac:dyDescent="0.2">
      <c r="A261" s="10"/>
    </row>
    <row r="262" spans="1:1" x14ac:dyDescent="0.2">
      <c r="A262" s="10"/>
    </row>
    <row r="263" spans="1:1" x14ac:dyDescent="0.2">
      <c r="A263" s="10"/>
    </row>
    <row r="264" spans="1:1" x14ac:dyDescent="0.2">
      <c r="A264" s="10"/>
    </row>
    <row r="265" spans="1:1" x14ac:dyDescent="0.2">
      <c r="A265" s="10"/>
    </row>
    <row r="266" spans="1:1" x14ac:dyDescent="0.2">
      <c r="A266" s="10"/>
    </row>
    <row r="267" spans="1:1" x14ac:dyDescent="0.2">
      <c r="A267" s="10"/>
    </row>
    <row r="268" spans="1:1" x14ac:dyDescent="0.2">
      <c r="A268" s="10"/>
    </row>
    <row r="269" spans="1:1" x14ac:dyDescent="0.2">
      <c r="A269" s="10"/>
    </row>
    <row r="270" spans="1:1" x14ac:dyDescent="0.2">
      <c r="A270" s="10"/>
    </row>
    <row r="271" spans="1:1" x14ac:dyDescent="0.2">
      <c r="A271" s="10"/>
    </row>
    <row r="272" spans="1:1" x14ac:dyDescent="0.2">
      <c r="A272" s="10"/>
    </row>
    <row r="273" spans="1:1" x14ac:dyDescent="0.2">
      <c r="A273" s="10"/>
    </row>
    <row r="274" spans="1:1" x14ac:dyDescent="0.2">
      <c r="A274" s="10"/>
    </row>
    <row r="275" spans="1:1" x14ac:dyDescent="0.2">
      <c r="A275" s="10"/>
    </row>
    <row r="276" spans="1:1" x14ac:dyDescent="0.2">
      <c r="A276" s="10"/>
    </row>
    <row r="277" spans="1:1" x14ac:dyDescent="0.2">
      <c r="A277" s="10"/>
    </row>
    <row r="278" spans="1:1" x14ac:dyDescent="0.2">
      <c r="A278" s="10"/>
    </row>
    <row r="279" spans="1:1" x14ac:dyDescent="0.2">
      <c r="A279" s="10"/>
    </row>
    <row r="280" spans="1:1" x14ac:dyDescent="0.2">
      <c r="A280" s="10"/>
    </row>
    <row r="281" spans="1:1" x14ac:dyDescent="0.2">
      <c r="A281" s="10"/>
    </row>
    <row r="282" spans="1:1" x14ac:dyDescent="0.2">
      <c r="A282" s="10"/>
    </row>
    <row r="283" spans="1:1" x14ac:dyDescent="0.2">
      <c r="A283" s="10"/>
    </row>
    <row r="284" spans="1:1" x14ac:dyDescent="0.2">
      <c r="A284" s="10"/>
    </row>
    <row r="285" spans="1:1" x14ac:dyDescent="0.2">
      <c r="A285" s="10"/>
    </row>
    <row r="286" spans="1:1" x14ac:dyDescent="0.2">
      <c r="A286" s="10"/>
    </row>
    <row r="287" spans="1:1" x14ac:dyDescent="0.2">
      <c r="A287" s="10"/>
    </row>
    <row r="288" spans="1:1" x14ac:dyDescent="0.2">
      <c r="A288" s="10"/>
    </row>
    <row r="289" spans="1:1" x14ac:dyDescent="0.2">
      <c r="A289" s="10"/>
    </row>
    <row r="290" spans="1:1" x14ac:dyDescent="0.2">
      <c r="A290" s="10"/>
    </row>
    <row r="291" spans="1:1" x14ac:dyDescent="0.2">
      <c r="A291" s="10"/>
    </row>
    <row r="292" spans="1:1" x14ac:dyDescent="0.2">
      <c r="A292" s="10"/>
    </row>
    <row r="293" spans="1:1" x14ac:dyDescent="0.2">
      <c r="A293" s="10"/>
    </row>
    <row r="294" spans="1:1" x14ac:dyDescent="0.2">
      <c r="A294" s="10"/>
    </row>
    <row r="295" spans="1:1" x14ac:dyDescent="0.2">
      <c r="A295" s="10"/>
    </row>
    <row r="296" spans="1:1" x14ac:dyDescent="0.2">
      <c r="A296" s="10"/>
    </row>
    <row r="297" spans="1:1" x14ac:dyDescent="0.2">
      <c r="A297" s="10"/>
    </row>
    <row r="298" spans="1:1" x14ac:dyDescent="0.2">
      <c r="A298" s="10"/>
    </row>
    <row r="299" spans="1:1" x14ac:dyDescent="0.2">
      <c r="A299" s="10"/>
    </row>
    <row r="300" spans="1:1" x14ac:dyDescent="0.2">
      <c r="A300" s="10"/>
    </row>
    <row r="301" spans="1:1" x14ac:dyDescent="0.2">
      <c r="A301" s="10"/>
    </row>
    <row r="302" spans="1:1" x14ac:dyDescent="0.2">
      <c r="A302" s="10"/>
    </row>
    <row r="303" spans="1:1" x14ac:dyDescent="0.2">
      <c r="A303" s="10"/>
    </row>
    <row r="304" spans="1:1" x14ac:dyDescent="0.2">
      <c r="A304" s="10"/>
    </row>
    <row r="305" spans="1:1" x14ac:dyDescent="0.2">
      <c r="A305" s="10"/>
    </row>
    <row r="306" spans="1:1" x14ac:dyDescent="0.2">
      <c r="A306" s="10"/>
    </row>
    <row r="307" spans="1:1" x14ac:dyDescent="0.2">
      <c r="A307" s="10"/>
    </row>
    <row r="308" spans="1:1" x14ac:dyDescent="0.2">
      <c r="A308" s="10"/>
    </row>
    <row r="309" spans="1:1" x14ac:dyDescent="0.2">
      <c r="A309" s="10"/>
    </row>
    <row r="310" spans="1:1" x14ac:dyDescent="0.2">
      <c r="A310" s="10"/>
    </row>
    <row r="311" spans="1:1" x14ac:dyDescent="0.2">
      <c r="A311" s="10"/>
    </row>
    <row r="312" spans="1:1" x14ac:dyDescent="0.2">
      <c r="A312" s="10"/>
    </row>
    <row r="313" spans="1:1" x14ac:dyDescent="0.2">
      <c r="A313" s="10"/>
    </row>
    <row r="314" spans="1:1" x14ac:dyDescent="0.2">
      <c r="A314" s="10"/>
    </row>
    <row r="315" spans="1:1" x14ac:dyDescent="0.2">
      <c r="A315" s="10"/>
    </row>
    <row r="316" spans="1:1" x14ac:dyDescent="0.2">
      <c r="A316" s="10"/>
    </row>
    <row r="317" spans="1:1" x14ac:dyDescent="0.2">
      <c r="A317" s="10"/>
    </row>
    <row r="318" spans="1:1" x14ac:dyDescent="0.2">
      <c r="A318" s="10"/>
    </row>
    <row r="319" spans="1:1" x14ac:dyDescent="0.2">
      <c r="A319" s="10"/>
    </row>
    <row r="320" spans="1:1" x14ac:dyDescent="0.2">
      <c r="A320" s="10"/>
    </row>
    <row r="321" spans="1:1" x14ac:dyDescent="0.2">
      <c r="A321" s="10"/>
    </row>
    <row r="322" spans="1:1" x14ac:dyDescent="0.2">
      <c r="A322" s="10"/>
    </row>
    <row r="323" spans="1:1" x14ac:dyDescent="0.2">
      <c r="A323" s="10"/>
    </row>
    <row r="324" spans="1:1" x14ac:dyDescent="0.2">
      <c r="A324" s="10"/>
    </row>
    <row r="325" spans="1:1" x14ac:dyDescent="0.2">
      <c r="A325" s="10"/>
    </row>
    <row r="326" spans="1:1" x14ac:dyDescent="0.2">
      <c r="A326" s="10"/>
    </row>
    <row r="327" spans="1:1" x14ac:dyDescent="0.2">
      <c r="A327" s="10"/>
    </row>
    <row r="328" spans="1:1" x14ac:dyDescent="0.2">
      <c r="A328" s="10"/>
    </row>
    <row r="329" spans="1:1" x14ac:dyDescent="0.2">
      <c r="A329" s="10"/>
    </row>
    <row r="330" spans="1:1" x14ac:dyDescent="0.2">
      <c r="A330" s="10"/>
    </row>
    <row r="331" spans="1:1" x14ac:dyDescent="0.2">
      <c r="A331" s="10"/>
    </row>
    <row r="332" spans="1:1" x14ac:dyDescent="0.2">
      <c r="A332" s="10"/>
    </row>
    <row r="333" spans="1:1" x14ac:dyDescent="0.2">
      <c r="A333" s="10"/>
    </row>
    <row r="334" spans="1:1" x14ac:dyDescent="0.2">
      <c r="A334" s="10"/>
    </row>
    <row r="335" spans="1:1" x14ac:dyDescent="0.2">
      <c r="A335" s="10"/>
    </row>
    <row r="336" spans="1:1" x14ac:dyDescent="0.2">
      <c r="A336" s="10"/>
    </row>
    <row r="337" spans="1:1" x14ac:dyDescent="0.2">
      <c r="A337" s="10"/>
    </row>
    <row r="338" spans="1:1" x14ac:dyDescent="0.2">
      <c r="A338" s="10"/>
    </row>
    <row r="339" spans="1:1" x14ac:dyDescent="0.2">
      <c r="A339" s="10"/>
    </row>
    <row r="340" spans="1:1" x14ac:dyDescent="0.2">
      <c r="A340" s="10"/>
    </row>
    <row r="341" spans="1:1" x14ac:dyDescent="0.2">
      <c r="A341" s="10"/>
    </row>
    <row r="342" spans="1:1" x14ac:dyDescent="0.2">
      <c r="A342" s="10"/>
    </row>
    <row r="343" spans="1:1" x14ac:dyDescent="0.2">
      <c r="A343" s="10"/>
    </row>
    <row r="344" spans="1:1" x14ac:dyDescent="0.2">
      <c r="A344" s="10"/>
    </row>
    <row r="345" spans="1:1" x14ac:dyDescent="0.2">
      <c r="A345" s="10"/>
    </row>
    <row r="346" spans="1:1" x14ac:dyDescent="0.2">
      <c r="A346" s="10"/>
    </row>
    <row r="347" spans="1:1" x14ac:dyDescent="0.2">
      <c r="A347" s="10"/>
    </row>
    <row r="348" spans="1:1" x14ac:dyDescent="0.2">
      <c r="A348" s="10"/>
    </row>
    <row r="349" spans="1:1" x14ac:dyDescent="0.2">
      <c r="A349" s="10"/>
    </row>
    <row r="350" spans="1:1" x14ac:dyDescent="0.2">
      <c r="A350" s="10"/>
    </row>
    <row r="351" spans="1:1" x14ac:dyDescent="0.2">
      <c r="A351" s="10"/>
    </row>
    <row r="352" spans="1:1" x14ac:dyDescent="0.2">
      <c r="A352" s="10"/>
    </row>
    <row r="353" spans="1:1" x14ac:dyDescent="0.2">
      <c r="A353" s="10"/>
    </row>
    <row r="354" spans="1:1" x14ac:dyDescent="0.2">
      <c r="A354" s="10"/>
    </row>
    <row r="355" spans="1:1" x14ac:dyDescent="0.2">
      <c r="A355" s="10"/>
    </row>
    <row r="356" spans="1:1" x14ac:dyDescent="0.2">
      <c r="A356" s="10"/>
    </row>
    <row r="357" spans="1:1" x14ac:dyDescent="0.2">
      <c r="A357" s="10"/>
    </row>
    <row r="358" spans="1:1" x14ac:dyDescent="0.2">
      <c r="A358" s="10"/>
    </row>
    <row r="359" spans="1:1" x14ac:dyDescent="0.2">
      <c r="A359" s="10"/>
    </row>
    <row r="360" spans="1:1" x14ac:dyDescent="0.2">
      <c r="A360" s="10"/>
    </row>
    <row r="361" spans="1:1" x14ac:dyDescent="0.2">
      <c r="A361" s="10"/>
    </row>
    <row r="362" spans="1:1" x14ac:dyDescent="0.2">
      <c r="A362" s="10"/>
    </row>
    <row r="363" spans="1:1" x14ac:dyDescent="0.2">
      <c r="A363" s="10"/>
    </row>
    <row r="364" spans="1:1" x14ac:dyDescent="0.2">
      <c r="A364" s="10"/>
    </row>
    <row r="365" spans="1:1" x14ac:dyDescent="0.2">
      <c r="A365" s="10"/>
    </row>
    <row r="366" spans="1:1" x14ac:dyDescent="0.2">
      <c r="A366" s="10"/>
    </row>
    <row r="367" spans="1:1" x14ac:dyDescent="0.2">
      <c r="A367" s="10"/>
    </row>
    <row r="368" spans="1:1" x14ac:dyDescent="0.2">
      <c r="A368" s="10"/>
    </row>
    <row r="369" spans="1:1" x14ac:dyDescent="0.2">
      <c r="A369" s="10"/>
    </row>
    <row r="370" spans="1:1" x14ac:dyDescent="0.2">
      <c r="A370" s="10"/>
    </row>
    <row r="371" spans="1:1" x14ac:dyDescent="0.2">
      <c r="A371" s="10"/>
    </row>
    <row r="372" spans="1:1" x14ac:dyDescent="0.2">
      <c r="A372" s="10"/>
    </row>
    <row r="373" spans="1:1" x14ac:dyDescent="0.2">
      <c r="A373" s="10"/>
    </row>
    <row r="374" spans="1:1" x14ac:dyDescent="0.2">
      <c r="A374" s="10"/>
    </row>
    <row r="375" spans="1:1" x14ac:dyDescent="0.2">
      <c r="A375" s="10"/>
    </row>
    <row r="376" spans="1:1" x14ac:dyDescent="0.2">
      <c r="A376" s="10"/>
    </row>
    <row r="377" spans="1:1" x14ac:dyDescent="0.2">
      <c r="A377" s="10"/>
    </row>
    <row r="378" spans="1:1" x14ac:dyDescent="0.2">
      <c r="A378" s="10"/>
    </row>
    <row r="379" spans="1:1" x14ac:dyDescent="0.2">
      <c r="A379" s="10"/>
    </row>
    <row r="380" spans="1:1" x14ac:dyDescent="0.2">
      <c r="A380" s="10"/>
    </row>
    <row r="381" spans="1:1" x14ac:dyDescent="0.2">
      <c r="A381" s="10"/>
    </row>
    <row r="382" spans="1:1" x14ac:dyDescent="0.2">
      <c r="A382" s="10"/>
    </row>
    <row r="383" spans="1:1" x14ac:dyDescent="0.2">
      <c r="A383" s="10"/>
    </row>
    <row r="384" spans="1:1" x14ac:dyDescent="0.2">
      <c r="A384" s="10"/>
    </row>
    <row r="385" spans="1:1" x14ac:dyDescent="0.2">
      <c r="A385" s="10"/>
    </row>
    <row r="386" spans="1:1" x14ac:dyDescent="0.2">
      <c r="A386" s="10"/>
    </row>
    <row r="387" spans="1:1" x14ac:dyDescent="0.2">
      <c r="A387" s="10"/>
    </row>
    <row r="388" spans="1:1" x14ac:dyDescent="0.2">
      <c r="A388" s="10"/>
    </row>
    <row r="389" spans="1:1" x14ac:dyDescent="0.2">
      <c r="A389" s="10"/>
    </row>
    <row r="390" spans="1:1" x14ac:dyDescent="0.2">
      <c r="A390" s="10"/>
    </row>
    <row r="391" spans="1:1" x14ac:dyDescent="0.2">
      <c r="A391" s="10"/>
    </row>
    <row r="392" spans="1:1" x14ac:dyDescent="0.2">
      <c r="A392" s="10"/>
    </row>
    <row r="393" spans="1:1" x14ac:dyDescent="0.2">
      <c r="A393" s="10"/>
    </row>
    <row r="394" spans="1:1" x14ac:dyDescent="0.2">
      <c r="A394" s="10"/>
    </row>
    <row r="395" spans="1:1" x14ac:dyDescent="0.2">
      <c r="A395" s="10"/>
    </row>
    <row r="396" spans="1:1" x14ac:dyDescent="0.2">
      <c r="A396" s="10"/>
    </row>
    <row r="397" spans="1:1" x14ac:dyDescent="0.2">
      <c r="A397" s="10"/>
    </row>
    <row r="398" spans="1:1" x14ac:dyDescent="0.2">
      <c r="A398" s="10"/>
    </row>
    <row r="399" spans="1:1" x14ac:dyDescent="0.2">
      <c r="A399" s="10"/>
    </row>
    <row r="400" spans="1:1" x14ac:dyDescent="0.2">
      <c r="A400" s="10"/>
    </row>
    <row r="401" spans="1:1" x14ac:dyDescent="0.2">
      <c r="A401" s="10"/>
    </row>
    <row r="402" spans="1:1" x14ac:dyDescent="0.2">
      <c r="A402" s="10"/>
    </row>
    <row r="403" spans="1:1" x14ac:dyDescent="0.2">
      <c r="A403" s="10"/>
    </row>
    <row r="404" spans="1:1" x14ac:dyDescent="0.2">
      <c r="A404" s="10"/>
    </row>
    <row r="405" spans="1:1" x14ac:dyDescent="0.2">
      <c r="A405" s="10"/>
    </row>
    <row r="406" spans="1:1" x14ac:dyDescent="0.2">
      <c r="A406" s="10"/>
    </row>
    <row r="407" spans="1:1" x14ac:dyDescent="0.2">
      <c r="A407" s="10"/>
    </row>
    <row r="408" spans="1:1" x14ac:dyDescent="0.2">
      <c r="A408" s="10"/>
    </row>
    <row r="409" spans="1:1" x14ac:dyDescent="0.2">
      <c r="A409" s="10"/>
    </row>
    <row r="410" spans="1:1" x14ac:dyDescent="0.2">
      <c r="A410" s="10"/>
    </row>
    <row r="411" spans="1:1" x14ac:dyDescent="0.2">
      <c r="A411" s="10"/>
    </row>
    <row r="412" spans="1:1" x14ac:dyDescent="0.2">
      <c r="A412" s="10"/>
    </row>
    <row r="413" spans="1:1" x14ac:dyDescent="0.2">
      <c r="A413" s="10"/>
    </row>
    <row r="414" spans="1:1" x14ac:dyDescent="0.2">
      <c r="A414" s="10"/>
    </row>
    <row r="415" spans="1:1" x14ac:dyDescent="0.2">
      <c r="A415" s="10"/>
    </row>
    <row r="416" spans="1:1" x14ac:dyDescent="0.2">
      <c r="A416" s="10"/>
    </row>
    <row r="417" spans="1:1" x14ac:dyDescent="0.2">
      <c r="A417" s="10"/>
    </row>
    <row r="418" spans="1:1" x14ac:dyDescent="0.2">
      <c r="A418" s="10"/>
    </row>
    <row r="419" spans="1:1" x14ac:dyDescent="0.2">
      <c r="A419" s="10"/>
    </row>
    <row r="420" spans="1:1" x14ac:dyDescent="0.2">
      <c r="A420" s="10"/>
    </row>
    <row r="421" spans="1:1" x14ac:dyDescent="0.2">
      <c r="A421" s="10"/>
    </row>
    <row r="422" spans="1:1" x14ac:dyDescent="0.2">
      <c r="A422" s="10"/>
    </row>
    <row r="423" spans="1:1" x14ac:dyDescent="0.2">
      <c r="A423" s="10"/>
    </row>
    <row r="424" spans="1:1" x14ac:dyDescent="0.2">
      <c r="A424" s="10"/>
    </row>
    <row r="425" spans="1:1" x14ac:dyDescent="0.2">
      <c r="A425" s="10"/>
    </row>
    <row r="426" spans="1:1" x14ac:dyDescent="0.2">
      <c r="A426" s="10"/>
    </row>
    <row r="427" spans="1:1" x14ac:dyDescent="0.2">
      <c r="A427" s="10"/>
    </row>
    <row r="428" spans="1:1" x14ac:dyDescent="0.2">
      <c r="A428" s="10"/>
    </row>
    <row r="429" spans="1:1" x14ac:dyDescent="0.2">
      <c r="A429" s="10"/>
    </row>
    <row r="430" spans="1:1" x14ac:dyDescent="0.2">
      <c r="A430" s="10"/>
    </row>
    <row r="431" spans="1:1" x14ac:dyDescent="0.2">
      <c r="A431" s="10"/>
    </row>
    <row r="432" spans="1:1" x14ac:dyDescent="0.2">
      <c r="A432" s="10"/>
    </row>
    <row r="433" spans="1:1" x14ac:dyDescent="0.2">
      <c r="A433" s="10"/>
    </row>
    <row r="434" spans="1:1" x14ac:dyDescent="0.2">
      <c r="A434" s="10"/>
    </row>
    <row r="435" spans="1:1" x14ac:dyDescent="0.2">
      <c r="A435" s="10"/>
    </row>
    <row r="436" spans="1:1" x14ac:dyDescent="0.2">
      <c r="A436" s="10"/>
    </row>
    <row r="437" spans="1:1" x14ac:dyDescent="0.2">
      <c r="A437" s="10"/>
    </row>
    <row r="438" spans="1:1" x14ac:dyDescent="0.2">
      <c r="A438" s="10"/>
    </row>
    <row r="439" spans="1:1" x14ac:dyDescent="0.2">
      <c r="A439" s="10"/>
    </row>
    <row r="440" spans="1:1" x14ac:dyDescent="0.2">
      <c r="A440" s="10"/>
    </row>
    <row r="441" spans="1:1" x14ac:dyDescent="0.2">
      <c r="A441" s="10"/>
    </row>
    <row r="442" spans="1:1" x14ac:dyDescent="0.2">
      <c r="A442" s="10"/>
    </row>
    <row r="443" spans="1:1" x14ac:dyDescent="0.2">
      <c r="A443" s="10"/>
    </row>
    <row r="444" spans="1:1" x14ac:dyDescent="0.2">
      <c r="A444" s="10"/>
    </row>
    <row r="445" spans="1:1" x14ac:dyDescent="0.2">
      <c r="A445" s="10"/>
    </row>
    <row r="446" spans="1:1" x14ac:dyDescent="0.2">
      <c r="A446" s="10"/>
    </row>
    <row r="447" spans="1:1" x14ac:dyDescent="0.2">
      <c r="A447" s="10"/>
    </row>
    <row r="448" spans="1:1" x14ac:dyDescent="0.2">
      <c r="A448" s="10"/>
    </row>
    <row r="449" spans="1:1" x14ac:dyDescent="0.2">
      <c r="A449" s="10"/>
    </row>
    <row r="450" spans="1:1" x14ac:dyDescent="0.2">
      <c r="A450" s="10"/>
    </row>
    <row r="451" spans="1:1" x14ac:dyDescent="0.2">
      <c r="A451" s="10"/>
    </row>
    <row r="452" spans="1:1" x14ac:dyDescent="0.2">
      <c r="A452" s="10"/>
    </row>
    <row r="453" spans="1:1" x14ac:dyDescent="0.2">
      <c r="A453" s="10"/>
    </row>
    <row r="454" spans="1:1" x14ac:dyDescent="0.2">
      <c r="A454" s="10"/>
    </row>
    <row r="455" spans="1:1" x14ac:dyDescent="0.2">
      <c r="A455" s="10"/>
    </row>
    <row r="456" spans="1:1" x14ac:dyDescent="0.2">
      <c r="A456" s="10"/>
    </row>
    <row r="457" spans="1:1" x14ac:dyDescent="0.2">
      <c r="A457" s="10"/>
    </row>
    <row r="458" spans="1:1" x14ac:dyDescent="0.2">
      <c r="A458" s="10"/>
    </row>
    <row r="459" spans="1:1" x14ac:dyDescent="0.2">
      <c r="A459" s="10"/>
    </row>
    <row r="460" spans="1:1" x14ac:dyDescent="0.2">
      <c r="A460" s="10"/>
    </row>
    <row r="461" spans="1:1" x14ac:dyDescent="0.2">
      <c r="A461" s="10"/>
    </row>
    <row r="462" spans="1:1" x14ac:dyDescent="0.2">
      <c r="A462" s="10"/>
    </row>
    <row r="463" spans="1:1" x14ac:dyDescent="0.2">
      <c r="A463" s="10"/>
    </row>
    <row r="464" spans="1:1" x14ac:dyDescent="0.2">
      <c r="A464" s="10"/>
    </row>
    <row r="465" spans="1:1" x14ac:dyDescent="0.2">
      <c r="A465" s="10"/>
    </row>
    <row r="466" spans="1:1" x14ac:dyDescent="0.2">
      <c r="A466" s="10"/>
    </row>
    <row r="467" spans="1:1" x14ac:dyDescent="0.2">
      <c r="A467" s="10"/>
    </row>
    <row r="468" spans="1:1" x14ac:dyDescent="0.2">
      <c r="A468" s="10"/>
    </row>
    <row r="469" spans="1:1" x14ac:dyDescent="0.2">
      <c r="A469" s="10"/>
    </row>
    <row r="470" spans="1:1" x14ac:dyDescent="0.2">
      <c r="A470" s="10"/>
    </row>
    <row r="471" spans="1:1" x14ac:dyDescent="0.2">
      <c r="A471" s="10"/>
    </row>
    <row r="472" spans="1:1" x14ac:dyDescent="0.2">
      <c r="A472" s="10"/>
    </row>
    <row r="473" spans="1:1" x14ac:dyDescent="0.2">
      <c r="A473" s="10"/>
    </row>
    <row r="474" spans="1:1" x14ac:dyDescent="0.2">
      <c r="A474" s="10"/>
    </row>
    <row r="475" spans="1:1" x14ac:dyDescent="0.2">
      <c r="A475" s="10"/>
    </row>
    <row r="476" spans="1:1" x14ac:dyDescent="0.2">
      <c r="A476" s="10"/>
    </row>
    <row r="477" spans="1:1" x14ac:dyDescent="0.2">
      <c r="A477" s="10"/>
    </row>
    <row r="478" spans="1:1" x14ac:dyDescent="0.2">
      <c r="A478" s="10"/>
    </row>
    <row r="479" spans="1:1" x14ac:dyDescent="0.2">
      <c r="A479" s="10"/>
    </row>
    <row r="480" spans="1:1" x14ac:dyDescent="0.2">
      <c r="A480" s="10"/>
    </row>
    <row r="481" spans="1:1" x14ac:dyDescent="0.2">
      <c r="A481" s="10"/>
    </row>
    <row r="482" spans="1:1" x14ac:dyDescent="0.2">
      <c r="A482" s="10"/>
    </row>
    <row r="483" spans="1:1" x14ac:dyDescent="0.2">
      <c r="A483" s="10"/>
    </row>
    <row r="484" spans="1:1" x14ac:dyDescent="0.2">
      <c r="A484" s="10"/>
    </row>
    <row r="485" spans="1:1" x14ac:dyDescent="0.2">
      <c r="A485" s="10"/>
    </row>
    <row r="486" spans="1:1" x14ac:dyDescent="0.2">
      <c r="A486" s="10"/>
    </row>
    <row r="487" spans="1:1" x14ac:dyDescent="0.2">
      <c r="A487" s="10"/>
    </row>
    <row r="488" spans="1:1" x14ac:dyDescent="0.2">
      <c r="A488" s="10"/>
    </row>
    <row r="489" spans="1:1" x14ac:dyDescent="0.2">
      <c r="A489" s="10"/>
    </row>
    <row r="490" spans="1:1" x14ac:dyDescent="0.2">
      <c r="A490" s="10"/>
    </row>
    <row r="491" spans="1:1" x14ac:dyDescent="0.2">
      <c r="A491" s="10"/>
    </row>
    <row r="492" spans="1:1" x14ac:dyDescent="0.2">
      <c r="A492" s="10"/>
    </row>
    <row r="493" spans="1:1" x14ac:dyDescent="0.2">
      <c r="A493" s="10"/>
    </row>
    <row r="494" spans="1:1" x14ac:dyDescent="0.2">
      <c r="A494" s="10"/>
    </row>
    <row r="495" spans="1:1" x14ac:dyDescent="0.2">
      <c r="A495" s="10"/>
    </row>
    <row r="496" spans="1:1" x14ac:dyDescent="0.2">
      <c r="A496" s="10"/>
    </row>
    <row r="497" spans="1:1" x14ac:dyDescent="0.2">
      <c r="A497" s="10"/>
    </row>
    <row r="498" spans="1:1" x14ac:dyDescent="0.2">
      <c r="A498" s="10"/>
    </row>
    <row r="499" spans="1:1" x14ac:dyDescent="0.2">
      <c r="A499" s="10"/>
    </row>
    <row r="500" spans="1:1" x14ac:dyDescent="0.2">
      <c r="A500" s="10"/>
    </row>
    <row r="501" spans="1:1" x14ac:dyDescent="0.2">
      <c r="A501" s="10"/>
    </row>
    <row r="502" spans="1:1" x14ac:dyDescent="0.2">
      <c r="A502" s="10"/>
    </row>
    <row r="503" spans="1:1" x14ac:dyDescent="0.2">
      <c r="A503" s="10"/>
    </row>
    <row r="504" spans="1:1" x14ac:dyDescent="0.2">
      <c r="A504" s="10"/>
    </row>
    <row r="505" spans="1:1" x14ac:dyDescent="0.2">
      <c r="A505" s="10"/>
    </row>
    <row r="506" spans="1:1" x14ac:dyDescent="0.2">
      <c r="A506" s="10"/>
    </row>
    <row r="507" spans="1:1" x14ac:dyDescent="0.2">
      <c r="A507" s="10"/>
    </row>
    <row r="508" spans="1:1" x14ac:dyDescent="0.2">
      <c r="A508" s="10"/>
    </row>
    <row r="509" spans="1:1" x14ac:dyDescent="0.2">
      <c r="A509" s="10"/>
    </row>
    <row r="510" spans="1:1" x14ac:dyDescent="0.2">
      <c r="A510" s="10"/>
    </row>
    <row r="511" spans="1:1" x14ac:dyDescent="0.2">
      <c r="A511" s="10"/>
    </row>
    <row r="512" spans="1:1" x14ac:dyDescent="0.2">
      <c r="A512" s="10"/>
    </row>
    <row r="513" spans="1:1" x14ac:dyDescent="0.2">
      <c r="A513" s="10"/>
    </row>
    <row r="514" spans="1:1" x14ac:dyDescent="0.2">
      <c r="A514" s="10"/>
    </row>
    <row r="515" spans="1:1" x14ac:dyDescent="0.2">
      <c r="A515" s="10"/>
    </row>
    <row r="516" spans="1:1" x14ac:dyDescent="0.2">
      <c r="A516" s="10"/>
    </row>
    <row r="517" spans="1:1" x14ac:dyDescent="0.2">
      <c r="A517" s="10"/>
    </row>
    <row r="518" spans="1:1" x14ac:dyDescent="0.2">
      <c r="A518" s="10"/>
    </row>
    <row r="519" spans="1:1" x14ac:dyDescent="0.2">
      <c r="A519" s="10"/>
    </row>
    <row r="520" spans="1:1" x14ac:dyDescent="0.2">
      <c r="A520" s="10"/>
    </row>
    <row r="521" spans="1:1" x14ac:dyDescent="0.2">
      <c r="A521" s="10"/>
    </row>
    <row r="522" spans="1:1" x14ac:dyDescent="0.2">
      <c r="A522" s="10"/>
    </row>
    <row r="523" spans="1:1" x14ac:dyDescent="0.2">
      <c r="A523" s="10"/>
    </row>
    <row r="524" spans="1:1" x14ac:dyDescent="0.2">
      <c r="A524" s="10"/>
    </row>
    <row r="525" spans="1:1" x14ac:dyDescent="0.2">
      <c r="A525" s="10"/>
    </row>
    <row r="526" spans="1:1" x14ac:dyDescent="0.2">
      <c r="A526" s="10"/>
    </row>
    <row r="527" spans="1:1" x14ac:dyDescent="0.2">
      <c r="A527" s="10"/>
    </row>
    <row r="528" spans="1:1" x14ac:dyDescent="0.2">
      <c r="A528" s="10"/>
    </row>
    <row r="529" spans="1:1" x14ac:dyDescent="0.2">
      <c r="A529" s="10"/>
    </row>
    <row r="530" spans="1:1" x14ac:dyDescent="0.2">
      <c r="A530" s="10"/>
    </row>
    <row r="531" spans="1:1" x14ac:dyDescent="0.2">
      <c r="A531" s="10"/>
    </row>
    <row r="532" spans="1:1" x14ac:dyDescent="0.2">
      <c r="A532" s="10"/>
    </row>
    <row r="533" spans="1:1" x14ac:dyDescent="0.2">
      <c r="A533" s="10"/>
    </row>
    <row r="534" spans="1:1" x14ac:dyDescent="0.2">
      <c r="A534" s="10"/>
    </row>
    <row r="535" spans="1:1" x14ac:dyDescent="0.2">
      <c r="A535" s="10"/>
    </row>
    <row r="536" spans="1:1" x14ac:dyDescent="0.2">
      <c r="A536" s="10"/>
    </row>
    <row r="537" spans="1:1" x14ac:dyDescent="0.2">
      <c r="A537" s="10"/>
    </row>
    <row r="538" spans="1:1" x14ac:dyDescent="0.2">
      <c r="A538" s="10"/>
    </row>
    <row r="539" spans="1:1" x14ac:dyDescent="0.2">
      <c r="A539" s="10"/>
    </row>
    <row r="540" spans="1:1" x14ac:dyDescent="0.2">
      <c r="A540" s="10"/>
    </row>
    <row r="541" spans="1:1" x14ac:dyDescent="0.2">
      <c r="A541" s="10"/>
    </row>
    <row r="542" spans="1:1" x14ac:dyDescent="0.2">
      <c r="A542" s="10"/>
    </row>
    <row r="543" spans="1:1" x14ac:dyDescent="0.2">
      <c r="A543" s="10"/>
    </row>
    <row r="544" spans="1:1" x14ac:dyDescent="0.2">
      <c r="A544" s="10"/>
    </row>
    <row r="545" spans="1:1" x14ac:dyDescent="0.2">
      <c r="A545" s="10"/>
    </row>
    <row r="546" spans="1:1" x14ac:dyDescent="0.2">
      <c r="A546" s="10"/>
    </row>
    <row r="547" spans="1:1" x14ac:dyDescent="0.2">
      <c r="A547" s="10"/>
    </row>
    <row r="548" spans="1:1" x14ac:dyDescent="0.2">
      <c r="A548" s="10"/>
    </row>
    <row r="549" spans="1:1" x14ac:dyDescent="0.2">
      <c r="A549" s="10"/>
    </row>
    <row r="550" spans="1:1" x14ac:dyDescent="0.2">
      <c r="A550" s="10"/>
    </row>
    <row r="551" spans="1:1" x14ac:dyDescent="0.2">
      <c r="A551" s="10"/>
    </row>
    <row r="552" spans="1:1" x14ac:dyDescent="0.2">
      <c r="A552" s="10"/>
    </row>
    <row r="553" spans="1:1" x14ac:dyDescent="0.2">
      <c r="A553" s="10"/>
    </row>
    <row r="554" spans="1:1" x14ac:dyDescent="0.2">
      <c r="A554" s="10"/>
    </row>
    <row r="555" spans="1:1" x14ac:dyDescent="0.2">
      <c r="A555" s="10"/>
    </row>
    <row r="556" spans="1:1" x14ac:dyDescent="0.2">
      <c r="A556" s="10"/>
    </row>
    <row r="557" spans="1:1" x14ac:dyDescent="0.2">
      <c r="A557" s="10"/>
    </row>
    <row r="558" spans="1:1" x14ac:dyDescent="0.2">
      <c r="A558" s="10"/>
    </row>
    <row r="559" spans="1:1" x14ac:dyDescent="0.2">
      <c r="A559" s="10"/>
    </row>
    <row r="560" spans="1:1" x14ac:dyDescent="0.2">
      <c r="A560" s="10"/>
    </row>
    <row r="561" spans="1:1" x14ac:dyDescent="0.2">
      <c r="A561" s="10"/>
    </row>
    <row r="562" spans="1:1" x14ac:dyDescent="0.2">
      <c r="A562" s="10"/>
    </row>
    <row r="563" spans="1:1" x14ac:dyDescent="0.2">
      <c r="A563" s="10"/>
    </row>
    <row r="564" spans="1:1" x14ac:dyDescent="0.2">
      <c r="A564" s="10"/>
    </row>
    <row r="565" spans="1:1" x14ac:dyDescent="0.2">
      <c r="A565" s="10"/>
    </row>
    <row r="566" spans="1:1" x14ac:dyDescent="0.2">
      <c r="A566" s="10"/>
    </row>
    <row r="567" spans="1:1" x14ac:dyDescent="0.2">
      <c r="A567" s="10"/>
    </row>
    <row r="568" spans="1:1" x14ac:dyDescent="0.2">
      <c r="A568" s="10"/>
    </row>
    <row r="569" spans="1:1" x14ac:dyDescent="0.2">
      <c r="A569" s="10"/>
    </row>
    <row r="570" spans="1:1" x14ac:dyDescent="0.2">
      <c r="A570" s="10"/>
    </row>
    <row r="571" spans="1:1" x14ac:dyDescent="0.2">
      <c r="A571" s="10"/>
    </row>
    <row r="572" spans="1:1" x14ac:dyDescent="0.2">
      <c r="A572" s="10"/>
    </row>
    <row r="573" spans="1:1" x14ac:dyDescent="0.2">
      <c r="A573" s="10"/>
    </row>
    <row r="574" spans="1:1" x14ac:dyDescent="0.2">
      <c r="A574" s="10"/>
    </row>
    <row r="575" spans="1:1" x14ac:dyDescent="0.2">
      <c r="A575" s="10"/>
    </row>
    <row r="576" spans="1:1" x14ac:dyDescent="0.2">
      <c r="A576" s="10"/>
    </row>
    <row r="577" spans="1:1" x14ac:dyDescent="0.2">
      <c r="A577" s="10"/>
    </row>
    <row r="578" spans="1:1" x14ac:dyDescent="0.2">
      <c r="A578" s="10"/>
    </row>
    <row r="579" spans="1:1" x14ac:dyDescent="0.2">
      <c r="A579" s="10"/>
    </row>
    <row r="580" spans="1:1" x14ac:dyDescent="0.2">
      <c r="A580" s="10"/>
    </row>
    <row r="581" spans="1:1" x14ac:dyDescent="0.2">
      <c r="A581" s="10"/>
    </row>
    <row r="582" spans="1:1" x14ac:dyDescent="0.2">
      <c r="A582" s="10"/>
    </row>
    <row r="583" spans="1:1" x14ac:dyDescent="0.2">
      <c r="A583" s="10"/>
    </row>
    <row r="584" spans="1:1" x14ac:dyDescent="0.2">
      <c r="A584" s="10"/>
    </row>
    <row r="585" spans="1:1" x14ac:dyDescent="0.2">
      <c r="A585" s="10"/>
    </row>
    <row r="586" spans="1:1" x14ac:dyDescent="0.2">
      <c r="A586" s="10"/>
    </row>
    <row r="587" spans="1:1" x14ac:dyDescent="0.2">
      <c r="A587" s="10"/>
    </row>
    <row r="588" spans="1:1" x14ac:dyDescent="0.2">
      <c r="A588" s="10"/>
    </row>
    <row r="589" spans="1:1" x14ac:dyDescent="0.2">
      <c r="A589" s="10"/>
    </row>
    <row r="590" spans="1:1" x14ac:dyDescent="0.2">
      <c r="A590" s="10"/>
    </row>
    <row r="591" spans="1:1" x14ac:dyDescent="0.2">
      <c r="A591" s="10"/>
    </row>
    <row r="592" spans="1:1" x14ac:dyDescent="0.2">
      <c r="A592" s="10"/>
    </row>
    <row r="593" spans="1:1" x14ac:dyDescent="0.2">
      <c r="A593" s="10"/>
    </row>
    <row r="594" spans="1:1" x14ac:dyDescent="0.2">
      <c r="A594" s="10"/>
    </row>
    <row r="595" spans="1:1" x14ac:dyDescent="0.2">
      <c r="A595" s="10"/>
    </row>
    <row r="596" spans="1:1" x14ac:dyDescent="0.2">
      <c r="A596" s="10"/>
    </row>
    <row r="597" spans="1:1" x14ac:dyDescent="0.2">
      <c r="A597" s="10"/>
    </row>
    <row r="598" spans="1:1" x14ac:dyDescent="0.2">
      <c r="A598" s="10"/>
    </row>
    <row r="599" spans="1:1" x14ac:dyDescent="0.2">
      <c r="A599" s="10"/>
    </row>
    <row r="600" spans="1:1" x14ac:dyDescent="0.2">
      <c r="A600" s="10"/>
    </row>
    <row r="601" spans="1:1" x14ac:dyDescent="0.2">
      <c r="A601" s="10"/>
    </row>
    <row r="602" spans="1:1" x14ac:dyDescent="0.2">
      <c r="A602" s="10"/>
    </row>
    <row r="603" spans="1:1" x14ac:dyDescent="0.2">
      <c r="A603" s="10"/>
    </row>
    <row r="604" spans="1:1" x14ac:dyDescent="0.2">
      <c r="A604" s="10"/>
    </row>
    <row r="605" spans="1:1" x14ac:dyDescent="0.2">
      <c r="A605" s="10"/>
    </row>
    <row r="606" spans="1:1" x14ac:dyDescent="0.2">
      <c r="A606" s="10"/>
    </row>
    <row r="607" spans="1:1" x14ac:dyDescent="0.2">
      <c r="A607" s="10"/>
    </row>
    <row r="608" spans="1:1" x14ac:dyDescent="0.2">
      <c r="A608" s="10"/>
    </row>
    <row r="609" spans="1:1" x14ac:dyDescent="0.2">
      <c r="A609" s="10"/>
    </row>
    <row r="610" spans="1:1" x14ac:dyDescent="0.2">
      <c r="A610" s="10"/>
    </row>
    <row r="611" spans="1:1" x14ac:dyDescent="0.2">
      <c r="A611" s="10"/>
    </row>
    <row r="612" spans="1:1" x14ac:dyDescent="0.2">
      <c r="A612" s="10"/>
    </row>
    <row r="613" spans="1:1" x14ac:dyDescent="0.2">
      <c r="A613" s="10"/>
    </row>
    <row r="614" spans="1:1" x14ac:dyDescent="0.2">
      <c r="A614" s="10"/>
    </row>
    <row r="615" spans="1:1" x14ac:dyDescent="0.2">
      <c r="A615" s="10"/>
    </row>
    <row r="616" spans="1:1" x14ac:dyDescent="0.2">
      <c r="A616" s="10"/>
    </row>
    <row r="617" spans="1:1" x14ac:dyDescent="0.2">
      <c r="A617" s="10"/>
    </row>
    <row r="618" spans="1:1" x14ac:dyDescent="0.2">
      <c r="A618" s="10"/>
    </row>
    <row r="619" spans="1:1" x14ac:dyDescent="0.2">
      <c r="A619" s="10"/>
    </row>
    <row r="620" spans="1:1" x14ac:dyDescent="0.2">
      <c r="A620" s="10"/>
    </row>
    <row r="621" spans="1:1" x14ac:dyDescent="0.2">
      <c r="A621" s="10"/>
    </row>
    <row r="622" spans="1:1" x14ac:dyDescent="0.2">
      <c r="A622" s="10"/>
    </row>
    <row r="623" spans="1:1" x14ac:dyDescent="0.2">
      <c r="A623" s="10"/>
    </row>
    <row r="624" spans="1:1" x14ac:dyDescent="0.2">
      <c r="A624" s="10"/>
    </row>
    <row r="625" spans="1:1" x14ac:dyDescent="0.2">
      <c r="A625" s="10"/>
    </row>
    <row r="626" spans="1:1" x14ac:dyDescent="0.2">
      <c r="A626" s="10"/>
    </row>
    <row r="627" spans="1:1" x14ac:dyDescent="0.2">
      <c r="A627" s="10"/>
    </row>
    <row r="628" spans="1:1" x14ac:dyDescent="0.2">
      <c r="A628" s="10"/>
    </row>
    <row r="629" spans="1:1" x14ac:dyDescent="0.2">
      <c r="A629" s="10"/>
    </row>
    <row r="630" spans="1:1" x14ac:dyDescent="0.2">
      <c r="A630" s="10"/>
    </row>
    <row r="631" spans="1:1" x14ac:dyDescent="0.2">
      <c r="A631" s="10"/>
    </row>
    <row r="632" spans="1:1" x14ac:dyDescent="0.2">
      <c r="A632" s="10"/>
    </row>
    <row r="633" spans="1:1" x14ac:dyDescent="0.2">
      <c r="A633" s="10"/>
    </row>
    <row r="634" spans="1:1" x14ac:dyDescent="0.2">
      <c r="A634" s="10"/>
    </row>
    <row r="635" spans="1:1" x14ac:dyDescent="0.2">
      <c r="A635" s="10"/>
    </row>
    <row r="636" spans="1:1" x14ac:dyDescent="0.2">
      <c r="A636" s="10"/>
    </row>
    <row r="637" spans="1:1" x14ac:dyDescent="0.2">
      <c r="A637" s="10"/>
    </row>
    <row r="638" spans="1:1" x14ac:dyDescent="0.2">
      <c r="A638" s="10"/>
    </row>
    <row r="639" spans="1:1" x14ac:dyDescent="0.2">
      <c r="A639" s="10"/>
    </row>
    <row r="640" spans="1:1" x14ac:dyDescent="0.2">
      <c r="A640" s="10"/>
    </row>
    <row r="641" spans="1:1" x14ac:dyDescent="0.2">
      <c r="A641" s="10"/>
    </row>
    <row r="642" spans="1:1" x14ac:dyDescent="0.2">
      <c r="A642" s="10"/>
    </row>
    <row r="643" spans="1:1" x14ac:dyDescent="0.2">
      <c r="A643" s="10"/>
    </row>
    <row r="644" spans="1:1" x14ac:dyDescent="0.2">
      <c r="A644" s="10"/>
    </row>
    <row r="645" spans="1:1" x14ac:dyDescent="0.2">
      <c r="A645" s="10"/>
    </row>
    <row r="646" spans="1:1" x14ac:dyDescent="0.2">
      <c r="A646" s="10"/>
    </row>
    <row r="647" spans="1:1" x14ac:dyDescent="0.2">
      <c r="A647" s="10"/>
    </row>
    <row r="648" spans="1:1" x14ac:dyDescent="0.2">
      <c r="A648" s="10"/>
    </row>
    <row r="649" spans="1:1" x14ac:dyDescent="0.2">
      <c r="A649" s="10"/>
    </row>
    <row r="650" spans="1:1" x14ac:dyDescent="0.2">
      <c r="A650" s="10"/>
    </row>
    <row r="651" spans="1:1" x14ac:dyDescent="0.2">
      <c r="A651" s="10"/>
    </row>
    <row r="652" spans="1:1" x14ac:dyDescent="0.2">
      <c r="A652" s="10"/>
    </row>
    <row r="653" spans="1:1" x14ac:dyDescent="0.2">
      <c r="A653" s="10"/>
    </row>
    <row r="654" spans="1:1" x14ac:dyDescent="0.2">
      <c r="A654" s="10"/>
    </row>
    <row r="655" spans="1:1" x14ac:dyDescent="0.2">
      <c r="A655" s="10"/>
    </row>
    <row r="656" spans="1:1" x14ac:dyDescent="0.2">
      <c r="A656" s="10"/>
    </row>
    <row r="657" spans="1:1" x14ac:dyDescent="0.2">
      <c r="A657" s="10"/>
    </row>
    <row r="658" spans="1:1" x14ac:dyDescent="0.2">
      <c r="A658" s="10"/>
    </row>
    <row r="659" spans="1:1" x14ac:dyDescent="0.2">
      <c r="A659" s="10"/>
    </row>
    <row r="660" spans="1:1" x14ac:dyDescent="0.2">
      <c r="A660" s="10"/>
    </row>
    <row r="661" spans="1:1" x14ac:dyDescent="0.2">
      <c r="A661" s="10"/>
    </row>
    <row r="662" spans="1:1" x14ac:dyDescent="0.2">
      <c r="A662" s="10"/>
    </row>
    <row r="663" spans="1:1" x14ac:dyDescent="0.2">
      <c r="A663" s="10"/>
    </row>
    <row r="664" spans="1:1" x14ac:dyDescent="0.2">
      <c r="A664" s="10"/>
    </row>
    <row r="665" spans="1:1" x14ac:dyDescent="0.2">
      <c r="A665" s="10"/>
    </row>
    <row r="666" spans="1:1" x14ac:dyDescent="0.2">
      <c r="A666" s="10"/>
    </row>
    <row r="667" spans="1:1" x14ac:dyDescent="0.2">
      <c r="A667" s="10"/>
    </row>
    <row r="668" spans="1:1" x14ac:dyDescent="0.2">
      <c r="A668" s="10"/>
    </row>
    <row r="669" spans="1:1" x14ac:dyDescent="0.2">
      <c r="A669" s="10"/>
    </row>
    <row r="670" spans="1:1" x14ac:dyDescent="0.2">
      <c r="A670" s="10"/>
    </row>
    <row r="671" spans="1:1" x14ac:dyDescent="0.2">
      <c r="A671" s="10"/>
    </row>
    <row r="672" spans="1:1" x14ac:dyDescent="0.2">
      <c r="A672" s="10"/>
    </row>
    <row r="673" spans="1:1" x14ac:dyDescent="0.2">
      <c r="A673" s="10"/>
    </row>
    <row r="674" spans="1:1" x14ac:dyDescent="0.2">
      <c r="A674" s="10"/>
    </row>
    <row r="675" spans="1:1" x14ac:dyDescent="0.2">
      <c r="A675" s="10"/>
    </row>
    <row r="676" spans="1:1" x14ac:dyDescent="0.2">
      <c r="A676" s="10"/>
    </row>
    <row r="677" spans="1:1" x14ac:dyDescent="0.2">
      <c r="A677" s="10"/>
    </row>
    <row r="678" spans="1:1" x14ac:dyDescent="0.2">
      <c r="A678" s="10"/>
    </row>
    <row r="679" spans="1:1" x14ac:dyDescent="0.2">
      <c r="A679" s="10"/>
    </row>
    <row r="680" spans="1:1" x14ac:dyDescent="0.2">
      <c r="A680" s="10"/>
    </row>
    <row r="681" spans="1:1" x14ac:dyDescent="0.2">
      <c r="A681" s="10"/>
    </row>
  </sheetData>
  <phoneticPr fontId="0" type="noConversion"/>
  <pageMargins left="0.78740157499999996" right="0.78740157499999996" top="0.984251969" bottom="0.984251969" header="0.5" footer="0.5"/>
  <pageSetup orientation="landscape" verticalDpi="300" r:id="rId1"/>
  <headerFooter alignWithMargins="0">
    <oddHeader>&amp;LKRYPTO TEAM&amp;RTeam Member: _________________________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Reporting</vt:lpstr>
      <vt:lpstr>Reporting!Drucktitel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A. Lewis</dc:creator>
  <cp:lastModifiedBy>Kaufmann Timon</cp:lastModifiedBy>
  <dcterms:created xsi:type="dcterms:W3CDTF">2001-05-23T20:28:52Z</dcterms:created>
  <dcterms:modified xsi:type="dcterms:W3CDTF">2026-03-11T23:05:29Z</dcterms:modified>
</cp:coreProperties>
</file>