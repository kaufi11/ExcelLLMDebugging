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53333B7E-4DE8-41C6-8027-BAE496FAD568}" xr6:coauthVersionLast="47" xr6:coauthVersionMax="47" xr10:uidLastSave="{00000000-0000-0000-0000-000000000000}"/>
  <bookViews>
    <workbookView xWindow="-120" yWindow="-120" windowWidth="29040" windowHeight="15720" xr2:uid="{EB328B72-F222-4810-A695-D0032AFADF90}"/>
  </bookViews>
  <sheets>
    <sheet name="A" sheetId="1" r:id="rId1"/>
    <sheet name="B" sheetId="2" r:id="rId2"/>
  </sheets>
  <definedNames>
    <definedName name="ACCOUNT">A!$G$74</definedName>
    <definedName name="COMPANY">A!$H$70</definedName>
    <definedName name="_xlnm.Print_Area" localSheetId="0">A!$A$1:$E$61</definedName>
    <definedName name="_xlnm.Print_Area">A!$A$1:$E$61</definedName>
    <definedName name="EXPENSE">A!$I$63</definedName>
    <definedName name="EXTENSION">A!$I$62</definedName>
    <definedName name="MAIN">A!$I$64</definedName>
    <definedName name="MASK">A!$I$74</definedName>
    <definedName name="PERIOD">A!$H$69</definedName>
    <definedName name="PERIOD1">A!$H$73</definedName>
    <definedName name="PRINT_AREA_MI">A!$A$1:$E$277</definedName>
    <definedName name="TYPE">A!$I$65</definedName>
    <definedName name="TYPE2">A!$H$67</definedName>
    <definedName name="YEAR">A!$H$68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D25" i="1"/>
  <c r="E25" i="1"/>
  <c r="D45" i="1"/>
  <c r="E45" i="1"/>
  <c r="G63" i="1"/>
  <c r="G64" i="1"/>
  <c r="C74" i="1"/>
  <c r="D74" i="1"/>
  <c r="D83" i="1" s="1"/>
  <c r="E74" i="1"/>
  <c r="E83" i="1" s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C86" i="1"/>
  <c r="D86" i="1"/>
  <c r="E86" i="1"/>
  <c r="C87" i="1"/>
  <c r="D87" i="1"/>
  <c r="E87" i="1"/>
  <c r="C88" i="1"/>
  <c r="D88" i="1"/>
  <c r="E88" i="1"/>
  <c r="C89" i="1"/>
  <c r="C96" i="1" s="1"/>
  <c r="D89" i="1"/>
  <c r="D96" i="1" s="1"/>
  <c r="D10" i="1" s="1"/>
  <c r="E89" i="1"/>
  <c r="E96" i="1" s="1"/>
  <c r="E10" i="1" s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9" i="1"/>
  <c r="D99" i="1"/>
  <c r="D11" i="1" s="1"/>
  <c r="E99" i="1"/>
  <c r="E11" i="1" s="1"/>
  <c r="C100" i="1"/>
  <c r="C114" i="1" s="1"/>
  <c r="D100" i="1"/>
  <c r="D12" i="1" s="1"/>
  <c r="E100" i="1"/>
  <c r="E12" i="1" s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D13" i="1" s="1"/>
  <c r="E108" i="1"/>
  <c r="E13" i="1" s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7" i="1"/>
  <c r="D117" i="1"/>
  <c r="E117" i="1"/>
  <c r="C118" i="1"/>
  <c r="C132" i="1" s="1"/>
  <c r="D118" i="1"/>
  <c r="D132" i="1" s="1"/>
  <c r="D14" i="1" s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E132" i="1" s="1"/>
  <c r="E14" i="1" s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5" i="1"/>
  <c r="C139" i="1" s="1"/>
  <c r="D135" i="1"/>
  <c r="E135" i="1"/>
  <c r="C136" i="1"/>
  <c r="D136" i="1"/>
  <c r="E136" i="1"/>
  <c r="C137" i="1"/>
  <c r="D137" i="1"/>
  <c r="E137" i="1"/>
  <c r="C138" i="1"/>
  <c r="D138" i="1"/>
  <c r="E138" i="1"/>
  <c r="D139" i="1"/>
  <c r="D15" i="1" s="1"/>
  <c r="E139" i="1"/>
  <c r="C142" i="1"/>
  <c r="D142" i="1"/>
  <c r="E142" i="1"/>
  <c r="E144" i="1" s="1"/>
  <c r="C143" i="1"/>
  <c r="D143" i="1"/>
  <c r="E143" i="1"/>
  <c r="C144" i="1"/>
  <c r="D144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D16" i="1" s="1"/>
  <c r="E152" i="1"/>
  <c r="E16" i="1" s="1"/>
  <c r="C155" i="1"/>
  <c r="C162" i="1" s="1"/>
  <c r="D155" i="1"/>
  <c r="D26" i="1" s="1"/>
  <c r="E155" i="1"/>
  <c r="E26" i="1" s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D28" i="1" s="1"/>
  <c r="E161" i="1"/>
  <c r="E28" i="1" s="1"/>
  <c r="C165" i="1"/>
  <c r="C170" i="1" s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D170" i="1"/>
  <c r="D32" i="1" s="1"/>
  <c r="E170" i="1"/>
  <c r="E32" i="1" s="1"/>
  <c r="C173" i="1"/>
  <c r="C175" i="1" s="1"/>
  <c r="D173" i="1"/>
  <c r="D175" i="1" s="1"/>
  <c r="D36" i="1" s="1"/>
  <c r="E173" i="1"/>
  <c r="E175" i="1" s="1"/>
  <c r="E36" i="1" s="1"/>
  <c r="C174" i="1"/>
  <c r="D174" i="1"/>
  <c r="E174" i="1"/>
  <c r="C183" i="1"/>
  <c r="D183" i="1"/>
  <c r="E183" i="1"/>
  <c r="C184" i="1"/>
  <c r="D184" i="1"/>
  <c r="E184" i="1"/>
  <c r="C185" i="1"/>
  <c r="C199" i="1" s="1"/>
  <c r="D185" i="1"/>
  <c r="D199" i="1" s="1"/>
  <c r="E185" i="1"/>
  <c r="E199" i="1" s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202" i="1"/>
  <c r="C209" i="1" s="1"/>
  <c r="D202" i="1"/>
  <c r="D209" i="1" s="1"/>
  <c r="D44" i="1" s="1"/>
  <c r="E202" i="1"/>
  <c r="E209" i="1" s="1"/>
  <c r="E44" i="1" s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14" i="1"/>
  <c r="C221" i="1" s="1"/>
  <c r="C255" i="1" s="1"/>
  <c r="D214" i="1"/>
  <c r="D221" i="1" s="1"/>
  <c r="E214" i="1"/>
  <c r="E221" i="1" s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6" i="1"/>
  <c r="C253" i="1" s="1"/>
  <c r="D226" i="1"/>
  <c r="D253" i="1" s="1"/>
  <c r="E226" i="1"/>
  <c r="E253" i="1" s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8" i="1"/>
  <c r="C260" i="1" s="1"/>
  <c r="D258" i="1"/>
  <c r="D260" i="1" s="1"/>
  <c r="D47" i="1" s="1"/>
  <c r="E258" i="1"/>
  <c r="E260" i="1" s="1"/>
  <c r="E47" i="1" s="1"/>
  <c r="C259" i="1"/>
  <c r="D259" i="1"/>
  <c r="E259" i="1"/>
  <c r="C267" i="1"/>
  <c r="D267" i="1"/>
  <c r="E267" i="1"/>
  <c r="C268" i="1"/>
  <c r="C275" i="1" s="1"/>
  <c r="C281" i="1" s="1"/>
  <c r="D268" i="1"/>
  <c r="D275" i="1" s="1"/>
  <c r="D281" i="1" s="1"/>
  <c r="E268" i="1"/>
  <c r="E275" i="1" s="1"/>
  <c r="E281" i="1" s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D52" i="1" s="1"/>
  <c r="E273" i="1"/>
  <c r="E52" i="1" s="1"/>
  <c r="C274" i="1"/>
  <c r="D274" i="1"/>
  <c r="E274" i="1"/>
  <c r="C277" i="1"/>
  <c r="D277" i="1"/>
  <c r="E277" i="1"/>
  <c r="C278" i="1"/>
  <c r="D278" i="1"/>
  <c r="D55" i="1" s="1"/>
  <c r="E278" i="1"/>
  <c r="E55" i="1" s="1"/>
  <c r="C279" i="1"/>
  <c r="D279" i="1"/>
  <c r="E279" i="1"/>
  <c r="H281" i="1"/>
  <c r="H283" i="1" s="1"/>
  <c r="H282" i="1"/>
  <c r="H285" i="1"/>
  <c r="H286" i="1"/>
  <c r="H287" i="1"/>
  <c r="E9" i="1" l="1"/>
  <c r="E18" i="1" s="1"/>
  <c r="E38" i="1" s="1"/>
  <c r="C178" i="1"/>
  <c r="D9" i="1"/>
  <c r="D18" i="1" s="1"/>
  <c r="E262" i="1"/>
  <c r="E283" i="1" s="1"/>
  <c r="D262" i="1"/>
  <c r="D283" i="1" s="1"/>
  <c r="H290" i="1" s="1"/>
  <c r="E15" i="1"/>
  <c r="E46" i="1"/>
  <c r="E255" i="1"/>
  <c r="D255" i="1"/>
  <c r="D46" i="1"/>
  <c r="C262" i="1"/>
  <c r="C283" i="1" s="1"/>
  <c r="E30" i="1"/>
  <c r="E34" i="1" s="1"/>
  <c r="D30" i="1"/>
  <c r="D34" i="1" s="1"/>
  <c r="E162" i="1"/>
  <c r="E114" i="1"/>
  <c r="E178" i="1" s="1"/>
  <c r="D114" i="1"/>
  <c r="D178" i="1" s="1"/>
  <c r="H289" i="1" s="1"/>
  <c r="H291" i="1" s="1"/>
  <c r="E43" i="1"/>
  <c r="E49" i="1" s="1"/>
  <c r="E54" i="1"/>
  <c r="E57" i="1" s="1"/>
  <c r="D54" i="1"/>
  <c r="D57" i="1" s="1"/>
  <c r="D162" i="1"/>
  <c r="D43" i="1"/>
  <c r="E59" i="1" l="1"/>
  <c r="D38" i="1"/>
  <c r="D49" i="1"/>
  <c r="D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74" authorId="0" shapeId="0" xr:uid="{2EC37359-3127-465E-9722-C61716751DC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4" authorId="0" shapeId="0" xr:uid="{6F1AB2B1-DDAE-424B-A45A-B59A4999D7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4" authorId="0" shapeId="0" xr:uid="{769D6945-C123-48E2-8536-4F4C10EE02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5" authorId="0" shapeId="0" xr:uid="{6C048F11-B1FD-46E7-BD25-DC222208FEA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5" authorId="0" shapeId="0" xr:uid="{1C0206AC-7469-441F-9EF8-46283E4D29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5" authorId="0" shapeId="0" xr:uid="{6446FBCE-8389-41A5-AAC7-598F9A9FAA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6" authorId="0" shapeId="0" xr:uid="{5ACBCB51-F942-4D75-94DA-793854FD35F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6" authorId="0" shapeId="0" xr:uid="{9C94A8DD-036B-4FD5-BE8C-0E0D48CCC02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6" authorId="0" shapeId="0" xr:uid="{7C1FCFE7-FE63-48A0-84BB-B66A738CE9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7" authorId="0" shapeId="0" xr:uid="{8C2962C9-3797-4519-B466-842B4C547A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7" authorId="0" shapeId="0" xr:uid="{04B06421-54C8-4E31-9E1A-A7CE6C652C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7" authorId="0" shapeId="0" xr:uid="{6FDD6C0D-6CCB-49D8-809D-783466A89D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8" authorId="0" shapeId="0" xr:uid="{A0242E61-41F6-4F9F-B655-147B7967D8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8" authorId="0" shapeId="0" xr:uid="{AE39AC56-0B2D-46DC-B210-FE663E3975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8" authorId="0" shapeId="0" xr:uid="{F5C71FB3-A94A-4E00-B6FA-A0F5C0D7CA1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9" authorId="0" shapeId="0" xr:uid="{4CD75F55-EA27-43AD-8400-43D52CF248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9" authorId="0" shapeId="0" xr:uid="{C0076CF0-3C26-4A4E-80CE-2533D1A097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9" authorId="0" shapeId="0" xr:uid="{A0995BD8-7170-4B31-8665-C7FD4852AB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0" authorId="0" shapeId="0" xr:uid="{6E2005A8-5299-4995-A46F-F8C1264C2C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0" authorId="0" shapeId="0" xr:uid="{4CF53452-F072-41B5-8F2F-6DA43649B8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0" authorId="0" shapeId="0" xr:uid="{AB446E06-D50B-4D40-9164-475F4FC181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1" authorId="0" shapeId="0" xr:uid="{3E6F03B8-D2A6-4B8C-8501-30D733A15A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1" authorId="0" shapeId="0" xr:uid="{79EEA4D8-37A7-4F65-976A-862561D3528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1" authorId="0" shapeId="0" xr:uid="{5B0128FC-8928-4B45-A1B1-03661D2E92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2" authorId="0" shapeId="0" xr:uid="{D4504C0A-F5E8-45CA-9D53-A2B075EBA0E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2" authorId="0" shapeId="0" xr:uid="{FA85F997-EB22-478C-A248-AC095F329D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2" authorId="0" shapeId="0" xr:uid="{71B8BC6A-7EE2-4C0A-9BE9-08D437B48C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6" authorId="0" shapeId="0" xr:uid="{62ED6D21-87F1-4D4E-91CA-9A020322FFC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6" authorId="0" shapeId="0" xr:uid="{5EC85506-99E2-45D9-B990-7D008CDD386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6" authorId="0" shapeId="0" xr:uid="{0CDF9D16-5DB8-4923-AA56-C954AA7376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7" authorId="0" shapeId="0" xr:uid="{8498BE50-9447-4041-A22B-386FA9F5219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7" authorId="0" shapeId="0" xr:uid="{6ADC23DF-D8F5-492D-90E1-734536425B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7" authorId="0" shapeId="0" xr:uid="{D0B7F532-095E-4A1A-8635-64A7FE10A9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8" authorId="0" shapeId="0" xr:uid="{BD83C4DA-BC3C-4E41-84A5-AFE1FB0F9D1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8" authorId="0" shapeId="0" xr:uid="{32DDA8C9-6900-48AC-A4AA-4825183CC6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8" authorId="0" shapeId="0" xr:uid="{A5DE5CDB-5CCD-47E7-8746-6D347606ED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9" authorId="0" shapeId="0" xr:uid="{3B799915-F00F-40E7-8B97-7E6B2262C8E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9" authorId="0" shapeId="0" xr:uid="{2D9BEEE9-C1A2-4A16-88B3-A97216B52E2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9" authorId="0" shapeId="0" xr:uid="{DFE2CE56-D9CB-4E9E-B1FC-F1EC48B91FF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0" authorId="0" shapeId="0" xr:uid="{27157A2B-1E8C-4795-9757-31A7787088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0" authorId="0" shapeId="0" xr:uid="{DA532BD5-53E1-49EB-9D38-A0DD4A67440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0" authorId="0" shapeId="0" xr:uid="{BFEE7400-F966-4F48-B92B-9E1CC768DFD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1" authorId="0" shapeId="0" xr:uid="{906EAF31-DC2E-4439-ACB5-8DAAA04F85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1" authorId="0" shapeId="0" xr:uid="{8C2A9266-0CF0-405C-9E99-4B057BE76E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1" authorId="0" shapeId="0" xr:uid="{B71D1AB4-E09C-45CE-B041-25410E99932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2" authorId="0" shapeId="0" xr:uid="{781A2933-3BDF-41EE-A6EA-B342C0A063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2" authorId="0" shapeId="0" xr:uid="{69273E98-6F43-42BD-A72E-AC7DA3BF0F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2" authorId="0" shapeId="0" xr:uid="{820EC942-BA98-4DCB-B438-F693116F0F8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3" authorId="0" shapeId="0" xr:uid="{1C094F35-DBA0-4595-A29B-F5BB25027A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3" authorId="0" shapeId="0" xr:uid="{ADE8364D-7175-4F39-85DC-D64D28E66B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3" authorId="0" shapeId="0" xr:uid="{90A3F0D6-315C-40BB-8D12-F4E9EE3E8F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4" authorId="0" shapeId="0" xr:uid="{63A155F7-58A5-4F21-972A-05DA16B2CB3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4" authorId="0" shapeId="0" xr:uid="{96901B7D-E43D-4549-9CF0-A1B3E04F94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4" authorId="0" shapeId="0" xr:uid="{54DD8565-0FBE-40FA-B035-FA2A52C3E1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5" authorId="0" shapeId="0" xr:uid="{846D3F94-1F1C-45BA-B133-4BDFAC8160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5" authorId="0" shapeId="0" xr:uid="{617EF2FF-EF99-4A6B-8300-4844CB9995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5" authorId="0" shapeId="0" xr:uid="{B30D949B-E63D-4AEF-86BE-69906A5CD6A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9" authorId="0" shapeId="0" xr:uid="{40E6C70C-38E0-4D26-ABF8-4273A1F075D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9" authorId="0" shapeId="0" xr:uid="{E5481F0A-23AD-4FA2-96E2-1EBF8DBF49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9" authorId="0" shapeId="0" xr:uid="{1DE51196-359D-415B-A779-2BAF8452AC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0" authorId="0" shapeId="0" xr:uid="{B1E332A7-A5CC-41C4-9D8E-8603690A32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0" authorId="0" shapeId="0" xr:uid="{DE6A9F3B-E7EC-47FA-A577-64D1461E3A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0" authorId="0" shapeId="0" xr:uid="{BB6EFB4A-B637-4699-8F8E-836267ED99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1" authorId="0" shapeId="0" xr:uid="{882DD5A4-99E8-4E58-AD2D-08483DDD71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1" authorId="0" shapeId="0" xr:uid="{DA8F869A-67A1-4B07-A6C1-3BFE6BC3288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1" authorId="0" shapeId="0" xr:uid="{E413597B-0706-47A0-B5C6-71DF65CB820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2" authorId="0" shapeId="0" xr:uid="{86258EE5-EE1F-4521-8B91-926F9AF0379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2" authorId="0" shapeId="0" xr:uid="{6936C16E-A7DE-4D45-B743-8B53A4429F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2" authorId="0" shapeId="0" xr:uid="{5E7A324E-381D-43D3-A85D-9882C39F97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3" authorId="0" shapeId="0" xr:uid="{B4B1BF90-B871-4A28-A957-4C04F2E5B50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3" authorId="0" shapeId="0" xr:uid="{185BC43C-05F2-4D88-911E-4639E45AAD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3" authorId="0" shapeId="0" xr:uid="{7C92D358-05D2-471F-AC00-78E694B7B6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4" authorId="0" shapeId="0" xr:uid="{F0E37CFD-43C6-4EF6-AF68-3B0E664BFF4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4" authorId="0" shapeId="0" xr:uid="{3DCA5758-7992-4BEE-BD62-03576DB1F23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4" authorId="0" shapeId="0" xr:uid="{6E71BA4D-EFB6-41EC-ABF5-463D93722E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5" authorId="0" shapeId="0" xr:uid="{F1E41598-6B0A-4CE0-9EA8-2BB4BA2905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5" authorId="0" shapeId="0" xr:uid="{93028FFF-3C01-4BFF-BC99-9EF1EBB5E8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5" authorId="0" shapeId="0" xr:uid="{4D7DC115-4591-477F-BDA1-0D4F89858A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6" authorId="0" shapeId="0" xr:uid="{BF45924B-54C3-4F87-B243-66D7BFDEEB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6" authorId="0" shapeId="0" xr:uid="{A2260BCA-5CFE-448A-8CE0-37E60B18D4F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6" authorId="0" shapeId="0" xr:uid="{772E2D86-9F34-4919-B0EA-E26B1A7547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7" authorId="0" shapeId="0" xr:uid="{434C2B5E-8D0F-45CE-834F-771B675B228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7" authorId="0" shapeId="0" xr:uid="{24F6273E-9008-411E-8677-BD4D9EE72DF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7" authorId="0" shapeId="0" xr:uid="{6E149AD8-29A3-4F1F-9E63-0BB0EC8209A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8" authorId="0" shapeId="0" xr:uid="{028B090B-1488-4B39-9831-0101BC6D022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8" authorId="0" shapeId="0" xr:uid="{9C903270-53A9-4764-8BBB-90DF24168B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8" authorId="0" shapeId="0" xr:uid="{D6868F82-3F63-4008-9143-0C6ACB384A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9" authorId="0" shapeId="0" xr:uid="{94C3AB3F-8AA7-4C63-8614-2020CF9836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9" authorId="0" shapeId="0" xr:uid="{9F5D27E2-54B2-4562-8D7A-675948631E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9" authorId="0" shapeId="0" xr:uid="{39D70765-EBD3-491D-BAD0-063A7FB9E36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0" authorId="0" shapeId="0" xr:uid="{060AE2A8-84D0-4103-97AF-23BE92E3F2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0" authorId="0" shapeId="0" xr:uid="{6D2EBA1D-72B5-457F-BC27-78B13C6A18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0" authorId="0" shapeId="0" xr:uid="{3E786537-C0D6-44E7-A82A-39D34C1BB8F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1" authorId="0" shapeId="0" xr:uid="{24D81B4C-F342-46F2-BA2C-BFC2CA3C6D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1" authorId="0" shapeId="0" xr:uid="{593D9C15-9644-48B0-ACF7-8670668FB2C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1" authorId="0" shapeId="0" xr:uid="{8B27C565-2AA6-4F38-A5BC-021E356CEF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2" authorId="0" shapeId="0" xr:uid="{27E32B3D-7836-4E87-98D3-D5254AD04F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2" authorId="0" shapeId="0" xr:uid="{8A2A9E91-3E4B-4CC8-8D23-58A5499698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2" authorId="0" shapeId="0" xr:uid="{B6F46284-BAA3-4E09-BD6D-BD2868E9336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3" authorId="0" shapeId="0" xr:uid="{4F0AB5A8-CCE1-419D-ABEC-36C7859857F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3" authorId="0" shapeId="0" xr:uid="{2EF41531-79EE-4F6D-8FB5-98D9CED2FF6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3" authorId="0" shapeId="0" xr:uid="{E87534E2-3179-478F-A9F7-F4BCF5DC7E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7" authorId="0" shapeId="0" xr:uid="{F8334EC1-BDA3-4FC2-8C29-6A0AB513C3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7" authorId="0" shapeId="0" xr:uid="{5C289A2D-9379-4E72-A207-70533DA8B3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7" authorId="0" shapeId="0" xr:uid="{D9191563-C14E-410F-80D9-E4736EFD5B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8" authorId="0" shapeId="0" xr:uid="{AB6FADD5-62DE-4CAE-9DF3-714B05F3CC3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8" authorId="0" shapeId="0" xr:uid="{94540E25-CA36-4DA1-9383-26CB6635AC0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8" authorId="0" shapeId="0" xr:uid="{0DC3134E-ED91-4EBB-92E1-58352A93FD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9" authorId="0" shapeId="0" xr:uid="{527A48BA-544D-495B-8057-536C4DDCFF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9" authorId="0" shapeId="0" xr:uid="{542AF317-1F4F-4734-9B84-C33874BF4E8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9" authorId="0" shapeId="0" xr:uid="{960F7208-5E36-4A87-AFE3-DA8063D0EC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0" authorId="0" shapeId="0" xr:uid="{7B7E5C46-8009-4714-B86A-F1559A8707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0" authorId="0" shapeId="0" xr:uid="{4780AF80-6493-47ED-BC20-3103CCD6BF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0" authorId="0" shapeId="0" xr:uid="{1A818E0A-B952-4F02-BAF3-69B67099D0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1" authorId="0" shapeId="0" xr:uid="{A7570FAE-2F66-44CD-B00C-7FEA68243C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1" authorId="0" shapeId="0" xr:uid="{42B55760-CACF-4B24-8618-9C2B671744B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1" authorId="0" shapeId="0" xr:uid="{4AB2769A-75FC-4818-BC1A-42244B04B9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2" authorId="0" shapeId="0" xr:uid="{0AB833ED-44A6-4CF9-8B6C-761BBD7A5BC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2" authorId="0" shapeId="0" xr:uid="{886ED981-EC3F-4C82-B268-E7D8E832B7C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2" authorId="0" shapeId="0" xr:uid="{CE8161E6-8E92-429B-8754-A1C5D72D12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3" authorId="0" shapeId="0" xr:uid="{9F9BBE21-C7DD-482A-B120-E9D3B00599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3" authorId="0" shapeId="0" xr:uid="{B0FFC9C5-2C42-4392-AE38-38C8A9AE1F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3" authorId="0" shapeId="0" xr:uid="{14C24AF6-B230-41A3-ACBE-C39201E359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4" authorId="0" shapeId="0" xr:uid="{9BEC745E-E7C5-4F16-AE64-047B5210B6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4" authorId="0" shapeId="0" xr:uid="{989DB213-1912-40FD-99FC-43730453A16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4" authorId="0" shapeId="0" xr:uid="{59299A00-664A-43C8-8596-F7DC6752BF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5" authorId="0" shapeId="0" xr:uid="{10798F3F-FF94-46BD-A7DB-33D471BFB0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5" authorId="0" shapeId="0" xr:uid="{6BB0BCB4-0CE1-4761-BF01-2899F3AA007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5" authorId="0" shapeId="0" xr:uid="{F9C6DF9E-19BC-4A7C-8903-AA3E253D00F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6" authorId="0" shapeId="0" xr:uid="{3F33A42E-EAAC-4403-B099-58B769D2CAD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6" authorId="0" shapeId="0" xr:uid="{EEA5FFFB-CAA1-48B5-80A8-F3C0C4BCE3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6" authorId="0" shapeId="0" xr:uid="{64605FB9-5574-4E1D-9F7B-22876EE648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7" authorId="0" shapeId="0" xr:uid="{A9567B06-184F-45E9-BF6B-5623A6D0860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7" authorId="0" shapeId="0" xr:uid="{4AD2E257-651A-453E-905D-4EA85A93FE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7" authorId="0" shapeId="0" xr:uid="{D118AF96-09AD-44EE-B2F8-4E18416DC1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8" authorId="0" shapeId="0" xr:uid="{197F0B46-0991-4783-9DF7-CE21C6AB56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8" authorId="0" shapeId="0" xr:uid="{5D47B61D-F2D9-40F7-94A5-D69F42A656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8" authorId="0" shapeId="0" xr:uid="{DBD21AAA-CC6C-4513-89C9-D05623CF3B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9" authorId="0" shapeId="0" xr:uid="{BCDAA02F-DCB0-4D40-9714-CC3E17DA81A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9" authorId="0" shapeId="0" xr:uid="{A78E8CC5-3501-4A0B-BB94-79C8B18B93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9" authorId="0" shapeId="0" xr:uid="{E525C7E7-8DB7-4735-83CF-CD1C00A5A1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0" authorId="0" shapeId="0" xr:uid="{2E805686-0410-401C-860A-A870EB56EB2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0" authorId="0" shapeId="0" xr:uid="{1CC289E6-0E9D-44E4-88CC-4CABBC83366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0" authorId="0" shapeId="0" xr:uid="{0B9D9A73-8395-4EDE-BB5A-B51AD8C87D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1" authorId="0" shapeId="0" xr:uid="{D82FC922-589C-4E1C-8013-71D2E29E820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1" authorId="0" shapeId="0" xr:uid="{A8C0B443-0F9F-43AE-9CDF-E4C237652D2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1" authorId="0" shapeId="0" xr:uid="{C11615E4-5F29-4C68-8E8A-BFA23406D2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5" authorId="0" shapeId="0" xr:uid="{E2C934F6-D8A6-4A76-AE50-7CCE93DC97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5" authorId="0" shapeId="0" xr:uid="{3BCA2992-75C2-401A-AD4C-96481F20B1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5" authorId="0" shapeId="0" xr:uid="{2498B305-EDEA-4A59-BAFA-EBA13C9DA1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6" authorId="0" shapeId="0" xr:uid="{667F5AB7-E1C6-4A20-B778-FD213E2F14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6" authorId="0" shapeId="0" xr:uid="{3AA1FEA1-C10C-439F-8726-49A18BE77F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6" authorId="0" shapeId="0" xr:uid="{54B6645A-8653-40EF-B36F-65F8A36F7B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7" authorId="0" shapeId="0" xr:uid="{34B5F4FE-BEF1-4288-9699-5708350131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7" authorId="0" shapeId="0" xr:uid="{A1BE4A58-D0DC-40BD-91E7-2F3B33471F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7" authorId="0" shapeId="0" xr:uid="{28DEDF25-F856-4CB0-B58B-48EF53A7A0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8" authorId="0" shapeId="0" xr:uid="{2757A5E9-8CE9-436B-B9C0-348376BC2E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8" authorId="0" shapeId="0" xr:uid="{5C5D7ADF-A012-4EFC-9345-0B72972A52C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8" authorId="0" shapeId="0" xr:uid="{52CB3477-85DE-4B61-BB86-E9501AA5AA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2" authorId="0" shapeId="0" xr:uid="{950D96DB-C86C-42B8-9D99-E4395B9503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2" authorId="0" shapeId="0" xr:uid="{23A06BBB-0D4C-4C9A-A3B7-E7933BF9A6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2" authorId="0" shapeId="0" xr:uid="{D02FFCC0-D68F-4CDE-909F-062EC28215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3" authorId="0" shapeId="0" xr:uid="{E766CB16-9805-4BA5-A942-3ED6B95510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3" authorId="0" shapeId="0" xr:uid="{A8CAA477-A7DE-4CF2-BCF2-2CC155C647B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3" authorId="0" shapeId="0" xr:uid="{3B4BD07B-A923-4391-A1D9-51AD4396CD8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7" authorId="0" shapeId="0" xr:uid="{E4FE1709-2603-4E0B-8788-980932B249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7" authorId="0" shapeId="0" xr:uid="{17B2080A-4E6B-49F0-BF4A-BD1CB04085B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7" authorId="0" shapeId="0" xr:uid="{62673CA9-1285-4608-B86B-0BA5698C85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8" authorId="0" shapeId="0" xr:uid="{34BBA83E-2BAB-40F3-9A42-DA319F572E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8" authorId="0" shapeId="0" xr:uid="{3015098C-F260-40D5-9021-61B17B3075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8" authorId="0" shapeId="0" xr:uid="{02F56AB1-723C-4338-A6F8-55F7782D3C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9" authorId="0" shapeId="0" xr:uid="{BB936818-A27B-4FC4-9CC1-99AA394EF42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9" authorId="0" shapeId="0" xr:uid="{086A16D8-EBD7-4025-8BE2-AE8CF32DBD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9" authorId="0" shapeId="0" xr:uid="{3044F5B5-A421-4551-B952-43295DF73B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0" authorId="0" shapeId="0" xr:uid="{1B609546-C350-4548-B00F-993AAC101E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0" authorId="0" shapeId="0" xr:uid="{36269EFF-4452-44CE-AA3A-6EE0949D9E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0" authorId="0" shapeId="0" xr:uid="{178FCA9E-86CB-417F-894B-518DA406BB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1" authorId="0" shapeId="0" xr:uid="{0105C7C8-F657-4BD6-B549-DD2C03C938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1" authorId="0" shapeId="0" xr:uid="{FE674697-BD9E-4DBC-AE2C-4C7F388D19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1" authorId="0" shapeId="0" xr:uid="{DE03438A-49CA-4CFB-A523-F8E59C13B69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5" authorId="0" shapeId="0" xr:uid="{0B9D73B1-03A4-45C0-9083-9646ECE94D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5" authorId="0" shapeId="0" xr:uid="{0C5DEEEC-F659-4EC5-802A-94DC32452B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5" authorId="0" shapeId="0" xr:uid="{BB7356F2-D476-44A5-A9EA-AAA5565F89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6" authorId="0" shapeId="0" xr:uid="{E282610D-840C-4C4E-A3C3-F312D2F0A9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6" authorId="0" shapeId="0" xr:uid="{88D37A69-5DC5-47E7-A8DA-21982652F2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6" authorId="0" shapeId="0" xr:uid="{A5B01DA1-23AD-48D3-84FB-76C508F3E6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7" authorId="0" shapeId="0" xr:uid="{A68171BA-C3FE-4BC5-84C5-C4952C3A7A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7" authorId="0" shapeId="0" xr:uid="{68FB1ED9-0919-4AC2-9563-7239E8E911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7" authorId="0" shapeId="0" xr:uid="{6BC34C0E-1B14-4405-A256-5C993AF144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8" authorId="0" shapeId="0" xr:uid="{69DDC27B-DC09-4405-ACD7-E74309F514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8" authorId="0" shapeId="0" xr:uid="{42691D45-0424-4F03-837B-1796DC27DD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8" authorId="0" shapeId="0" xr:uid="{F67B7225-62D9-484B-9AE1-CC506F0937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9" authorId="0" shapeId="0" xr:uid="{1753D16E-3465-4040-A6B8-CD6E496EF8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9" authorId="0" shapeId="0" xr:uid="{397F5C3E-0A7E-498A-B6C4-25E4EF52B7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9" authorId="0" shapeId="0" xr:uid="{B3EA261E-3A7F-482E-AED2-52A9587E93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0" authorId="0" shapeId="0" xr:uid="{570687A2-0D8A-4CE4-994E-3C961C53FF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0" authorId="0" shapeId="0" xr:uid="{3FFD5412-DD32-46F0-A516-263FA06830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0" authorId="0" shapeId="0" xr:uid="{8637692A-501B-4189-A5AC-9B7F56F0BD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1" authorId="0" shapeId="0" xr:uid="{A8825CCE-36EF-4674-B29A-C78B4D6EA2B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1" authorId="0" shapeId="0" xr:uid="{EA71827D-BA58-4889-BE38-F93D871030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1" authorId="0" shapeId="0" xr:uid="{43C97825-B5DB-409D-900D-4F6EAF39A6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5" authorId="0" shapeId="0" xr:uid="{B38D65C2-0078-41B3-8FF7-6DE765EA4C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5" authorId="0" shapeId="0" xr:uid="{48F34444-79B4-49D6-B94C-3E813CF679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5" authorId="0" shapeId="0" xr:uid="{643FDF38-6C1A-405D-B6AA-6212980EDF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6" authorId="0" shapeId="0" xr:uid="{0BC5AEED-45A4-47AB-B181-C648A023FB1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6" authorId="0" shapeId="0" xr:uid="{44E4A701-CE51-457A-9D3E-BBB0172EFA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6" authorId="0" shapeId="0" xr:uid="{684EE8BC-73E9-4130-B896-88A51DBD9C1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7" authorId="0" shapeId="0" xr:uid="{033799B2-D6AD-4C69-A213-C3CBCC9CBA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7" authorId="0" shapeId="0" xr:uid="{820DD224-A749-4637-A3A3-08AE6106145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7" authorId="0" shapeId="0" xr:uid="{75A32BD3-154A-4D10-B724-016CE987811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8" authorId="0" shapeId="0" xr:uid="{E0932214-A303-4CA2-96BA-156A82428F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8" authorId="0" shapeId="0" xr:uid="{B7A123C6-9CBB-4E38-A7CD-E5D9D3A07C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8" authorId="0" shapeId="0" xr:uid="{37728270-44EB-414F-AEC0-16E3840549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9" authorId="0" shapeId="0" xr:uid="{B19FD786-FBD8-4721-B9BE-35AB62968C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9" authorId="0" shapeId="0" xr:uid="{9A3AA60E-2994-4FA2-ADA6-B118DBA2BF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9" authorId="0" shapeId="0" xr:uid="{0C49AFA8-6CB7-4DF0-9B89-3BA956C3FF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3" authorId="0" shapeId="0" xr:uid="{7A1064A6-A674-42DA-B17C-3092933E98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3" authorId="0" shapeId="0" xr:uid="{D0D71ACD-A898-4E7E-9D8D-6FC408E4B30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3" authorId="0" shapeId="0" xr:uid="{DA129ACB-0417-4F52-8F8E-736C7546D9E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4" authorId="0" shapeId="0" xr:uid="{D030F685-2B6A-4FAF-93AB-A5660FD201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4" authorId="0" shapeId="0" xr:uid="{DA5A8E2F-A14B-4961-9318-693AAC9ADE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4" authorId="0" shapeId="0" xr:uid="{E5DAE452-8A17-4523-ABBA-40AF62BDD37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3" authorId="0" shapeId="0" xr:uid="{DC03284A-E88F-4A09-A139-140F676385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3" authorId="0" shapeId="0" xr:uid="{2B2092C6-E72B-4E28-BB80-E56534A33D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3" authorId="0" shapeId="0" xr:uid="{463F7221-C490-4FC2-A6EE-C7AEB74551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4" authorId="0" shapeId="0" xr:uid="{4BC74B6E-CD17-463D-BC92-4DDF09A991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4" authorId="0" shapeId="0" xr:uid="{C7A66B10-A777-476D-BA25-F07779A0ABA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4" authorId="0" shapeId="0" xr:uid="{CFA3BF74-6CF2-4347-99A1-0E13BF2A1A0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5" authorId="0" shapeId="0" xr:uid="{F2A20444-C469-465C-BF6F-931102AF7A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5" authorId="0" shapeId="0" xr:uid="{6BFEAEB2-10B5-4961-A49C-BA26D7A134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5" authorId="0" shapeId="0" xr:uid="{DE9584B1-4AF9-4327-98AD-BB6431BF875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6" authorId="0" shapeId="0" xr:uid="{64E9FDFC-3C02-40A7-BC41-0FA21CACEE1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6" authorId="0" shapeId="0" xr:uid="{F914AD6D-6506-4128-83AE-85702E01F6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6" authorId="0" shapeId="0" xr:uid="{230F1E31-909D-4589-B89A-B1B8D660DA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7" authorId="0" shapeId="0" xr:uid="{CBF01F33-5A4D-4E26-A05D-3ADB499A3FE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7" authorId="0" shapeId="0" xr:uid="{C83FE62A-554C-4CD7-B4B0-E7C9BC82314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7" authorId="0" shapeId="0" xr:uid="{2EEEBA15-6DA8-46DA-914D-D0A4AD34C4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8" authorId="0" shapeId="0" xr:uid="{32C0D830-8D7F-471D-9C80-FFB60465AB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8" authorId="0" shapeId="0" xr:uid="{69D5BE56-9BBE-4383-A863-309290808FE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8" authorId="0" shapeId="0" xr:uid="{D8DA64D0-C02F-4F17-9010-8C0C9B2ADE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9" authorId="0" shapeId="0" xr:uid="{BB50FD25-DFA3-4CCE-8D52-5DB23CA878B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9" authorId="0" shapeId="0" xr:uid="{3B20808B-A4ED-4275-A306-AB49214EFA6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9" authorId="0" shapeId="0" xr:uid="{2D88A902-96D7-4FF1-9836-4DC6F7774D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0" authorId="0" shapeId="0" xr:uid="{7AA5E7FC-9EF0-4B8F-A430-6D6417E8CE8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0" authorId="0" shapeId="0" xr:uid="{03548977-AF28-4331-A991-80C168DED20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0" authorId="0" shapeId="0" xr:uid="{9058E4CB-D59C-4638-A5D5-B22216CBF9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1" authorId="0" shapeId="0" xr:uid="{E74C2C07-12DB-4CF7-A875-741F5E8C0B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1" authorId="0" shapeId="0" xr:uid="{66898CB5-E6E7-4883-8A15-F2D7F8A0C2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1" authorId="0" shapeId="0" xr:uid="{0C5C0ACF-3B2A-480F-B597-D2C219A1EB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2" authorId="0" shapeId="0" xr:uid="{9043FACF-2398-4B92-A51D-9643F5A5FE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2" authorId="0" shapeId="0" xr:uid="{00CCA578-962F-49EC-B426-8D1289DD75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2" authorId="0" shapeId="0" xr:uid="{6AC3156C-71EF-41A6-94F7-2EB711C6B9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3" authorId="0" shapeId="0" xr:uid="{D49232DD-8F57-4F70-870E-02BC1551D3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3" authorId="0" shapeId="0" xr:uid="{ED12B7A1-C147-4224-B5F0-11B495D58A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3" authorId="0" shapeId="0" xr:uid="{7A3DC088-4489-49CA-8C0F-D620CABCE7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4" authorId="0" shapeId="0" xr:uid="{786C62DC-742E-4D08-AFF7-577741DFBE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4" authorId="0" shapeId="0" xr:uid="{09FAC6A6-68A1-461B-9F04-EF743820BD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4" authorId="0" shapeId="0" xr:uid="{FE075C01-C9E4-400A-A140-8B4B9E5098F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5" authorId="0" shapeId="0" xr:uid="{98E0A15A-A6F7-420E-BCEB-7E7D81F744E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5" authorId="0" shapeId="0" xr:uid="{D9C205FA-E0FC-4B75-950A-2715516AE4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5" authorId="0" shapeId="0" xr:uid="{B0580701-4BA2-4619-B75D-BEB86223475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6" authorId="0" shapeId="0" xr:uid="{8086F090-800C-45C6-88F8-D41C0BE108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6" authorId="0" shapeId="0" xr:uid="{FC925CCB-D3D9-4C07-A5EF-8484855CDE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6" authorId="0" shapeId="0" xr:uid="{720D9077-D46C-442C-8EA9-358F5F08929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7" authorId="0" shapeId="0" xr:uid="{80EBDAD0-D4C5-40A9-A9D9-359D2C94C1E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7" authorId="0" shapeId="0" xr:uid="{7B7F35EB-C8CC-49B1-966F-680CEE1028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7" authorId="0" shapeId="0" xr:uid="{4E529790-BB17-4309-B46A-8793944D9B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8" authorId="0" shapeId="0" xr:uid="{A7C10D11-2D1E-434B-998F-6105BBC0DB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8" authorId="0" shapeId="0" xr:uid="{9057CA97-578F-4EB1-9F5C-F64AF3AE37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8" authorId="0" shapeId="0" xr:uid="{8B615CC3-7187-4E08-8E5D-12AD77F9F2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2" authorId="0" shapeId="0" xr:uid="{A97576A9-9A8F-4743-9A25-E46FD934F38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2" authorId="0" shapeId="0" xr:uid="{0A4E97CA-9E41-477F-AE49-E412BCEC382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2" authorId="0" shapeId="0" xr:uid="{09CAF7CC-58F8-42F3-A114-B6C6B60BC5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3" authorId="0" shapeId="0" xr:uid="{D108307C-2B18-4367-9BB0-66E04BF84C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3" authorId="0" shapeId="0" xr:uid="{3340F942-D494-407B-96BA-96BAB162ED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3" authorId="0" shapeId="0" xr:uid="{0F0EA7EB-FDAB-488D-A11B-D541400EB7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4" authorId="0" shapeId="0" xr:uid="{5D59606A-48EB-4D34-AD65-A615230251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4" authorId="0" shapeId="0" xr:uid="{D48D4CA8-232E-489E-A723-B8366878AC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4" authorId="0" shapeId="0" xr:uid="{5A0B34B6-F370-481A-9296-6DE0D407B2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5" authorId="0" shapeId="0" xr:uid="{865711C3-F9C5-4597-ADB4-4EF101994A3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5" authorId="0" shapeId="0" xr:uid="{7BDC046D-7202-4349-A423-ABFA4D43AEC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5" authorId="0" shapeId="0" xr:uid="{2719649F-13E9-4FC3-AE2F-95C7798531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6" authorId="0" shapeId="0" xr:uid="{D73F6C11-BD2F-4B52-AA37-9C68D5C1536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6" authorId="0" shapeId="0" xr:uid="{A2755E74-BFA1-4160-9AFE-19A0E9C068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6" authorId="0" shapeId="0" xr:uid="{DBCFDF3A-3B64-434D-B02C-E86422EC77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7" authorId="0" shapeId="0" xr:uid="{70088AB1-B7AC-4791-B7FB-B60FCEC60A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7" authorId="0" shapeId="0" xr:uid="{EBA1E010-8DC3-4002-8094-5074E603598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7" authorId="0" shapeId="0" xr:uid="{9E439FB9-0343-49C0-B148-77713D428B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8" authorId="0" shapeId="0" xr:uid="{2E133713-6D40-4E03-BF9A-F282AC98E77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8" authorId="0" shapeId="0" xr:uid="{C00C0FDA-0ABC-477B-9846-C523F1BA62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8" authorId="0" shapeId="0" xr:uid="{7DE13BB7-A1F0-4ED4-B42C-AEB67E5DAF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4" authorId="0" shapeId="0" xr:uid="{443ECAD0-A27A-418E-BA65-46139C9B2F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4" authorId="0" shapeId="0" xr:uid="{1DE24E74-8A0C-46DF-A9EE-2CB7E58003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4" authorId="0" shapeId="0" xr:uid="{6B9C5666-20E4-469B-8B87-36B01387BC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5" authorId="0" shapeId="0" xr:uid="{DEEDE653-0141-4531-AC0F-70E0003B980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5" authorId="0" shapeId="0" xr:uid="{4A1B23E6-A23E-4AEB-995E-A09864EA0E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5" authorId="0" shapeId="0" xr:uid="{A6707562-C3B9-414B-B37B-B88CD7D642E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6" authorId="0" shapeId="0" xr:uid="{1CAD7B7C-1C59-4EC0-A410-7FD5BBEE224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6" authorId="0" shapeId="0" xr:uid="{2CBC3D2C-4520-4D13-8930-A5340AEC649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6" authorId="0" shapeId="0" xr:uid="{50A1D00F-0B0E-40E8-9401-0D76975B43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7" authorId="0" shapeId="0" xr:uid="{1F62C9AE-D74B-41ED-B46B-76DA6888610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7" authorId="0" shapeId="0" xr:uid="{068A1C0D-DF51-4A0D-940B-84C2DE4538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7" authorId="0" shapeId="0" xr:uid="{7A6B8DCC-C582-4021-B2DA-4E70CB91ED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8" authorId="0" shapeId="0" xr:uid="{FDF912DD-078C-4EAC-B444-33345E5F015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8" authorId="0" shapeId="0" xr:uid="{5C500A8F-433C-45B4-90F6-4CB97A90065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8" authorId="0" shapeId="0" xr:uid="{FF7E1512-13A5-430A-8913-0704CAD70D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9" authorId="0" shapeId="0" xr:uid="{760DCC92-819B-4EA4-81DF-89CCB521E2D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9" authorId="0" shapeId="0" xr:uid="{622C437A-2D84-4878-B42D-A1EFBA29BD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9" authorId="0" shapeId="0" xr:uid="{28FE872B-755B-44D1-AF12-3B77D02280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0" authorId="0" shapeId="0" xr:uid="{67F57F43-A61A-485A-9B9A-845EE92679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0" authorId="0" shapeId="0" xr:uid="{679C87A9-2772-44A2-ABBF-1A02B23421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0" authorId="0" shapeId="0" xr:uid="{2570C3E6-C7F3-411A-AD82-08AE0AF7806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6" authorId="0" shapeId="0" xr:uid="{AA893113-55F1-4563-9B4E-7DB6203D7E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6" authorId="0" shapeId="0" xr:uid="{9329D185-1F9B-4F3C-AD3C-7B0B4727AEA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6" authorId="0" shapeId="0" xr:uid="{FBAE88D1-24A5-42FB-9DD2-2DB8DA643A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7" authorId="0" shapeId="0" xr:uid="{E8198D4D-98A0-433A-B342-E83DCBBB5B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7" authorId="0" shapeId="0" xr:uid="{23BECBA7-3CBC-43C5-8DB1-B7186A71E3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7" authorId="0" shapeId="0" xr:uid="{3080F82C-6316-4DF8-AC6F-79133112780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8" authorId="0" shapeId="0" xr:uid="{CB4BCD9C-8717-47AF-A0DD-8A526AC325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8" authorId="0" shapeId="0" xr:uid="{B57159C5-7A02-4817-ADCD-2A4C5A51D6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8" authorId="0" shapeId="0" xr:uid="{9A98A4AA-38A8-4770-B9F5-C831851DF0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9" authorId="0" shapeId="0" xr:uid="{E520C639-75A9-40F0-A47A-2032212AE5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9" authorId="0" shapeId="0" xr:uid="{D8A5A3FF-BB82-4CA8-962D-77D7F84C610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9" authorId="0" shapeId="0" xr:uid="{02D6074E-C912-41D2-A069-C9A43AEE24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0" authorId="0" shapeId="0" xr:uid="{DD2BF40B-A3DF-4202-AC26-E5103BDA05A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0" authorId="0" shapeId="0" xr:uid="{5409B2A5-ED9D-42A5-B044-4C1AF1D326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0" authorId="0" shapeId="0" xr:uid="{6F96B25B-A4F3-45E2-88B2-A3516C12EE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1" authorId="0" shapeId="0" xr:uid="{7ABBB2E8-4DCF-4F1A-987B-B4B6350C9B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1" authorId="0" shapeId="0" xr:uid="{E3A1612D-79AD-4B2F-A92B-3C6A829AE8F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1" authorId="0" shapeId="0" xr:uid="{49BF53FE-FB34-4EF6-9995-C79CDABAD3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2" authorId="0" shapeId="0" xr:uid="{050EA56F-EC13-4602-930D-71DF1A1EA0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2" authorId="0" shapeId="0" xr:uid="{868E1956-D158-40BD-9E64-2E604581BB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2" authorId="0" shapeId="0" xr:uid="{3B18326B-F69C-42D1-9DAE-F473B43542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3" authorId="0" shapeId="0" xr:uid="{7A25D1CB-7437-49CB-A6FB-7863566958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3" authorId="0" shapeId="0" xr:uid="{5FE7D36D-CB12-4EC9-B4B8-2DB08FD35B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3" authorId="0" shapeId="0" xr:uid="{8F99CC80-A44F-4788-A626-9447EA77183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4" authorId="0" shapeId="0" xr:uid="{E4B708F2-D8A1-46EC-99DD-FE70171BCB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4" authorId="0" shapeId="0" xr:uid="{C9A17B08-F387-4FE5-93FF-A707B9F40E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4" authorId="0" shapeId="0" xr:uid="{5A925480-986C-48C2-BBBC-9D48ED32E24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5" authorId="0" shapeId="0" xr:uid="{7A571F13-DD75-4CA5-823A-D3400CAAD5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5" authorId="0" shapeId="0" xr:uid="{1B256C37-6BDC-4944-8FF0-5CF3B95654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5" authorId="0" shapeId="0" xr:uid="{3B443AF2-AFDB-444F-9475-48F46239DCE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6" authorId="0" shapeId="0" xr:uid="{A613C0CA-8C76-404D-B0AC-4835AF7731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6" authorId="0" shapeId="0" xr:uid="{36AB2645-CD28-4251-B541-C59ECFBB73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6" authorId="0" shapeId="0" xr:uid="{F7BD3221-4D5B-40D9-8A06-EB6A1F3403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7" authorId="0" shapeId="0" xr:uid="{CEC8B504-DE97-41DD-AF6C-4221A12367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7" authorId="0" shapeId="0" xr:uid="{D3596937-1274-495B-B86A-2438CBD957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7" authorId="0" shapeId="0" xr:uid="{B45A57D5-6FA0-4273-91E4-008B0D8FDF1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8" authorId="0" shapeId="0" xr:uid="{A0159500-6C44-465C-A52F-9AB090E94B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8" authorId="0" shapeId="0" xr:uid="{576275D6-7648-403E-9B34-69115E8B1E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8" authorId="0" shapeId="0" xr:uid="{5D2A61A6-AF62-45DE-A8CF-A9CF5773F9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9" authorId="0" shapeId="0" xr:uid="{055FB420-C409-4B8A-A158-7F59044221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9" authorId="0" shapeId="0" xr:uid="{A6E22CD9-0807-497C-9337-BB8936C2DB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9" authorId="0" shapeId="0" xr:uid="{A4A8BD76-F934-4D01-B82A-1A6AAC4879A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0" authorId="0" shapeId="0" xr:uid="{E9DD7FEF-5164-4B2B-A44D-83F96B645F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0" authorId="0" shapeId="0" xr:uid="{E43BCB24-3A21-460C-82BC-8071CEF005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0" authorId="0" shapeId="0" xr:uid="{0736DF02-8E76-4E9C-9DC3-F1FAA68129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1" authorId="0" shapeId="0" xr:uid="{F8FA96BF-3F42-4E8B-802A-87077FA6CEC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1" authorId="0" shapeId="0" xr:uid="{EB8E7851-9B1D-4819-BC8B-47906B9396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1" authorId="0" shapeId="0" xr:uid="{4382B443-7521-40BC-8B6E-762A65973F8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2" authorId="0" shapeId="0" xr:uid="{FB53170F-66BE-4484-A5B3-2A28118C565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2" authorId="0" shapeId="0" xr:uid="{FDBC4FBE-E594-40C3-80AB-3082FD06E3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2" authorId="0" shapeId="0" xr:uid="{2D544B2E-644B-4F57-8B52-71611F67FD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3" authorId="0" shapeId="0" xr:uid="{44A0F652-E9A4-4840-A444-1B664E79D4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3" authorId="0" shapeId="0" xr:uid="{FB5A14C1-275A-40B2-969A-AE45F89AE9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3" authorId="0" shapeId="0" xr:uid="{46AF7EFF-A1AE-4175-9C4B-004C10EC68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4" authorId="0" shapeId="0" xr:uid="{A3D4C748-CFF9-4514-8D2E-6126C431CC3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4" authorId="0" shapeId="0" xr:uid="{3747798E-A04B-48A3-B8B9-5267D6A8776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4" authorId="0" shapeId="0" xr:uid="{16C3B4E4-128C-4850-8203-0390FA2FED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5" authorId="0" shapeId="0" xr:uid="{FC6FD16A-5211-402C-811C-CD039D87B2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5" authorId="0" shapeId="0" xr:uid="{F4696124-48DD-4F7C-AFE3-83FF8C52B6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5" authorId="0" shapeId="0" xr:uid="{7D6DF7CC-C961-4714-BBF1-4870413EA5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6" authorId="0" shapeId="0" xr:uid="{4711BAD0-BF20-4875-AAC5-486460B259A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6" authorId="0" shapeId="0" xr:uid="{88791ED6-6FC3-4F9F-8891-11CE3CEE57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6" authorId="0" shapeId="0" xr:uid="{7DE2BB4B-3D71-4F77-892D-76C2E8234B6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7" authorId="0" shapeId="0" xr:uid="{D5887803-24CF-4F0C-8F82-F403ABC9B4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7" authorId="0" shapeId="0" xr:uid="{FF272D83-0923-4E65-BFDF-DBF17B9FCC1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7" authorId="0" shapeId="0" xr:uid="{283A2389-A7A0-4F7F-8A32-4CE79C13DA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8" authorId="0" shapeId="0" xr:uid="{A05A9043-8AB7-4D58-A1D0-62AFC9B1B85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8" authorId="0" shapeId="0" xr:uid="{CEC14438-FAD9-4FC3-A979-618E802D798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8" authorId="0" shapeId="0" xr:uid="{0AFE52AB-2886-47D9-B113-21E4C1C9BCA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9" authorId="0" shapeId="0" xr:uid="{97F5C113-26F2-46CD-8722-26CDAED53C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9" authorId="0" shapeId="0" xr:uid="{714751F5-D450-4A42-9FFF-022AE94405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9" authorId="0" shapeId="0" xr:uid="{6AE6C0AC-1FB0-4849-872D-B7F6F8959F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0" authorId="0" shapeId="0" xr:uid="{E1CD4DAF-FE1B-4781-8FF3-30D756C997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0" authorId="0" shapeId="0" xr:uid="{6A84DFAD-B399-45E3-85BD-A57FE891D29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0" authorId="0" shapeId="0" xr:uid="{2E2759D0-0AEA-49D7-8C8A-DDA568F40D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1" authorId="0" shapeId="0" xr:uid="{32A7AC31-30C8-42A6-81A5-FD162459F5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1" authorId="0" shapeId="0" xr:uid="{C1623183-3B93-4131-B7B4-8DD9E3A438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1" authorId="0" shapeId="0" xr:uid="{B3148D1F-32F6-4A30-8027-032F4AA9F6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2" authorId="0" shapeId="0" xr:uid="{95F3FA7C-6A1B-4987-9DD6-0699D937C5C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2" authorId="0" shapeId="0" xr:uid="{A7158484-08D9-4627-8E63-2A4184B4BF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2" authorId="0" shapeId="0" xr:uid="{3A0DD806-7A8A-473B-91AD-A77120117B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8" authorId="0" shapeId="0" xr:uid="{B6AE0C64-95C1-4B8C-B47E-584E174280B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8" authorId="0" shapeId="0" xr:uid="{D171A528-C247-4186-91C6-2753B5EBEA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8" authorId="0" shapeId="0" xr:uid="{00F857A7-7C9A-41E1-95FB-4B255DDB58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9" authorId="0" shapeId="0" xr:uid="{AA51D78B-1D1E-478A-94EA-746517B5CD8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9" authorId="0" shapeId="0" xr:uid="{55B8C86C-4F56-44B2-B0C2-E96EC44289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9" authorId="0" shapeId="0" xr:uid="{AB5C243A-D685-4699-934A-89ACDCDC7A4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7" authorId="0" shapeId="0" xr:uid="{D26D9A74-3DFB-4E96-BC49-F55653EE04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7" authorId="0" shapeId="0" xr:uid="{6280AEBD-0CB2-481E-8696-2D966DD352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7" authorId="0" shapeId="0" xr:uid="{290F8020-15D4-4625-9A3F-B36C9BF5138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8" authorId="0" shapeId="0" xr:uid="{065CC00F-DD53-48F4-9F8F-58844EC124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8" authorId="0" shapeId="0" xr:uid="{3958ADBD-149F-4250-A47E-0B8005163CA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8" authorId="0" shapeId="0" xr:uid="{53CEBC1B-5521-42B3-853A-4C91C479764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9" authorId="0" shapeId="0" xr:uid="{6DF9E9C6-4BE0-4CE1-AD9D-83514DD623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9" authorId="0" shapeId="0" xr:uid="{9EC06E95-B367-4FAE-A28D-48C81338E9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9" authorId="0" shapeId="0" xr:uid="{B9466127-B1D8-4756-B04E-9AE74D1273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0" authorId="0" shapeId="0" xr:uid="{3DB6944D-E08F-4BEB-8A44-C77648DE34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0" authorId="0" shapeId="0" xr:uid="{151150F6-19A1-49CD-8724-EBBC2547BE2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0" authorId="0" shapeId="0" xr:uid="{E5D08983-4535-4C18-BF60-C384E73929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1" authorId="0" shapeId="0" xr:uid="{55782688-1DBF-43DD-ABCB-6E2F5221C7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1" authorId="0" shapeId="0" xr:uid="{2A6EA814-DAF9-464C-90A9-284D3440992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1" authorId="0" shapeId="0" xr:uid="{D36CE04C-9EBF-4E88-BB96-5A1E086DA2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2" authorId="0" shapeId="0" xr:uid="{6C67B138-A22E-410B-8195-85FA22CA326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2" authorId="0" shapeId="0" xr:uid="{CADE0FEA-F611-4933-9D0D-A86850D4B9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2" authorId="0" shapeId="0" xr:uid="{791D60F1-35D3-4FBE-8549-3B74C6B8EAF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3" authorId="0" shapeId="0" xr:uid="{7F54A645-DCB7-43D6-8786-5D16D9819D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3" authorId="0" shapeId="0" xr:uid="{DD8FBE11-7AA0-478D-BFEB-B24C2339B6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3" authorId="0" shapeId="0" xr:uid="{9BA9C92F-1C66-432F-9DF8-A3A1EF950EA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4" authorId="0" shapeId="0" xr:uid="{96042445-49E4-483B-9618-E336B853FF2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4" authorId="0" shapeId="0" xr:uid="{4CBEEFAA-5BA7-4420-80C1-D4931A38EB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4" authorId="0" shapeId="0" xr:uid="{09A549D7-9713-4785-AE35-474350C8DB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7" authorId="0" shapeId="0" xr:uid="{63A56757-1916-4AF2-867F-A46B9D0A64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7" authorId="0" shapeId="0" xr:uid="{7DF5716A-B962-457C-9FAD-1DA2DB773E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7" authorId="0" shapeId="0" xr:uid="{9EE919EB-7F83-40C5-A004-8E898D6F17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8" authorId="0" shapeId="0" xr:uid="{554922AC-382A-4D22-8E44-748373924C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8" authorId="0" shapeId="0" xr:uid="{3CC85E94-7D85-479F-B77F-92835AC82E2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8" authorId="0" shapeId="0" xr:uid="{6CEAE62C-D28B-4C46-AEE0-85E20CDDDF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1" authorId="0" shapeId="0" xr:uid="{BA23600D-3D8B-4C75-A9A9-BF77A4A5A57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2" authorId="0" shapeId="0" xr:uid="{3DEC03DB-1FF2-457C-B6EC-FE309C6D67D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5" authorId="0" shapeId="0" xr:uid="{4A3CF0A4-ACE3-4B55-BA7A-5B41FCA2B71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6" authorId="0" shapeId="0" xr:uid="{B0515DEE-00A8-4515-9CC6-249F56712320}">
      <text>
        <r>
          <rPr>
            <sz val="8"/>
            <color indexed="81"/>
            <rFont val="Tahoma"/>
            <family val="2"/>
          </rPr>
          <t>Formula failed to convert</t>
        </r>
      </text>
    </comment>
  </commentList>
</comments>
</file>

<file path=xl/sharedStrings.xml><?xml version="1.0" encoding="utf-8"?>
<sst xmlns="http://schemas.openxmlformats.org/spreadsheetml/2006/main" count="554" uniqueCount="540">
  <si>
    <t>***FINAL***</t>
  </si>
  <si>
    <t xml:space="preserve">                        JUNIOR CHAMBER INTERNATIONAL (JCI), INC.</t>
  </si>
  <si>
    <t xml:space="preserve">                                 STATEMENTS OF FINANCIAL POSITION</t>
  </si>
  <si>
    <t xml:space="preserve">                                                   JULY 31, 2002 AND 2001</t>
  </si>
  <si>
    <t xml:space="preserve">                                     ASSETS</t>
  </si>
  <si>
    <t xml:space="preserve">                    2002</t>
  </si>
  <si>
    <t xml:space="preserve">                    2001</t>
  </si>
  <si>
    <t>Current assets:</t>
  </si>
  <si>
    <t xml:space="preserve">     Cash and cash equivalents</t>
  </si>
  <si>
    <t xml:space="preserve">     Short-term investments</t>
  </si>
  <si>
    <t xml:space="preserve">     Accounts receivable, less allowance</t>
  </si>
  <si>
    <t xml:space="preserve">     Due rom officers and employeess</t>
  </si>
  <si>
    <t xml:space="preserve">     Due from Foundation</t>
  </si>
  <si>
    <t xml:space="preserve">     Inventories</t>
  </si>
  <si>
    <t xml:space="preserve">     Prepaid expenses</t>
  </si>
  <si>
    <t xml:space="preserve">     Other current assets </t>
  </si>
  <si>
    <t xml:space="preserve">          Total current assets</t>
  </si>
  <si>
    <t>Restricted cash</t>
  </si>
  <si>
    <t xml:space="preserve">     Less allowance for possible nonavailability</t>
  </si>
  <si>
    <t xml:space="preserve">          Total restricted cash</t>
  </si>
  <si>
    <t>Property andequipment:</t>
  </si>
  <si>
    <t xml:space="preserve">     Land and landscaping</t>
  </si>
  <si>
    <t xml:space="preserve">     Building</t>
  </si>
  <si>
    <t xml:space="preserve">     SG residential property</t>
  </si>
  <si>
    <t xml:space="preserve">     Furniture, fixtures and equipment</t>
  </si>
  <si>
    <t xml:space="preserve">          Total property and equipment</t>
  </si>
  <si>
    <t xml:space="preserve">               Less accumulated depreciation</t>
  </si>
  <si>
    <t xml:space="preserve">          Net property and equipment</t>
  </si>
  <si>
    <t>Other assets</t>
  </si>
  <si>
    <t xml:space="preserve">                    Total assets</t>
  </si>
  <si>
    <t xml:space="preserve">                    LIABILITIES AND NET ASSETS</t>
  </si>
  <si>
    <t>Curent liabilities:</t>
  </si>
  <si>
    <t xml:space="preserve">     Accounts payable</t>
  </si>
  <si>
    <t xml:space="preserve">     Accrued liabilities</t>
  </si>
  <si>
    <t xml:space="preserve">     Due to Foundation</t>
  </si>
  <si>
    <t xml:space="preserve">     Congress and conference bid bonds</t>
  </si>
  <si>
    <t xml:space="preserve">     Deferred revenues</t>
  </si>
  <si>
    <t xml:space="preserve">          Total current liabilities</t>
  </si>
  <si>
    <t>Net assets:</t>
  </si>
  <si>
    <t xml:space="preserve">     Unrestricted</t>
  </si>
  <si>
    <t xml:space="preserve">     Temporarily restricted</t>
  </si>
  <si>
    <t xml:space="preserve">     Permanently restricted</t>
  </si>
  <si>
    <t xml:space="preserve">     Increase/(decrease) in current year net assets</t>
  </si>
  <si>
    <t xml:space="preserve">     </t>
  </si>
  <si>
    <t xml:space="preserve">          Total net assets</t>
  </si>
  <si>
    <t xml:space="preserve">                    Total liabilities and net assets</t>
  </si>
  <si>
    <t xml:space="preserve">  prepared:</t>
  </si>
  <si>
    <t>EXTENSION</t>
  </si>
  <si>
    <t>000..999</t>
  </si>
  <si>
    <t>EXPENSE</t>
  </si>
  <si>
    <t>MAIN</t>
  </si>
  <si>
    <t>3005..9999</t>
  </si>
  <si>
    <t>TYPE</t>
  </si>
  <si>
    <t>ACTUAL</t>
  </si>
  <si>
    <t>TYPE2</t>
  </si>
  <si>
    <t>Last Year Year To Date 12</t>
  </si>
  <si>
    <t>YEAR</t>
  </si>
  <si>
    <t>2002</t>
  </si>
  <si>
    <t>MTD ACTUAL</t>
  </si>
  <si>
    <t>YEAR TO DATE</t>
  </si>
  <si>
    <t>YEAR END</t>
  </si>
  <si>
    <t>PERIOD</t>
  </si>
  <si>
    <t>YEAR TO DATE 7</t>
  </si>
  <si>
    <t>12/31/01</t>
  </si>
  <si>
    <t>COMPANY</t>
  </si>
  <si>
    <t>55</t>
  </si>
  <si>
    <t>BUDGET</t>
  </si>
  <si>
    <t>2002BUD</t>
  </si>
  <si>
    <t>ASSETS</t>
  </si>
  <si>
    <t xml:space="preserve"> </t>
  </si>
  <si>
    <t>ACCOUNTS</t>
  </si>
  <si>
    <t>PERIOD1</t>
  </si>
  <si>
    <t>Transactions Month 7</t>
  </si>
  <si>
    <t>PETTY CASH</t>
  </si>
  <si>
    <t>1005-000-000</t>
  </si>
  <si>
    <t>((1005-000-000)(000..999)(000..999))</t>
  </si>
  <si>
    <t>^-^-^</t>
  </si>
  <si>
    <t>CITIBANK-INDIA</t>
  </si>
  <si>
    <t>1006-000-000</t>
  </si>
  <si>
    <t>((1006-000-000)(000..999)(000..999))</t>
  </si>
  <si>
    <t>ALLOW FOR FX LOSS-INDIA</t>
  </si>
  <si>
    <t>1006-001-000</t>
  </si>
  <si>
    <t>((1006-001-000)(000..999)(000..999))</t>
  </si>
  <si>
    <t>CITIBANK-OPERATING (NEW)</t>
  </si>
  <si>
    <t>1007-000-000</t>
  </si>
  <si>
    <t>((1007-000-000)(000..999)(000..999))</t>
  </si>
  <si>
    <t>CITIBANK-OPERATING (OLD)</t>
  </si>
  <si>
    <t>1008-000-000</t>
  </si>
  <si>
    <t>((1008-000-000)(000..999)(000..999))</t>
  </si>
  <si>
    <t>CITIBANK-PAYROLL</t>
  </si>
  <si>
    <t>1009-000-000</t>
  </si>
  <si>
    <t>((1009-000-000)(000..999)(000..999))</t>
  </si>
  <si>
    <t>CITIBANK-CONGRESS</t>
  </si>
  <si>
    <t>1010-000-000</t>
  </si>
  <si>
    <t>((1010-000-000)(000..999)(000..999))</t>
  </si>
  <si>
    <t>CITIBANK-MONEY MARKET</t>
  </si>
  <si>
    <t>1011-000-000</t>
  </si>
  <si>
    <t>((1011-000-000)(000..999)(000..999))</t>
  </si>
  <si>
    <t>BANK OF AMERICA</t>
  </si>
  <si>
    <t>1014-000-000</t>
  </si>
  <si>
    <t>((1014-000-000)(000..999)(000..999))</t>
  </si>
  <si>
    <t xml:space="preserve">          TOTAL CASH AND EQUIVALENTS</t>
  </si>
  <si>
    <t>CITICORP-INVESTMENTS</t>
  </si>
  <si>
    <t>1012-000-000</t>
  </si>
  <si>
    <t>((1012-000-000)(000..999)(000..999))</t>
  </si>
  <si>
    <t>HOKUYO BANK - SAPPORO (YEN)</t>
  </si>
  <si>
    <t>1013-000-000</t>
  </si>
  <si>
    <t>((1013-000-000)(000..999)(000..999))</t>
  </si>
  <si>
    <t>CREDIT LYONNAIS-CD(USD)</t>
  </si>
  <si>
    <t>1016-000-000</t>
  </si>
  <si>
    <t>((1016-000-000)(000..999)(000..999))</t>
  </si>
  <si>
    <t>CREDIT LYONNAIS-FF</t>
  </si>
  <si>
    <t>1017-000-000</t>
  </si>
  <si>
    <t>((1017-000-000)(000..999)(000..999))</t>
  </si>
  <si>
    <t>SUN BANK-OPERATING</t>
  </si>
  <si>
    <t>1018-000-000</t>
  </si>
  <si>
    <t>((1018-000-000)(000..999)(000..999))</t>
  </si>
  <si>
    <t>CREDIT LYONNAIS-INVESTMENTS</t>
  </si>
  <si>
    <t>1019-000-000</t>
  </si>
  <si>
    <t>((1019-000-000)(000..999)(000..999))</t>
  </si>
  <si>
    <t>PREMIUMS (DISCOUNTS)</t>
  </si>
  <si>
    <t>1020-000-000</t>
  </si>
  <si>
    <t>((1020-000-000)(000..999)(000..999))</t>
  </si>
  <si>
    <t>BANCO SABADELL-USA</t>
  </si>
  <si>
    <t>1021-000-000</t>
  </si>
  <si>
    <t>((1021-000-000)(000..999)(000..999))</t>
  </si>
  <si>
    <t>BANCO SAVADELL-PTS</t>
  </si>
  <si>
    <t>1022-000-000</t>
  </si>
  <si>
    <t>((1022-000-000)(000..999)(000..999))</t>
  </si>
  <si>
    <t>CREDIT CARD</t>
  </si>
  <si>
    <t>1023-000-000</t>
  </si>
  <si>
    <t>((1023-000-000)(000..999)(000..999))</t>
  </si>
  <si>
    <t xml:space="preserve">         TOTAL INVESTMENTS</t>
  </si>
  <si>
    <t>A/R-DUES</t>
  </si>
  <si>
    <t>1025-*-000</t>
  </si>
  <si>
    <t>((1025-*-000)(000..999)(000..999))</t>
  </si>
  <si>
    <t>A/R-OFFICERS</t>
  </si>
  <si>
    <t>1030-*-000</t>
  </si>
  <si>
    <t>((1030-*-000)(000..999)(000..999))</t>
  </si>
  <si>
    <t>A/R-STAFF</t>
  </si>
  <si>
    <t>1032-*-000</t>
  </si>
  <si>
    <t>((1032-*-000)(000..999)(000..999))</t>
  </si>
  <si>
    <t>A/R-SAPPORO (2000)</t>
  </si>
  <si>
    <t>1035-000-000</t>
  </si>
  <si>
    <t>((1035-000-000)(000..999)(000..999))</t>
  </si>
  <si>
    <t>A/R-MANILA (98)</t>
  </si>
  <si>
    <t>1040-000-000</t>
  </si>
  <si>
    <t>((1040-000-000)(000..999)(000..999))</t>
  </si>
  <si>
    <t>A/R-CANNES COC (99)</t>
  </si>
  <si>
    <t>1045-000-000</t>
  </si>
  <si>
    <t>((1045-000-000)(000..999)(000..999))</t>
  </si>
  <si>
    <t>A/R-INSURANCE</t>
  </si>
  <si>
    <t>1050-000-000</t>
  </si>
  <si>
    <t>((1050-000-000)(000..999)(000..999))</t>
  </si>
  <si>
    <t>A/R-GENERAL</t>
  </si>
  <si>
    <t>1055-000-000</t>
  </si>
  <si>
    <t>((1055-000-000)(000..999)(000..999))</t>
  </si>
  <si>
    <t>A/R-SALES</t>
  </si>
  <si>
    <t>1058-000-000</t>
  </si>
  <si>
    <t>((1058-000-000)(000..999)(000..999))</t>
  </si>
  <si>
    <t>A/R-JCI FOUNDATION</t>
  </si>
  <si>
    <t>1060-000-000</t>
  </si>
  <si>
    <t>((1060-000-000)(000..999)(000..999))</t>
  </si>
  <si>
    <t>ACCRUED INT RECEIVABLE</t>
  </si>
  <si>
    <t>1065-000-000</t>
  </si>
  <si>
    <t>((1065-000-000)(000..999)(000..999))</t>
  </si>
  <si>
    <t>NOTES RECEIVABLE</t>
  </si>
  <si>
    <t>1070-000-000</t>
  </si>
  <si>
    <t>((1070-000-000)(000..999)(000..999))</t>
  </si>
  <si>
    <t>A/R-LONG TERM</t>
  </si>
  <si>
    <t>1075-000-000</t>
  </si>
  <si>
    <t>((1075-000-000)(000..999)(000..999))</t>
  </si>
  <si>
    <t>BAD DEBT PROV-DUES</t>
  </si>
  <si>
    <t>1080-000-000</t>
  </si>
  <si>
    <t>((1080-000-000)(000..999)(000..999))</t>
  </si>
  <si>
    <t>BAD DEBT PROV-OTHER</t>
  </si>
  <si>
    <t>1085-000-000</t>
  </si>
  <si>
    <t>((1085-000-000)(000..999)(000..999))</t>
  </si>
  <si>
    <t xml:space="preserve">          TOTAL RECEIVABLES</t>
  </si>
  <si>
    <t>INVENTORY-JCI PRODUCTS</t>
  </si>
  <si>
    <t>1100-000-000</t>
  </si>
  <si>
    <t>((1100-000-000)(000..999)(000..999))</t>
  </si>
  <si>
    <t>INVENTORY-US PRODUCTS</t>
  </si>
  <si>
    <t>1100-000-005</t>
  </si>
  <si>
    <t>((1100-000-005)(000..999)(000..999))</t>
  </si>
  <si>
    <t>PURCHASES-JCI</t>
  </si>
  <si>
    <t>1100-001-000</t>
  </si>
  <si>
    <t>((1100-001-000)(000..999)(000..999))</t>
  </si>
  <si>
    <t>PURCHASES-US</t>
  </si>
  <si>
    <t>1100-001-005</t>
  </si>
  <si>
    <t>((1100-001-005)(000..999)(000..999))</t>
  </si>
  <si>
    <t>INVENTORY-OFFICER PINS</t>
  </si>
  <si>
    <t>1105-000-000</t>
  </si>
  <si>
    <t>((1105-000-000)(000..999)(000..999))</t>
  </si>
  <si>
    <t>RESERVE-OBSOLETE INVENTORY</t>
  </si>
  <si>
    <t>1110-000-000</t>
  </si>
  <si>
    <t>((1110-000-000)(000..999)(000..999))</t>
  </si>
  <si>
    <t>INVENTORY CLEARING</t>
  </si>
  <si>
    <t>1111-000-000</t>
  </si>
  <si>
    <t>((1111-000-000)(000..999)(000..999))</t>
  </si>
  <si>
    <t>INVENTORY IN-PROGRESS:</t>
  </si>
  <si>
    <t>1115-000-000</t>
  </si>
  <si>
    <t>((1115-000-000)(000..999)(000..999))</t>
  </si>
  <si>
    <t>VANGUARD LEADERS</t>
  </si>
  <si>
    <t>1115-005-000</t>
  </si>
  <si>
    <t>((1115-005-000)(000..999)(000..999))</t>
  </si>
  <si>
    <t>PRIME</t>
  </si>
  <si>
    <t>1115-010-000</t>
  </si>
  <si>
    <t>((1115-010-000)(000..999)(000..999))</t>
  </si>
  <si>
    <t>CHAPTER DEVELOPMENT</t>
  </si>
  <si>
    <t>1115-015-000</t>
  </si>
  <si>
    <t>((1115-015-000)(000..999)(000..999))</t>
  </si>
  <si>
    <t>OPPORTUNITY TO SUCCEED</t>
  </si>
  <si>
    <t>1115-020-000</t>
  </si>
  <si>
    <t>((1115-020-000)(000..999)(000..999))</t>
  </si>
  <si>
    <t>NATIONAL LEADERS</t>
  </si>
  <si>
    <t>1115-025-000</t>
  </si>
  <si>
    <t>((1115-025-000)(000..999)(000..999))</t>
  </si>
  <si>
    <t>TRANSPARENCIES</t>
  </si>
  <si>
    <t>1115-030-000</t>
  </si>
  <si>
    <t>((1115-030-000)(000..999)(000..999))</t>
  </si>
  <si>
    <t>LOCAL LEADERS</t>
  </si>
  <si>
    <t>1115-035-000</t>
  </si>
  <si>
    <t>((1115-035-000)(000..999)(000..999))</t>
  </si>
  <si>
    <t xml:space="preserve">          TOTAL INVENTORY</t>
  </si>
  <si>
    <t>PREPAIDS-GENERAL</t>
  </si>
  <si>
    <t>1205-000-000</t>
  </si>
  <si>
    <t>((1205-000-000)(000..999)(000..999))</t>
  </si>
  <si>
    <t>PREPAIDS-POSTAGE METER</t>
  </si>
  <si>
    <t>1210-000-000</t>
  </si>
  <si>
    <t>((1210-000-000)(000..999)(000..999))</t>
  </si>
  <si>
    <t>PREPAIDS-SPC</t>
  </si>
  <si>
    <t>1215-000-000</t>
  </si>
  <si>
    <t>((1215-000-000)(000..999)(000..999))</t>
  </si>
  <si>
    <t>PREPAIDS-INSURANCE</t>
  </si>
  <si>
    <t>1220-000-000</t>
  </si>
  <si>
    <t>((1220-000-000)(000..999)(000..999))</t>
  </si>
  <si>
    <t xml:space="preserve">          TOTAL PREPAID</t>
  </si>
  <si>
    <t>DEPOSITS-ELECTRICITY</t>
  </si>
  <si>
    <t>1250-000-000</t>
  </si>
  <si>
    <t>((1250-000-000)(000..999)(000..999))</t>
  </si>
  <si>
    <t>3005..3135</t>
  </si>
  <si>
    <t>^-^-^((3005..3135)(000..999)(000..999))</t>
  </si>
  <si>
    <t>DEPOSITS-SUNDRY</t>
  </si>
  <si>
    <t>1255-000-000</t>
  </si>
  <si>
    <t>((1255-000-000)(000..999)(000..999))</t>
  </si>
  <si>
    <t>4000..9999</t>
  </si>
  <si>
    <t>^-^-^((4000..9999)(000..999)(000..999))</t>
  </si>
  <si>
    <t xml:space="preserve">          TOTAL DEPOSITS</t>
  </si>
  <si>
    <t>SUSPENSE-DEFAULT ACCOUNT</t>
  </si>
  <si>
    <t>1300-000-000</t>
  </si>
  <si>
    <t>((1300-000-000)(000..999)(000..999))</t>
  </si>
  <si>
    <t>SUSPENSE-GENERAL</t>
  </si>
  <si>
    <t>1305-000-000</t>
  </si>
  <si>
    <t>((1305-000-000)(000..999)(000..999))</t>
  </si>
  <si>
    <t>SUSPENSE-SENATE</t>
  </si>
  <si>
    <t>1310-000-000</t>
  </si>
  <si>
    <t>((1310-000-000)(000..999)(000..999))</t>
  </si>
  <si>
    <t>1000..1999</t>
  </si>
  <si>
    <t>^-^-^((1000..1999)(000..999)(000..999))</t>
  </si>
  <si>
    <t>SUSPENSE-CONGRESS MISC</t>
  </si>
  <si>
    <t>1330-000-000</t>
  </si>
  <si>
    <t>((1330-000-000)(000..999)(000..999))</t>
  </si>
  <si>
    <t>SUSPENSE-CONG REG CLEARING</t>
  </si>
  <si>
    <t>1335-000-000</t>
  </si>
  <si>
    <t>((1335-000-000)(000..999)(000..999))</t>
  </si>
  <si>
    <t xml:space="preserve">          TOTAL OTHER CURRENT ASSETS</t>
  </si>
  <si>
    <t>LIBRARY EXT/LOBBY</t>
  </si>
  <si>
    <t>1505-000-000</t>
  </si>
  <si>
    <t>((1505-000-000)(000..999)(000..999))</t>
  </si>
  <si>
    <t>LAND &amp; LANDSCAPING</t>
  </si>
  <si>
    <t>1510-000-000</t>
  </si>
  <si>
    <t>((1510-000-000)(000..999)(000..999))</t>
  </si>
  <si>
    <t>RENOVATIONS-2/4 FL</t>
  </si>
  <si>
    <t>1515-000-000</t>
  </si>
  <si>
    <t>((1515-000-000)(000..999)(000..999))</t>
  </si>
  <si>
    <t>RENOVATIONS-3 FL</t>
  </si>
  <si>
    <t>1517-000-000</t>
  </si>
  <si>
    <t>((1517-000-000)(000..999)(000..999))</t>
  </si>
  <si>
    <t>SECRETARIAT BUILDING</t>
  </si>
  <si>
    <t>1525-000-000</t>
  </si>
  <si>
    <t>((1525-000-000)(000..999)(000..999))</t>
  </si>
  <si>
    <t>PLANT &amp; MACHINERY</t>
  </si>
  <si>
    <t>1530-000-000</t>
  </si>
  <si>
    <t>((1530-000-000)(000..999)(000..999))</t>
  </si>
  <si>
    <t>FURNITURE &amp; EQUIPMENT</t>
  </si>
  <si>
    <t>1535-000-000</t>
  </si>
  <si>
    <t>((1535-000-000)(000..999)(000..999))</t>
  </si>
  <si>
    <t xml:space="preserve">          TOTAL PROPERTY AND EQUIPMENT</t>
  </si>
  <si>
    <t>ACC DEPR-PLANT/MACHINERY</t>
  </si>
  <si>
    <t>1605-000-000</t>
  </si>
  <si>
    <t>((1605-000-000)(000..999)(000..999))</t>
  </si>
  <si>
    <t>ACC DEPR-BUILDING</t>
  </si>
  <si>
    <t>1610-000-000</t>
  </si>
  <si>
    <t>((1610-000-000)(000..999)(000..999))</t>
  </si>
  <si>
    <t>ACC DEPR-FURNITURE</t>
  </si>
  <si>
    <t>1615-000-000</t>
  </si>
  <si>
    <t>((1615-000-000)(000..999)(000..999))</t>
  </si>
  <si>
    <t>ACC DEPR-3RD FL RENOVATIONS</t>
  </si>
  <si>
    <t>1622-000-000</t>
  </si>
  <si>
    <t>((1622-000-000)(000..999)(000..999))</t>
  </si>
  <si>
    <t>ACC DEPR-2/4 RENOVATIONS</t>
  </si>
  <si>
    <t>1625-000-000</t>
  </si>
  <si>
    <t>((1625-000-000)(000..999)(000..999))</t>
  </si>
  <si>
    <t xml:space="preserve">          TOTAL ACCUMULATED DEPRECIATION</t>
  </si>
  <si>
    <t>USJCC CONTRACT RIGHTS</t>
  </si>
  <si>
    <t>1705-000-000</t>
  </si>
  <si>
    <t>((1705-000-000)(000..999)(000..999))</t>
  </si>
  <si>
    <t>ACC AMORTIZATION - USJCC RIGHTS</t>
  </si>
  <si>
    <t>1805-000-000</t>
  </si>
  <si>
    <t>((1805-000-000)(000..999)(000..999))</t>
  </si>
  <si>
    <t xml:space="preserve">          TOTAL OTHER ASSETS</t>
  </si>
  <si>
    <t xml:space="preserve">                    TOTAL ASSETS</t>
  </si>
  <si>
    <t>LIABILITIES</t>
  </si>
  <si>
    <t>ACCOUNTS PAYABLE-GENERAL</t>
  </si>
  <si>
    <t>2005-000-000</t>
  </si>
  <si>
    <t>((2005-000-000)(000..999)(000..999))</t>
  </si>
  <si>
    <t>REFUNDS OVERPAYMENTS-SALES</t>
  </si>
  <si>
    <t>2006-000-000</t>
  </si>
  <si>
    <t>((2006-000-000)(000..999)(000..999))</t>
  </si>
  <si>
    <t>CANDIDATES FILING FEES</t>
  </si>
  <si>
    <t>2007-000-000</t>
  </si>
  <si>
    <t>((2007-000-000)(000..999)(000..999))</t>
  </si>
  <si>
    <t>A/P-DUE TO FOUNDATION</t>
  </si>
  <si>
    <t>2010-000-000</t>
  </si>
  <si>
    <t>((2010-000-000)(000..999)(000..999))</t>
  </si>
  <si>
    <t>WITHHOLDING TAXES</t>
  </si>
  <si>
    <t>2015-000-000</t>
  </si>
  <si>
    <t>((2015-000-000)(000..999)(000..999))</t>
  </si>
  <si>
    <t>MO STATE WITHHOLDING</t>
  </si>
  <si>
    <t>2016-000-000</t>
  </si>
  <si>
    <t>((2016-000-000)(000..999)(000..999))</t>
  </si>
  <si>
    <t>FED UNEMPLOYMENT</t>
  </si>
  <si>
    <t>2017-000-000</t>
  </si>
  <si>
    <t>((2017-000-000)(000..999)(000..999))</t>
  </si>
  <si>
    <t>2018-000-000</t>
  </si>
  <si>
    <t>((2018-000-000)(000..999)(000..999))</t>
  </si>
  <si>
    <t>SOCIAL SECURITY TAXES</t>
  </si>
  <si>
    <t>2020-000-000</t>
  </si>
  <si>
    <t>((2020-000-000)(000..999)(000..999))</t>
  </si>
  <si>
    <t>INSURANCE EMPLOYEE CO PAY</t>
  </si>
  <si>
    <t>2022-000-000</t>
  </si>
  <si>
    <t>((2022-000-000)(000..999)(000..999))</t>
  </si>
  <si>
    <t>401K EMPLOYEE</t>
  </si>
  <si>
    <t>2023-000-000</t>
  </si>
  <si>
    <t>((2023-000-000)(000..999)(000..999))</t>
  </si>
  <si>
    <t>DISABILITY</t>
  </si>
  <si>
    <t>2024-000-000</t>
  </si>
  <si>
    <t>((2024-000-000)(000..999)(000..999))</t>
  </si>
  <si>
    <t>A/P-SALES TAX</t>
  </si>
  <si>
    <t>2025-000-000</t>
  </si>
  <si>
    <t>((2025-000-000)(000..999)(000..999))</t>
  </si>
  <si>
    <t>401K EMPLOYER</t>
  </si>
  <si>
    <t>2026-000-000</t>
  </si>
  <si>
    <t>((2026-000-000)(000..999)(000..999))</t>
  </si>
  <si>
    <t>401K 2%</t>
  </si>
  <si>
    <t>2027-000-000</t>
  </si>
  <si>
    <t>((2027-000-000)(000..999)(000..999))</t>
  </si>
  <si>
    <t>PO CLEARING</t>
  </si>
  <si>
    <t>2030-000-000</t>
  </si>
  <si>
    <t>((2030-000-000)(000..999)(000..999))</t>
  </si>
  <si>
    <t xml:space="preserve">          TOTAL PAYABLES</t>
  </si>
  <si>
    <t>STAFF LEAVES</t>
  </si>
  <si>
    <t>2150-000-000</t>
  </si>
  <si>
    <t>((2150-000-000)(000..999)(000..999))</t>
  </si>
  <si>
    <t>RELOCATION EXPENSES</t>
  </si>
  <si>
    <t>2170-000-000</t>
  </si>
  <si>
    <t>((2170-000-000)(000..999)(000..999))</t>
  </si>
  <si>
    <t>COLOMBIA EARTHQUAKE RELIEF</t>
  </si>
  <si>
    <t>2175-000-000</t>
  </si>
  <si>
    <t>((2175-000-000)(000..999)(000..999))</t>
  </si>
  <si>
    <t>TURKEY EARTHQUAKE RELIEF</t>
  </si>
  <si>
    <t>2177-000-000</t>
  </si>
  <si>
    <t>((2177-000-000)(000..999)(000..999))</t>
  </si>
  <si>
    <t>UNICEF-POE DONATION</t>
  </si>
  <si>
    <t>2185-000-000</t>
  </si>
  <si>
    <t>((2185-000-000)(000..999)(000..999))</t>
  </si>
  <si>
    <t>HONDURAS HURRICANE RELIEF</t>
  </si>
  <si>
    <t>2190-000-000</t>
  </si>
  <si>
    <t>((2190-000-000)(000..999)(000..999))</t>
  </si>
  <si>
    <t>ACCRUED EXPENSES-SPC</t>
  </si>
  <si>
    <t>2195-000-000</t>
  </si>
  <si>
    <t>((2195-000-000)(000..999)(000..999))</t>
  </si>
  <si>
    <t xml:space="preserve">          TOTAL ACCRUED LIABILITIES</t>
  </si>
  <si>
    <t>CONGRESS BID BONDS</t>
  </si>
  <si>
    <t>BARCELONA-2001</t>
  </si>
  <si>
    <t>2205-000-000</t>
  </si>
  <si>
    <t>((2205-000-000)(000..999)(000..999))</t>
  </si>
  <si>
    <t>NEW DEHLI-2002</t>
  </si>
  <si>
    <t>2210-000-000</t>
  </si>
  <si>
    <t>((2210-000-000)(000..999)(000..999))</t>
  </si>
  <si>
    <t>LAS VEGAS-2002</t>
  </si>
  <si>
    <t>2215-000-000</t>
  </si>
  <si>
    <t>((2215-000-000)(000..999)(000..999))</t>
  </si>
  <si>
    <t>MANILA-1998</t>
  </si>
  <si>
    <t>2230-000-000</t>
  </si>
  <si>
    <t>((2230-000-000)(000..999)(000..999))</t>
  </si>
  <si>
    <t>CANNES-1999</t>
  </si>
  <si>
    <t>2240-000-000</t>
  </si>
  <si>
    <t>((2240-000-000)(000..999)(000..999))</t>
  </si>
  <si>
    <t>SAPPORO-2000</t>
  </si>
  <si>
    <t>2245-000-000</t>
  </si>
  <si>
    <t>((2245-000-000)(000..999)(000..999))</t>
  </si>
  <si>
    <t>FUKUOKA 2004</t>
  </si>
  <si>
    <t>2255-000-000</t>
  </si>
  <si>
    <t>((2255-000-000)(000..999)(000..999))</t>
  </si>
  <si>
    <t xml:space="preserve">          TOTAL CONGRESS BID BONDS</t>
  </si>
  <si>
    <t>CONFERENCE BID BONDS</t>
  </si>
  <si>
    <t>ISTANBUL-2002</t>
  </si>
  <si>
    <t>2305-000-000</t>
  </si>
  <si>
    <t>((2305-000-000)(000..999)(000..999))</t>
  </si>
  <si>
    <t>SENDAI-2002</t>
  </si>
  <si>
    <t>2310-000-000</t>
  </si>
  <si>
    <t>((2310-000-000)(000..999)(000..999))</t>
  </si>
  <si>
    <t>REP DOMINICANA - 2002</t>
  </si>
  <si>
    <t>2315-000-000</t>
  </si>
  <si>
    <t>((2315-000-000)(000..999)(000..999))</t>
  </si>
  <si>
    <t>CEBU - 2003</t>
  </si>
  <si>
    <t>2320-000-000</t>
  </si>
  <si>
    <t>((2320-000-000)(000..999)(000..999))</t>
  </si>
  <si>
    <t>EDMONTON 2003</t>
  </si>
  <si>
    <t>2325-000-000</t>
  </si>
  <si>
    <t>((2325-000-000)(000..999)(000..999))</t>
  </si>
  <si>
    <t>SOUSSE 2002</t>
  </si>
  <si>
    <t>2330-000-000</t>
  </si>
  <si>
    <t>((2330-000-000)(000..999)(000..999))</t>
  </si>
  <si>
    <t>LAUSANNE</t>
  </si>
  <si>
    <t>2335-000-000</t>
  </si>
  <si>
    <t>((2335-000-000)(000..999)(000..999))</t>
  </si>
  <si>
    <t>BIRMINGHAM 2003</t>
  </si>
  <si>
    <t>2340-000-000</t>
  </si>
  <si>
    <t>((2340-000-000)(000..999)(000..999))</t>
  </si>
  <si>
    <t>GABON 2003</t>
  </si>
  <si>
    <t>2345-000-000</t>
  </si>
  <si>
    <t>((2345-000-000)(000..999)(000..999))</t>
  </si>
  <si>
    <t>PENANG 2004</t>
  </si>
  <si>
    <t>2348-000-000</t>
  </si>
  <si>
    <t>((2348-000-000)(000..999)(000..999))</t>
  </si>
  <si>
    <t>MONACO-1998</t>
  </si>
  <si>
    <t>2410-000-000</t>
  </si>
  <si>
    <t>((2410-000-000)(000..999)(000..999))</t>
  </si>
  <si>
    <t>PAN-MAC (MACAU)-1998</t>
  </si>
  <si>
    <t>2415-000-000</t>
  </si>
  <si>
    <t>((2415-000-000)(000..999)(000..999))</t>
  </si>
  <si>
    <t>BOLIVIA-1998</t>
  </si>
  <si>
    <t>2420-000-000</t>
  </si>
  <si>
    <t>((2420-000-000)(000..999)(000..999))</t>
  </si>
  <si>
    <t>BALI (INDO)-1999</t>
  </si>
  <si>
    <t>2430-000-000</t>
  </si>
  <si>
    <t>((2430-000-000)(000..999)(000..999))</t>
  </si>
  <si>
    <t>JAKARTA (INDO)-1999</t>
  </si>
  <si>
    <t>2435-000-000</t>
  </si>
  <si>
    <t>((2435-000-000)(000..999)(000..999))</t>
  </si>
  <si>
    <t>KAOHSIUNG-2000</t>
  </si>
  <si>
    <t>2440-000-000</t>
  </si>
  <si>
    <t>((2440-000-000)(000..999)(000..999))</t>
  </si>
  <si>
    <t>MAURICE-1999</t>
  </si>
  <si>
    <t>2445-000-000</t>
  </si>
  <si>
    <t>((2445-000-000)(000..999)(000..999))</t>
  </si>
  <si>
    <t>GERMANY-1999</t>
  </si>
  <si>
    <t>2450-000-000</t>
  </si>
  <si>
    <t>((2450-000-000)(000..999)(000..999))</t>
  </si>
  <si>
    <t>PANAMA-1999</t>
  </si>
  <si>
    <t>2455-000-000</t>
  </si>
  <si>
    <t>((2455-000-000)(000..999)(000..999))</t>
  </si>
  <si>
    <t>NAIROBI - 2000</t>
  </si>
  <si>
    <t>2460-000-000</t>
  </si>
  <si>
    <t>((2460-000-000)(000..999)(000..999))</t>
  </si>
  <si>
    <t>OOSTENDE - 2000</t>
  </si>
  <si>
    <t>2465-000-000</t>
  </si>
  <si>
    <t>((2465-000-000)(000..999)(000..999))</t>
  </si>
  <si>
    <t>MALI - 2000</t>
  </si>
  <si>
    <t>2470-000-000</t>
  </si>
  <si>
    <t>((2470-000-000)(000..999)(000..999))</t>
  </si>
  <si>
    <t>CURITIBA - 2000</t>
  </si>
  <si>
    <t>2475-000-000</t>
  </si>
  <si>
    <t>((2475-000-000)(000..999)(000..999))</t>
  </si>
  <si>
    <t>TAMPERE-2001</t>
  </si>
  <si>
    <t>2480-000-000</t>
  </si>
  <si>
    <t>((2480-000-000)(000..999)(000..999))</t>
  </si>
  <si>
    <t>CAMEROUN-2001</t>
  </si>
  <si>
    <t>2485-000-000</t>
  </si>
  <si>
    <t>((2485-000-000)(000..999)(000..999))</t>
  </si>
  <si>
    <t>ATLANTA-2001</t>
  </si>
  <si>
    <t>2490-000-000</t>
  </si>
  <si>
    <t>((2490-000-000)(000..999)(000..999))</t>
  </si>
  <si>
    <t>TAEGU(KOREA)-2001</t>
  </si>
  <si>
    <t>2495-000-000</t>
  </si>
  <si>
    <t>((2495-000-000)(000..999)(000..999))</t>
  </si>
  <si>
    <t xml:space="preserve">          TOTAL CONFERENCE BID BONDS</t>
  </si>
  <si>
    <t xml:space="preserve">               TOTAL BID BONDS</t>
  </si>
  <si>
    <t>DEFERRED INCOME-SENATE</t>
  </si>
  <si>
    <t>2505-000-000</t>
  </si>
  <si>
    <t>((2505-000-000)(000..999)(000..999))</t>
  </si>
  <si>
    <t>DEFERRED INCOME-OTHER</t>
  </si>
  <si>
    <t>2515-000-000</t>
  </si>
  <si>
    <t>((2515-000-000)(000..999)(000..999))</t>
  </si>
  <si>
    <t xml:space="preserve">          TOTAL DEFERRED REVENUES</t>
  </si>
  <si>
    <t xml:space="preserve">               TOTAL LIABILITIES</t>
  </si>
  <si>
    <t>CAPITAL</t>
  </si>
  <si>
    <t>A/C REPAIRS</t>
  </si>
  <si>
    <t>3005-000-000</t>
  </si>
  <si>
    <t>((3005-000-000)(000..999)(000..999))</t>
  </si>
  <si>
    <t>BUILDING-GENERAL</t>
  </si>
  <si>
    <t>3010-000-000</t>
  </si>
  <si>
    <t>((3010-000-000)(000..999)(000..999))</t>
  </si>
  <si>
    <t>COMPUTER SYSTEM</t>
  </si>
  <si>
    <t>3015-000-000</t>
  </si>
  <si>
    <t>((3015-000-000)(000..999)(000..999))</t>
  </si>
  <si>
    <t>SECURITY SYSTEM-PARKING LOT</t>
  </si>
  <si>
    <t>3032-000-000</t>
  </si>
  <si>
    <t>((3032-000-000)(000..999)(000..999))</t>
  </si>
  <si>
    <t>NAGOYA AWARD FUND</t>
  </si>
  <si>
    <t>3035-000-000</t>
  </si>
  <si>
    <t>((3035-000-000)(000..999)(000..999))</t>
  </si>
  <si>
    <t>YOKOHAMA AWARD FUND</t>
  </si>
  <si>
    <t>3040-000-000</t>
  </si>
  <si>
    <t>((3040-000-000)(000..999)(000..999))</t>
  </si>
  <si>
    <t>JUNYA YOSHIDA FUND</t>
  </si>
  <si>
    <t>3045-000-000</t>
  </si>
  <si>
    <t>((3045-000-000)(000..999)(000..999))</t>
  </si>
  <si>
    <t>OPERATING SURPLUS RESERVE</t>
  </si>
  <si>
    <t>3130-000-000</t>
  </si>
  <si>
    <t>((3130-000-000)(000..999)(000..999))</t>
  </si>
  <si>
    <t xml:space="preserve">          TOTAL APPROPRIATED</t>
  </si>
  <si>
    <t>UNAPPROPRIATED SURPLUS</t>
  </si>
  <si>
    <t>3135-000-000</t>
  </si>
  <si>
    <t>((3135-000-000)(000..999)(000..999))</t>
  </si>
  <si>
    <t>NET INCOME/(LOSS)</t>
  </si>
  <si>
    <t xml:space="preserve">          UNAPPROPRIATED SURPLUS</t>
  </si>
  <si>
    <t>YTD ACTUAL</t>
  </si>
  <si>
    <t xml:space="preserve">               TOTAL CAPITAL</t>
  </si>
  <si>
    <t>PROFIT/LOSS</t>
  </si>
  <si>
    <t xml:space="preserve">                    TOTAL LIABILITIES &amp; CAPITAL</t>
  </si>
  <si>
    <t>FUND BALANCE</t>
  </si>
  <si>
    <t>ASSETS =</t>
  </si>
  <si>
    <t>LIABILITIES/CAPITAL</t>
  </si>
  <si>
    <t>2000..9999</t>
  </si>
  <si>
    <t>^-^-^((2000..9999)(000..999)(000..999))</t>
  </si>
  <si>
    <t>DIFF SHOULD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</si>
</sst>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_)"/>
    <numFmt numFmtId="173" formatCode="hh:mm:ss\ AM/PM_)"/>
    <numFmt numFmtId="174" formatCode="mm/dd/yy_)"/>
  </numFmts>
  <fonts count="9">
    <font>
      <sz val="8"/>
      <name val="AvantGarde"/>
    </font>
    <font>
      <b/>
      <sz val="8"/>
      <color indexed="8"/>
      <name val="Times New Roman"/>
      <family val="1"/>
    </font>
    <font>
      <sz val="8"/>
      <color indexed="8"/>
      <name val="AvantGarde"/>
    </font>
    <font>
      <sz val="8"/>
      <color indexed="8"/>
      <name val="Times New Roman"/>
      <family val="1"/>
    </font>
    <font>
      <b/>
      <u/>
      <sz val="8"/>
      <color indexed="8"/>
      <name val="Times New Roman"/>
      <family val="1"/>
    </font>
    <font>
      <b/>
      <i/>
      <u/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37" fontId="0" fillId="0" borderId="0"/>
  </cellStyleXfs>
  <cellXfs count="29">
    <xf numFmtId="37" fontId="0" fillId="0" borderId="0" xfId="0"/>
    <xf numFmtId="37" fontId="1" fillId="0" borderId="0" xfId="0" applyNumberFormat="1" applyFont="1" applyProtection="1"/>
    <xf numFmtId="37" fontId="1" fillId="0" borderId="1" xfId="0" applyNumberFormat="1" applyFont="1" applyBorder="1" applyProtection="1"/>
    <xf numFmtId="39" fontId="1" fillId="0" borderId="2" xfId="0" applyNumberFormat="1" applyFont="1" applyBorder="1" applyProtection="1"/>
    <xf numFmtId="39" fontId="1" fillId="0" borderId="3" xfId="0" applyNumberFormat="1" applyFont="1" applyBorder="1" applyProtection="1"/>
    <xf numFmtId="37" fontId="2" fillId="0" borderId="0" xfId="0" applyNumberFormat="1" applyFont="1" applyProtection="1"/>
    <xf numFmtId="37" fontId="3" fillId="0" borderId="0" xfId="0" applyNumberFormat="1" applyFont="1" applyProtection="1"/>
    <xf numFmtId="37" fontId="1" fillId="0" borderId="4" xfId="0" applyNumberFormat="1" applyFont="1" applyBorder="1" applyProtection="1"/>
    <xf numFmtId="39" fontId="1" fillId="0" borderId="0" xfId="0" applyNumberFormat="1" applyFont="1" applyProtection="1"/>
    <xf numFmtId="39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9" fontId="3" fillId="0" borderId="0" xfId="0" applyNumberFormat="1" applyFont="1" applyProtection="1"/>
    <xf numFmtId="37" fontId="3" fillId="0" borderId="0" xfId="0" applyNumberFormat="1" applyFont="1" applyAlignment="1" applyProtection="1">
      <alignment horizontal="center"/>
    </xf>
    <xf numFmtId="37" fontId="3" fillId="0" borderId="9" xfId="0" applyNumberFormat="1" applyFont="1" applyBorder="1" applyProtection="1"/>
    <xf numFmtId="37" fontId="3" fillId="0" borderId="10" xfId="0" applyNumberFormat="1" applyFont="1" applyBorder="1" applyProtection="1"/>
    <xf numFmtId="37" fontId="3" fillId="0" borderId="0" xfId="0" applyNumberFormat="1" applyFont="1" applyAlignment="1" applyProtection="1">
      <alignment horizontal="right"/>
    </xf>
    <xf numFmtId="172" fontId="3" fillId="0" borderId="0" xfId="0" applyNumberFormat="1" applyFont="1" applyProtection="1"/>
    <xf numFmtId="173" fontId="3" fillId="0" borderId="0" xfId="0" applyNumberFormat="1" applyFont="1" applyProtection="1"/>
    <xf numFmtId="39" fontId="1" fillId="0" borderId="0" xfId="0" applyNumberFormat="1" applyFont="1" applyAlignment="1" applyProtection="1">
      <alignment horizontal="center"/>
    </xf>
    <xf numFmtId="37" fontId="1" fillId="0" borderId="0" xfId="0" applyNumberFormat="1" applyFont="1" applyAlignment="1" applyProtection="1">
      <alignment horizontal="center"/>
    </xf>
    <xf numFmtId="174" fontId="4" fillId="0" borderId="0" xfId="0" applyNumberFormat="1" applyFont="1" applyAlignment="1" applyProtection="1">
      <alignment horizontal="center"/>
    </xf>
    <xf numFmtId="39" fontId="4" fillId="0" borderId="0" xfId="0" applyNumberFormat="1" applyFont="1" applyAlignment="1" applyProtection="1">
      <alignment horizontal="center"/>
    </xf>
    <xf numFmtId="37" fontId="4" fillId="0" borderId="0" xfId="0" applyNumberFormat="1" applyFont="1" applyAlignment="1" applyProtection="1">
      <alignment horizontal="center"/>
    </xf>
    <xf numFmtId="37" fontId="5" fillId="0" borderId="0" xfId="0" applyNumberFormat="1" applyFont="1" applyProtection="1"/>
    <xf numFmtId="37" fontId="6" fillId="0" borderId="0" xfId="0" applyNumberFormat="1" applyFont="1" applyProtection="1"/>
    <xf numFmtId="37" fontId="7" fillId="0" borderId="0" xfId="0" applyNumberFormat="1" applyFont="1" applyProtection="1"/>
    <xf numFmtId="37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BC4F-E97A-4421-8DB2-C2BC246103BD}">
  <sheetPr transitionEvaluation="1"/>
  <dimension ref="A1:J317"/>
  <sheetViews>
    <sheetView tabSelected="1" defaultGridColor="0" colorId="22" zoomScale="87" workbookViewId="0">
      <selection activeCell="B2" sqref="B2"/>
    </sheetView>
  </sheetViews>
  <sheetFormatPr baseColWidth="10" defaultColWidth="15.83203125" defaultRowHeight="11.25"/>
  <cols>
    <col min="1" max="2" width="12.83203125" customWidth="1"/>
    <col min="3" max="5" width="10.83203125" customWidth="1"/>
    <col min="6" max="6" width="9.83203125" customWidth="1"/>
    <col min="9" max="10" width="7.83203125" customWidth="1"/>
    <col min="11" max="11" width="12.83203125" customWidth="1"/>
  </cols>
  <sheetData>
    <row r="1" spans="1:10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6"/>
      <c r="J1" s="6"/>
    </row>
    <row r="2" spans="1:10">
      <c r="A2" s="6"/>
      <c r="B2" s="7" t="s">
        <v>2</v>
      </c>
      <c r="C2" s="8"/>
      <c r="D2" s="8"/>
      <c r="E2" s="9"/>
      <c r="F2" s="5"/>
      <c r="G2" s="5"/>
      <c r="H2" s="5"/>
      <c r="I2" s="6"/>
      <c r="J2" s="6"/>
    </row>
    <row r="3" spans="1:10" ht="12" thickBot="1">
      <c r="A3" s="6"/>
      <c r="B3" s="10" t="s">
        <v>3</v>
      </c>
      <c r="C3" s="11"/>
      <c r="D3" s="11"/>
      <c r="E3" s="12"/>
      <c r="F3" s="5"/>
      <c r="G3" s="5"/>
      <c r="H3" s="5"/>
      <c r="I3" s="6"/>
      <c r="J3" s="6"/>
    </row>
    <row r="4" spans="1:10">
      <c r="A4" s="6"/>
      <c r="B4" s="6"/>
      <c r="C4" s="13"/>
      <c r="D4" s="13"/>
      <c r="E4" s="13"/>
      <c r="F4" s="5"/>
      <c r="G4" s="5"/>
      <c r="H4" s="5"/>
      <c r="I4" s="6"/>
      <c r="J4" s="6"/>
    </row>
    <row r="5" spans="1:10">
      <c r="A5" s="6"/>
      <c r="B5" s="6"/>
      <c r="C5" s="13"/>
      <c r="D5" s="13"/>
      <c r="E5" s="13"/>
      <c r="F5" s="6"/>
      <c r="G5" s="6"/>
      <c r="H5" s="6"/>
      <c r="I5" s="6"/>
      <c r="J5" s="6"/>
    </row>
    <row r="6" spans="1:10">
      <c r="A6" s="6"/>
      <c r="B6" s="13" t="s">
        <v>4</v>
      </c>
      <c r="C6" s="5"/>
      <c r="D6" s="14" t="s">
        <v>5</v>
      </c>
      <c r="E6" s="14" t="s">
        <v>6</v>
      </c>
      <c r="F6" s="6"/>
      <c r="G6" s="6"/>
      <c r="H6" s="6"/>
      <c r="I6" s="6"/>
      <c r="J6" s="6"/>
    </row>
    <row r="7" spans="1:10">
      <c r="A7" s="6"/>
      <c r="B7" s="6"/>
      <c r="C7" s="13"/>
      <c r="D7" s="6"/>
      <c r="E7" s="6"/>
      <c r="F7" s="6"/>
      <c r="G7" s="6"/>
      <c r="H7" s="6"/>
      <c r="I7" s="6"/>
      <c r="J7" s="6"/>
    </row>
    <row r="8" spans="1:10">
      <c r="A8" s="6" t="s">
        <v>7</v>
      </c>
      <c r="B8" s="6"/>
      <c r="C8" s="13"/>
      <c r="D8" s="6"/>
      <c r="E8" s="6"/>
      <c r="F8" s="6"/>
      <c r="G8" s="6"/>
      <c r="H8" s="6"/>
      <c r="I8" s="6"/>
      <c r="J8" s="6"/>
    </row>
    <row r="9" spans="1:10">
      <c r="A9" s="6" t="s">
        <v>8</v>
      </c>
      <c r="B9" s="6"/>
      <c r="C9" s="13"/>
      <c r="D9" s="6">
        <f>D83</f>
        <v>356950.8</v>
      </c>
      <c r="E9" s="6">
        <f>E83</f>
        <v>744475.61</v>
      </c>
      <c r="F9" s="6"/>
      <c r="G9" s="6"/>
      <c r="H9" s="6"/>
      <c r="I9" s="6"/>
      <c r="J9" s="6"/>
    </row>
    <row r="10" spans="1:10">
      <c r="A10" s="6" t="s">
        <v>9</v>
      </c>
      <c r="B10" s="6"/>
      <c r="C10" s="13"/>
      <c r="D10" s="6">
        <f>D96</f>
        <v>1408082.6099999999</v>
      </c>
      <c r="E10" s="6">
        <f>E96</f>
        <v>2163863.1799999997</v>
      </c>
      <c r="F10" s="6"/>
      <c r="G10" s="6"/>
      <c r="H10" s="6"/>
      <c r="I10" s="6"/>
      <c r="J10" s="6"/>
    </row>
    <row r="11" spans="1:10">
      <c r="A11" s="6" t="s">
        <v>10</v>
      </c>
      <c r="B11" s="6"/>
      <c r="C11" s="13"/>
      <c r="D11" s="6">
        <f>D98+D99+D102+D103+D104+D105+D106+D107+D109+D110+D111+D112+D113</f>
        <v>1326155.8799999999</v>
      </c>
      <c r="E11" s="6">
        <f>E98+E99+E102+E103+E104+E105+E106+E107+E109+E110+E111+E112+E113</f>
        <v>59643.920000000013</v>
      </c>
      <c r="F11" s="6"/>
      <c r="G11" s="6"/>
      <c r="H11" s="6"/>
      <c r="I11" s="6"/>
      <c r="J11" s="6"/>
    </row>
    <row r="12" spans="1:10">
      <c r="A12" s="6" t="s">
        <v>11</v>
      </c>
      <c r="B12" s="6"/>
      <c r="C12" s="13"/>
      <c r="D12" s="6">
        <f>D100+D101</f>
        <v>59418.659999999996</v>
      </c>
      <c r="E12" s="6">
        <f>E100+E101</f>
        <v>10724.49</v>
      </c>
      <c r="F12" s="6"/>
      <c r="G12" s="6"/>
      <c r="H12" s="6"/>
      <c r="I12" s="6"/>
      <c r="J12" s="6"/>
    </row>
    <row r="13" spans="1:10">
      <c r="A13" s="6" t="s">
        <v>12</v>
      </c>
      <c r="B13" s="6"/>
      <c r="C13" s="13"/>
      <c r="D13" s="6">
        <f>D108</f>
        <v>46642.5</v>
      </c>
      <c r="E13" s="6">
        <f>E108</f>
        <v>122159.2</v>
      </c>
      <c r="F13" s="6"/>
      <c r="G13" s="6"/>
      <c r="H13" s="6"/>
      <c r="I13" s="6"/>
      <c r="J13" s="6"/>
    </row>
    <row r="14" spans="1:10">
      <c r="A14" s="6" t="s">
        <v>13</v>
      </c>
      <c r="B14" s="6"/>
      <c r="C14" s="13"/>
      <c r="D14" s="6">
        <f>D132</f>
        <v>111116.55</v>
      </c>
      <c r="E14" s="6">
        <f>E132</f>
        <v>112233.37000000001</v>
      </c>
      <c r="F14" s="6"/>
      <c r="G14" s="6"/>
      <c r="H14" s="6"/>
      <c r="I14" s="6"/>
      <c r="J14" s="6"/>
    </row>
    <row r="15" spans="1:10">
      <c r="A15" s="6" t="s">
        <v>14</v>
      </c>
      <c r="B15" s="6"/>
      <c r="C15" s="13"/>
      <c r="D15" s="6">
        <f>D139+D144</f>
        <v>88355.89</v>
      </c>
      <c r="E15" s="6">
        <f>E139+E144</f>
        <v>101617.34000000001</v>
      </c>
      <c r="F15" s="6"/>
      <c r="G15" s="6"/>
      <c r="H15" s="6"/>
      <c r="I15" s="6"/>
      <c r="J15" s="6"/>
    </row>
    <row r="16" spans="1:10">
      <c r="A16" s="6" t="s">
        <v>15</v>
      </c>
      <c r="B16" s="6"/>
      <c r="C16" s="13"/>
      <c r="D16" s="15">
        <f>D152</f>
        <v>-6960.9799999999959</v>
      </c>
      <c r="E16" s="15">
        <f>E152</f>
        <v>-34121.53</v>
      </c>
      <c r="F16" s="6"/>
      <c r="G16" s="6"/>
      <c r="H16" s="6"/>
      <c r="I16" s="6"/>
      <c r="J16" s="6"/>
    </row>
    <row r="17" spans="1:10">
      <c r="A17" s="6"/>
      <c r="B17" s="6"/>
      <c r="C17" s="13"/>
      <c r="D17" s="6"/>
      <c r="E17" s="6"/>
      <c r="F17" s="6"/>
      <c r="G17" s="6"/>
      <c r="H17" s="6"/>
      <c r="I17" s="6"/>
      <c r="J17" s="6"/>
    </row>
    <row r="18" spans="1:10">
      <c r="A18" s="6" t="s">
        <v>16</v>
      </c>
      <c r="B18" s="6"/>
      <c r="C18" s="13"/>
      <c r="D18" s="15">
        <f>SUM(D8:D17)</f>
        <v>3389761.91</v>
      </c>
      <c r="E18" s="15">
        <f>SUM(E8:E17)</f>
        <v>3280595.58</v>
      </c>
      <c r="F18" s="6"/>
      <c r="G18" s="6"/>
      <c r="H18" s="6"/>
      <c r="I18" s="6"/>
      <c r="J18" s="6"/>
    </row>
    <row r="19" spans="1:10">
      <c r="A19" s="6"/>
      <c r="B19" s="6"/>
      <c r="C19" s="13"/>
      <c r="D19" s="6"/>
      <c r="E19" s="6"/>
      <c r="F19" s="6"/>
      <c r="G19" s="6"/>
      <c r="H19" s="6"/>
      <c r="I19" s="6"/>
      <c r="J19" s="6"/>
    </row>
    <row r="20" spans="1:10">
      <c r="A20" s="6" t="s">
        <v>17</v>
      </c>
      <c r="B20" s="6"/>
      <c r="C20" s="13"/>
      <c r="D20" s="6"/>
      <c r="E20" s="6"/>
      <c r="F20" s="6"/>
      <c r="G20" s="6"/>
      <c r="H20" s="6"/>
      <c r="I20" s="6"/>
      <c r="J20" s="6"/>
    </row>
    <row r="21" spans="1:10">
      <c r="A21" s="6" t="s">
        <v>18</v>
      </c>
      <c r="B21" s="6"/>
      <c r="C21" s="13"/>
      <c r="D21" s="15"/>
      <c r="E21" s="15"/>
      <c r="F21" s="6"/>
      <c r="G21" s="6"/>
      <c r="H21" s="6"/>
      <c r="I21" s="6"/>
      <c r="J21" s="6"/>
    </row>
    <row r="22" spans="1:10">
      <c r="A22" s="6" t="s">
        <v>19</v>
      </c>
      <c r="B22" s="6"/>
      <c r="C22" s="13"/>
      <c r="D22" s="6">
        <f>SUM(D19:D21)</f>
        <v>0</v>
      </c>
      <c r="E22" s="6">
        <f>SUM(E19:E21)</f>
        <v>0</v>
      </c>
      <c r="F22" s="6"/>
      <c r="G22" s="6"/>
      <c r="H22" s="6"/>
      <c r="I22" s="6"/>
      <c r="J22" s="6"/>
    </row>
    <row r="23" spans="1:10">
      <c r="A23" s="6"/>
      <c r="B23" s="6"/>
      <c r="C23" s="13"/>
      <c r="D23" s="6"/>
      <c r="E23" s="6"/>
      <c r="F23" s="6"/>
      <c r="G23" s="6"/>
      <c r="H23" s="6"/>
      <c r="I23" s="6"/>
      <c r="J23" s="6"/>
    </row>
    <row r="24" spans="1:10">
      <c r="A24" s="6" t="s">
        <v>20</v>
      </c>
      <c r="B24" s="6"/>
      <c r="C24" s="13"/>
      <c r="D24" s="6"/>
      <c r="E24" s="6"/>
      <c r="F24" s="6"/>
      <c r="G24" s="6"/>
      <c r="H24" s="6"/>
      <c r="I24" s="6"/>
      <c r="J24" s="6"/>
    </row>
    <row r="25" spans="1:10">
      <c r="A25" s="6" t="s">
        <v>21</v>
      </c>
      <c r="B25" s="6"/>
      <c r="C25" s="13"/>
      <c r="D25" s="6">
        <f>D156</f>
        <v>63712.95</v>
      </c>
      <c r="E25" s="6">
        <f>E156</f>
        <v>63712.95</v>
      </c>
      <c r="F25" s="6"/>
      <c r="G25" s="6"/>
      <c r="H25" s="6"/>
      <c r="I25" s="6"/>
      <c r="J25" s="6"/>
    </row>
    <row r="26" spans="1:10">
      <c r="A26" s="6" t="s">
        <v>22</v>
      </c>
      <c r="B26" s="6"/>
      <c r="C26" s="13"/>
      <c r="D26" s="6">
        <f>D155+D157+D158+D159+D160</f>
        <v>1450653.37</v>
      </c>
      <c r="E26" s="6">
        <f>E155+E157+E158+E159+E160</f>
        <v>1450653.37</v>
      </c>
      <c r="F26" s="6"/>
      <c r="G26" s="6"/>
      <c r="H26" s="6"/>
      <c r="I26" s="6"/>
      <c r="J26" s="6"/>
    </row>
    <row r="27" spans="1:10">
      <c r="A27" s="6" t="s">
        <v>23</v>
      </c>
      <c r="B27" s="6"/>
      <c r="C27" s="13"/>
      <c r="D27" s="6"/>
      <c r="E27" s="6"/>
      <c r="F27" s="6"/>
      <c r="G27" s="6"/>
      <c r="H27" s="6"/>
      <c r="I27" s="6"/>
      <c r="J27" s="6"/>
    </row>
    <row r="28" spans="1:10">
      <c r="A28" s="6" t="s">
        <v>24</v>
      </c>
      <c r="B28" s="6"/>
      <c r="C28" s="13"/>
      <c r="D28" s="15">
        <f>D161</f>
        <v>373938.32</v>
      </c>
      <c r="E28" s="15">
        <f>E161</f>
        <v>367571.27</v>
      </c>
      <c r="F28" s="6"/>
      <c r="G28" s="6"/>
      <c r="H28" s="6"/>
      <c r="I28" s="6"/>
      <c r="J28" s="6"/>
    </row>
    <row r="29" spans="1:10">
      <c r="A29" s="6"/>
      <c r="B29" s="6"/>
      <c r="C29" s="13"/>
      <c r="D29" s="6"/>
      <c r="E29" s="6"/>
      <c r="F29" s="6"/>
      <c r="G29" s="6"/>
      <c r="H29" s="6"/>
      <c r="I29" s="6"/>
      <c r="J29" s="6"/>
    </row>
    <row r="30" spans="1:10">
      <c r="A30" s="6" t="s">
        <v>25</v>
      </c>
      <c r="B30" s="6"/>
      <c r="C30" s="13"/>
      <c r="D30" s="6">
        <f>SUM(D24:D29)</f>
        <v>1888304.6400000001</v>
      </c>
      <c r="E30" s="6">
        <f>SUM(E24:E29)</f>
        <v>1881937.59</v>
      </c>
      <c r="F30" s="6"/>
      <c r="G30" s="6"/>
      <c r="H30" s="6"/>
      <c r="I30" s="6"/>
      <c r="J30" s="6"/>
    </row>
    <row r="31" spans="1:10">
      <c r="A31" s="6"/>
      <c r="B31" s="6"/>
      <c r="C31" s="13"/>
      <c r="D31" s="6"/>
      <c r="E31" s="6"/>
      <c r="F31" s="6"/>
      <c r="G31" s="6"/>
      <c r="H31" s="6"/>
      <c r="I31" s="6"/>
      <c r="J31" s="6"/>
    </row>
    <row r="32" spans="1:10">
      <c r="A32" s="6" t="s">
        <v>26</v>
      </c>
      <c r="B32" s="6"/>
      <c r="C32" s="13"/>
      <c r="D32" s="15">
        <f>D170</f>
        <v>-1433439.4300000002</v>
      </c>
      <c r="E32" s="15">
        <f>E170</f>
        <v>-1343022.67</v>
      </c>
      <c r="F32" s="6"/>
      <c r="G32" s="6"/>
      <c r="H32" s="6"/>
      <c r="I32" s="6"/>
      <c r="J32" s="6"/>
    </row>
    <row r="33" spans="1:10">
      <c r="A33" s="6"/>
      <c r="B33" s="6"/>
      <c r="C33" s="13"/>
      <c r="D33" s="6"/>
      <c r="E33" s="6"/>
      <c r="F33" s="6"/>
      <c r="G33" s="6"/>
      <c r="H33" s="6"/>
      <c r="I33" s="6"/>
      <c r="J33" s="6"/>
    </row>
    <row r="34" spans="1:10">
      <c r="A34" s="6" t="s">
        <v>27</v>
      </c>
      <c r="B34" s="6"/>
      <c r="C34" s="13"/>
      <c r="D34" s="6">
        <f>D30+D32</f>
        <v>454865.20999999996</v>
      </c>
      <c r="E34" s="6">
        <f>E30+E32</f>
        <v>538914.92000000016</v>
      </c>
      <c r="F34" s="6"/>
      <c r="G34" s="6"/>
      <c r="H34" s="6"/>
      <c r="I34" s="6"/>
      <c r="J34" s="6"/>
    </row>
    <row r="35" spans="1:10">
      <c r="A35" s="6"/>
      <c r="B35" s="6"/>
      <c r="C35" s="13"/>
      <c r="D35" s="6"/>
      <c r="E35" s="6"/>
      <c r="F35" s="6"/>
      <c r="G35" s="6"/>
      <c r="H35" s="6"/>
      <c r="I35" s="6"/>
      <c r="J35" s="6"/>
    </row>
    <row r="36" spans="1:10">
      <c r="A36" s="6" t="s">
        <v>28</v>
      </c>
      <c r="B36" s="6"/>
      <c r="C36" s="13"/>
      <c r="D36" s="15">
        <f>D175</f>
        <v>9087.3999999999651</v>
      </c>
      <c r="E36" s="15">
        <f>E175</f>
        <v>9087.3999999999651</v>
      </c>
      <c r="F36" s="6"/>
      <c r="G36" s="6"/>
      <c r="H36" s="6"/>
      <c r="I36" s="6"/>
      <c r="J36" s="6"/>
    </row>
    <row r="37" spans="1:10">
      <c r="A37" s="6"/>
      <c r="B37" s="6"/>
      <c r="C37" s="13"/>
      <c r="D37" s="6"/>
      <c r="E37" s="6"/>
      <c r="F37" s="6"/>
      <c r="G37" s="6"/>
      <c r="H37" s="6"/>
      <c r="I37" s="6"/>
      <c r="J37" s="6"/>
    </row>
    <row r="38" spans="1:10" ht="12" thickBot="1">
      <c r="A38" s="6" t="s">
        <v>29</v>
      </c>
      <c r="B38" s="6"/>
      <c r="C38" s="13"/>
      <c r="D38" s="16">
        <f>D18+D22+D34+D36</f>
        <v>3853714.52</v>
      </c>
      <c r="E38" s="16">
        <f>E18+E22+E34+E36</f>
        <v>3828597.9</v>
      </c>
      <c r="F38" s="6"/>
      <c r="G38" s="6"/>
      <c r="H38" s="6"/>
      <c r="I38" s="6"/>
      <c r="J38" s="6"/>
    </row>
    <row r="39" spans="1:10" ht="12" thickTop="1">
      <c r="A39" s="6"/>
      <c r="B39" s="6"/>
      <c r="C39" s="13"/>
      <c r="D39" s="6"/>
      <c r="E39" s="6"/>
      <c r="F39" s="6"/>
      <c r="G39" s="6"/>
      <c r="H39" s="6"/>
      <c r="I39" s="6"/>
      <c r="J39" s="6"/>
    </row>
    <row r="40" spans="1:10">
      <c r="A40" s="6"/>
      <c r="B40" s="13" t="s">
        <v>30</v>
      </c>
      <c r="C40" s="5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13"/>
      <c r="D41" s="6"/>
      <c r="E41" s="6"/>
      <c r="F41" s="6"/>
      <c r="G41" s="6"/>
      <c r="H41" s="6"/>
      <c r="I41" s="6"/>
      <c r="J41" s="6"/>
    </row>
    <row r="42" spans="1:10">
      <c r="A42" s="6" t="s">
        <v>31</v>
      </c>
      <c r="B42" s="6"/>
      <c r="C42" s="13"/>
      <c r="D42" s="6"/>
      <c r="E42" s="6"/>
      <c r="F42" s="6"/>
      <c r="G42" s="6"/>
      <c r="H42" s="6"/>
      <c r="I42" s="6"/>
      <c r="J42" s="6"/>
    </row>
    <row r="43" spans="1:10">
      <c r="A43" s="6" t="s">
        <v>32</v>
      </c>
      <c r="B43" s="6"/>
      <c r="C43" s="13"/>
      <c r="D43" s="6">
        <f>D183+D184+D185+D187+D188+D189+D190+D191+D192+D193+D194+D195+D196+D197+D198</f>
        <v>52609.15</v>
      </c>
      <c r="E43" s="6">
        <f>E183+E184+E185+E187+E188+E189+E190+E191+E192+E193+E194+E195+E196+E197+E198</f>
        <v>96924.13</v>
      </c>
      <c r="F43" s="6"/>
      <c r="G43" s="6"/>
      <c r="H43" s="6"/>
      <c r="I43" s="6"/>
      <c r="J43" s="6"/>
    </row>
    <row r="44" spans="1:10">
      <c r="A44" s="6" t="s">
        <v>33</v>
      </c>
      <c r="B44" s="6"/>
      <c r="C44" s="13"/>
      <c r="D44" s="6">
        <f>D209</f>
        <v>80844.56</v>
      </c>
      <c r="E44" s="6">
        <f>E209</f>
        <v>190933.05999999997</v>
      </c>
      <c r="F44" s="6"/>
      <c r="G44" s="6"/>
      <c r="H44" s="6"/>
      <c r="I44" s="6"/>
      <c r="J44" s="6"/>
    </row>
    <row r="45" spans="1:10">
      <c r="A45" s="6" t="s">
        <v>34</v>
      </c>
      <c r="B45" s="6"/>
      <c r="C45" s="13"/>
      <c r="D45" s="6">
        <f>D186</f>
        <v>0</v>
      </c>
      <c r="E45" s="6">
        <f>E186</f>
        <v>34750</v>
      </c>
      <c r="F45" s="6"/>
      <c r="G45" s="6"/>
      <c r="H45" s="6"/>
      <c r="I45" s="6"/>
      <c r="J45" s="6"/>
    </row>
    <row r="46" spans="1:10">
      <c r="A46" s="6" t="s">
        <v>35</v>
      </c>
      <c r="B46" s="6"/>
      <c r="C46" s="13"/>
      <c r="D46" s="6">
        <f>D221+D253</f>
        <v>102944.04000000001</v>
      </c>
      <c r="E46" s="6">
        <f>E221+E253</f>
        <v>112107.73</v>
      </c>
      <c r="F46" s="6"/>
      <c r="G46" s="6"/>
      <c r="H46" s="6"/>
      <c r="I46" s="6"/>
      <c r="J46" s="6"/>
    </row>
    <row r="47" spans="1:10">
      <c r="A47" s="6" t="s">
        <v>36</v>
      </c>
      <c r="B47" s="6"/>
      <c r="C47" s="13"/>
      <c r="D47" s="15">
        <f>D260</f>
        <v>12808.2</v>
      </c>
      <c r="E47" s="15">
        <f>E260</f>
        <v>26004.2</v>
      </c>
      <c r="F47" s="6"/>
      <c r="G47" s="6"/>
      <c r="H47" s="6"/>
      <c r="I47" s="6"/>
      <c r="J47" s="6"/>
    </row>
    <row r="48" spans="1:10">
      <c r="A48" s="6"/>
      <c r="B48" s="6"/>
      <c r="C48" s="13"/>
      <c r="D48" s="6"/>
      <c r="E48" s="6"/>
      <c r="F48" s="6"/>
      <c r="G48" s="6"/>
      <c r="H48" s="6"/>
      <c r="I48" s="6"/>
      <c r="J48" s="6"/>
    </row>
    <row r="49" spans="1:10">
      <c r="A49" s="6" t="s">
        <v>37</v>
      </c>
      <c r="B49" s="6"/>
      <c r="C49" s="13"/>
      <c r="D49" s="15">
        <f>SUM(D42:D47)</f>
        <v>249205.95</v>
      </c>
      <c r="E49" s="15">
        <f>SUM(E42:E47)</f>
        <v>460719.11999999994</v>
      </c>
      <c r="F49" s="6"/>
      <c r="G49" s="6"/>
      <c r="H49" s="6"/>
      <c r="I49" s="6"/>
      <c r="J49" s="6"/>
    </row>
    <row r="50" spans="1:10">
      <c r="A50" s="6"/>
      <c r="B50" s="6"/>
      <c r="C50" s="13"/>
      <c r="D50" s="6"/>
      <c r="E50" s="6"/>
      <c r="F50" s="6"/>
      <c r="G50" s="6"/>
      <c r="H50" s="6"/>
      <c r="I50" s="6"/>
      <c r="J50" s="6"/>
    </row>
    <row r="51" spans="1:10">
      <c r="A51" s="6" t="s">
        <v>38</v>
      </c>
      <c r="B51" s="6"/>
      <c r="C51" s="13"/>
      <c r="D51" s="6"/>
      <c r="E51" s="6"/>
      <c r="F51" s="6"/>
      <c r="G51" s="6"/>
      <c r="H51" s="6"/>
      <c r="I51" s="6"/>
      <c r="J51" s="6"/>
    </row>
    <row r="52" spans="1:10">
      <c r="A52" s="6" t="s">
        <v>39</v>
      </c>
      <c r="B52" s="6"/>
      <c r="C52" s="13"/>
      <c r="D52" s="6">
        <f>-D273+D275+D277</f>
        <v>3320635.63</v>
      </c>
      <c r="E52" s="6">
        <f>-E273+E275+E277</f>
        <v>3246042.0300000003</v>
      </c>
      <c r="F52" s="6"/>
      <c r="G52" s="6"/>
      <c r="H52" s="6"/>
      <c r="I52" s="6"/>
      <c r="J52" s="6"/>
    </row>
    <row r="53" spans="1:10">
      <c r="A53" s="6" t="s">
        <v>40</v>
      </c>
      <c r="B53" s="6"/>
      <c r="C53" s="13"/>
      <c r="D53" s="6"/>
      <c r="E53" s="6"/>
      <c r="F53" s="6"/>
      <c r="G53" s="6"/>
      <c r="H53" s="6"/>
      <c r="I53" s="6"/>
      <c r="J53" s="6"/>
    </row>
    <row r="54" spans="1:10">
      <c r="A54" s="6" t="s">
        <v>41</v>
      </c>
      <c r="B54" s="6"/>
      <c r="C54" s="13"/>
      <c r="D54" s="6">
        <f>D273</f>
        <v>47940.15</v>
      </c>
      <c r="E54" s="6">
        <f>E273</f>
        <v>47940.15</v>
      </c>
      <c r="F54" s="6"/>
      <c r="G54" s="6"/>
      <c r="H54" s="6"/>
      <c r="I54" s="6"/>
      <c r="J54" s="6"/>
    </row>
    <row r="55" spans="1:10">
      <c r="A55" s="6" t="s">
        <v>42</v>
      </c>
      <c r="B55" s="6"/>
      <c r="C55" s="13"/>
      <c r="D55" s="15">
        <f>D278</f>
        <v>235932.79</v>
      </c>
      <c r="E55" s="15">
        <f>E278</f>
        <v>74593.600000000006</v>
      </c>
      <c r="F55" s="6"/>
      <c r="G55" s="6"/>
      <c r="H55" s="6"/>
      <c r="I55" s="6"/>
      <c r="J55" s="6"/>
    </row>
    <row r="56" spans="1:10">
      <c r="A56" s="6" t="s">
        <v>43</v>
      </c>
      <c r="B56" s="6"/>
      <c r="C56" s="13"/>
      <c r="D56" s="6"/>
      <c r="E56" s="6"/>
      <c r="F56" s="6"/>
      <c r="G56" s="6"/>
      <c r="H56" s="6"/>
      <c r="I56" s="6"/>
      <c r="J56" s="6"/>
    </row>
    <row r="57" spans="1:10">
      <c r="A57" s="6" t="s">
        <v>44</v>
      </c>
      <c r="B57" s="6"/>
      <c r="C57" s="13"/>
      <c r="D57" s="15">
        <f>SUM(D51:D56)</f>
        <v>3604508.57</v>
      </c>
      <c r="E57" s="15">
        <f>SUM(E51:E56)</f>
        <v>3368575.7800000003</v>
      </c>
      <c r="F57" s="6"/>
      <c r="G57" s="6"/>
      <c r="H57" s="6"/>
      <c r="I57" s="6"/>
      <c r="J57" s="6"/>
    </row>
    <row r="58" spans="1:10">
      <c r="A58" s="6"/>
      <c r="B58" s="6"/>
      <c r="C58" s="13"/>
      <c r="D58" s="6"/>
      <c r="E58" s="6"/>
      <c r="F58" s="6"/>
      <c r="G58" s="6"/>
      <c r="H58" s="6"/>
      <c r="I58" s="6"/>
      <c r="J58" s="6"/>
    </row>
    <row r="59" spans="1:10" ht="12" thickBot="1">
      <c r="A59" s="6" t="s">
        <v>45</v>
      </c>
      <c r="B59" s="6"/>
      <c r="C59" s="13"/>
      <c r="D59" s="16">
        <f>D49+D57</f>
        <v>3853714.52</v>
      </c>
      <c r="E59" s="16">
        <f>E49+E57</f>
        <v>3829294.9000000004</v>
      </c>
      <c r="F59" s="6"/>
      <c r="G59" s="6"/>
      <c r="H59" s="6"/>
      <c r="I59" s="6"/>
      <c r="J59" s="6"/>
    </row>
    <row r="60" spans="1:10" ht="12" thickTop="1">
      <c r="A60" s="6"/>
      <c r="B60" s="6"/>
      <c r="C60" s="13"/>
      <c r="D60" s="6"/>
      <c r="E60" s="6"/>
      <c r="F60" s="6"/>
      <c r="G60" s="6"/>
      <c r="H60" s="6"/>
      <c r="I60" s="6"/>
      <c r="J60" s="6"/>
    </row>
    <row r="61" spans="1:10">
      <c r="A61" s="6"/>
      <c r="B61" s="6"/>
      <c r="C61" s="13"/>
      <c r="D61" s="13"/>
      <c r="E61" s="13"/>
      <c r="F61" s="6"/>
      <c r="G61" s="6"/>
      <c r="H61" s="6"/>
      <c r="I61" s="6"/>
      <c r="J61" s="6"/>
    </row>
    <row r="62" spans="1:10">
      <c r="A62" s="6"/>
      <c r="B62" s="6"/>
      <c r="C62" s="13"/>
      <c r="D62" s="13"/>
      <c r="E62" s="13"/>
      <c r="F62" s="6"/>
      <c r="G62" s="17" t="s">
        <v>46</v>
      </c>
      <c r="H62" s="6" t="s">
        <v>47</v>
      </c>
      <c r="I62" s="6" t="s">
        <v>48</v>
      </c>
      <c r="J62" s="6"/>
    </row>
    <row r="63" spans="1:10">
      <c r="A63" s="6"/>
      <c r="B63" s="6"/>
      <c r="C63" s="13"/>
      <c r="D63" s="13"/>
      <c r="E63" s="13"/>
      <c r="F63" s="6"/>
      <c r="G63" s="18">
        <f ca="1">NOW()</f>
        <v>46056.576525925928</v>
      </c>
      <c r="H63" s="6" t="s">
        <v>49</v>
      </c>
      <c r="I63" s="6" t="s">
        <v>48</v>
      </c>
      <c r="J63" s="6"/>
    </row>
    <row r="64" spans="1:10">
      <c r="A64" s="6"/>
      <c r="B64" s="6"/>
      <c r="C64" s="13"/>
      <c r="D64" s="13"/>
      <c r="E64" s="13"/>
      <c r="F64" s="6"/>
      <c r="G64" s="19">
        <f ca="1">NOW()</f>
        <v>46056.576525925928</v>
      </c>
      <c r="H64" s="6" t="s">
        <v>50</v>
      </c>
      <c r="I64" s="6" t="s">
        <v>51</v>
      </c>
      <c r="J64" s="6"/>
    </row>
    <row r="65" spans="1:10">
      <c r="A65" s="6"/>
      <c r="B65" s="6"/>
      <c r="C65" s="13"/>
      <c r="D65" s="13"/>
      <c r="E65" s="13"/>
      <c r="F65" s="6"/>
      <c r="G65" s="6"/>
      <c r="H65" s="6" t="s">
        <v>52</v>
      </c>
      <c r="I65" s="6" t="s">
        <v>53</v>
      </c>
      <c r="J65" s="6"/>
    </row>
    <row r="66" spans="1:10">
      <c r="A66" s="6"/>
      <c r="B66" s="6"/>
      <c r="C66" s="13"/>
      <c r="D66" s="13"/>
      <c r="E66" s="13"/>
      <c r="F66" s="6"/>
      <c r="G66" s="6"/>
      <c r="H66" s="6"/>
      <c r="I66" s="6"/>
      <c r="J66" s="6"/>
    </row>
    <row r="67" spans="1:10">
      <c r="A67" s="6"/>
      <c r="B67" s="6"/>
      <c r="C67" s="13"/>
      <c r="D67" s="13"/>
      <c r="E67" s="13"/>
      <c r="F67" s="6"/>
      <c r="G67" s="6" t="s">
        <v>54</v>
      </c>
      <c r="H67" s="6" t="s">
        <v>55</v>
      </c>
      <c r="I67" s="6"/>
      <c r="J67" s="6"/>
    </row>
    <row r="68" spans="1:10">
      <c r="A68" s="6"/>
      <c r="B68" s="6"/>
      <c r="C68" s="13"/>
      <c r="D68" s="13"/>
      <c r="E68" s="13"/>
      <c r="F68" s="6"/>
      <c r="G68" s="6" t="s">
        <v>56</v>
      </c>
      <c r="H68" s="6" t="s">
        <v>57</v>
      </c>
      <c r="I68" s="6"/>
      <c r="J68" s="6"/>
    </row>
    <row r="69" spans="1:10">
      <c r="A69" s="6"/>
      <c r="B69" s="6"/>
      <c r="C69" s="20" t="s">
        <v>58</v>
      </c>
      <c r="D69" s="20" t="s">
        <v>59</v>
      </c>
      <c r="E69" s="20" t="s">
        <v>60</v>
      </c>
      <c r="F69" s="21"/>
      <c r="G69" s="6" t="s">
        <v>61</v>
      </c>
      <c r="H69" s="6" t="s">
        <v>62</v>
      </c>
      <c r="I69" s="6"/>
      <c r="J69" s="6"/>
    </row>
    <row r="70" spans="1:10">
      <c r="A70" s="6"/>
      <c r="B70" s="6"/>
      <c r="C70" s="22">
        <v>912</v>
      </c>
      <c r="D70" s="22">
        <v>912</v>
      </c>
      <c r="E70" s="23" t="s">
        <v>63</v>
      </c>
      <c r="F70" s="24"/>
      <c r="G70" s="6" t="s">
        <v>64</v>
      </c>
      <c r="H70" s="6" t="s">
        <v>65</v>
      </c>
      <c r="I70" s="6"/>
      <c r="J70" s="6"/>
    </row>
    <row r="71" spans="1:10">
      <c r="A71" s="6"/>
      <c r="B71" s="6"/>
      <c r="C71" s="13"/>
      <c r="D71" s="13"/>
      <c r="E71" s="13"/>
      <c r="F71" s="6"/>
      <c r="G71" s="6" t="s">
        <v>66</v>
      </c>
      <c r="H71" s="6" t="s">
        <v>67</v>
      </c>
      <c r="I71" s="6"/>
      <c r="J71" s="6"/>
    </row>
    <row r="72" spans="1:10">
      <c r="A72" s="25" t="s">
        <v>68</v>
      </c>
      <c r="B72" s="6"/>
      <c r="C72" s="6"/>
      <c r="D72" s="6" t="s">
        <v>69</v>
      </c>
      <c r="E72" s="6" t="s">
        <v>69</v>
      </c>
      <c r="F72" s="6"/>
      <c r="G72" s="6" t="s">
        <v>70</v>
      </c>
      <c r="H72" s="6"/>
      <c r="I72" s="6"/>
      <c r="J72" s="6"/>
    </row>
    <row r="73" spans="1:10">
      <c r="A73" s="6"/>
      <c r="B73" s="6"/>
      <c r="C73" s="6" t="s">
        <v>69</v>
      </c>
      <c r="D73" s="6"/>
      <c r="E73" s="6"/>
      <c r="F73" s="6"/>
      <c r="G73" s="6" t="s">
        <v>71</v>
      </c>
      <c r="H73" s="6" t="s">
        <v>72</v>
      </c>
      <c r="I73" s="6"/>
      <c r="J73" s="6"/>
    </row>
    <row r="74" spans="1:10">
      <c r="A74" s="6" t="s">
        <v>73</v>
      </c>
      <c r="B74" s="6"/>
      <c r="C74" s="6">
        <f>0</f>
        <v>0</v>
      </c>
      <c r="D74" s="6">
        <f>700</f>
        <v>700</v>
      </c>
      <c r="E74" s="6">
        <f>3</f>
        <v>3</v>
      </c>
      <c r="F74" s="6"/>
      <c r="G74" s="6" t="s">
        <v>74</v>
      </c>
      <c r="H74" s="6" t="s">
        <v>75</v>
      </c>
      <c r="I74" s="17" t="s">
        <v>76</v>
      </c>
      <c r="J74" s="6"/>
    </row>
    <row r="75" spans="1:10">
      <c r="A75" s="6" t="s">
        <v>77</v>
      </c>
      <c r="B75" s="6"/>
      <c r="C75" s="6">
        <f>0</f>
        <v>0</v>
      </c>
      <c r="D75" s="6">
        <f>33654.45</f>
        <v>33654.449999999997</v>
      </c>
      <c r="E75" s="6">
        <f>33654.45</f>
        <v>33654.449999999997</v>
      </c>
      <c r="F75" s="6"/>
      <c r="G75" s="6" t="s">
        <v>78</v>
      </c>
      <c r="H75" s="6" t="s">
        <v>79</v>
      </c>
      <c r="I75" s="6"/>
      <c r="J75" s="6"/>
    </row>
    <row r="76" spans="1:10">
      <c r="A76" s="6" t="s">
        <v>80</v>
      </c>
      <c r="B76" s="6"/>
      <c r="C76" s="6">
        <f>0</f>
        <v>0</v>
      </c>
      <c r="D76" s="6">
        <f>-33654.45</f>
        <v>-33654.449999999997</v>
      </c>
      <c r="E76" s="6">
        <f>-33654.45</f>
        <v>-33654.449999999997</v>
      </c>
      <c r="F76" s="6"/>
      <c r="G76" s="6" t="s">
        <v>81</v>
      </c>
      <c r="H76" s="6" t="s">
        <v>82</v>
      </c>
      <c r="I76" s="6"/>
      <c r="J76" s="6"/>
    </row>
    <row r="77" spans="1:10">
      <c r="A77" s="6" t="s">
        <v>83</v>
      </c>
      <c r="B77" s="6"/>
      <c r="C77" s="6">
        <f>-33071.43</f>
        <v>-33071.43</v>
      </c>
      <c r="D77" s="6">
        <f>105041.72</f>
        <v>105041.72</v>
      </c>
      <c r="E77" s="6">
        <f>-21859.58</f>
        <v>-21859.58</v>
      </c>
      <c r="F77" s="6"/>
      <c r="G77" s="6" t="s">
        <v>84</v>
      </c>
      <c r="H77" s="6" t="s">
        <v>85</v>
      </c>
      <c r="I77" s="6"/>
      <c r="J77" s="6"/>
    </row>
    <row r="78" spans="1:10">
      <c r="A78" s="6" t="s">
        <v>86</v>
      </c>
      <c r="B78" s="6"/>
      <c r="C78" s="6">
        <f>0</f>
        <v>0</v>
      </c>
      <c r="D78" s="6">
        <f>0</f>
        <v>0</v>
      </c>
      <c r="E78" s="6">
        <f>17798.99</f>
        <v>17798.990000000002</v>
      </c>
      <c r="F78" s="6"/>
      <c r="G78" s="6" t="s">
        <v>87</v>
      </c>
      <c r="H78" s="6" t="s">
        <v>88</v>
      </c>
      <c r="I78" s="6"/>
      <c r="J78" s="6"/>
    </row>
    <row r="79" spans="1:10">
      <c r="A79" s="6" t="s">
        <v>89</v>
      </c>
      <c r="B79" s="6"/>
      <c r="C79" s="6">
        <f>0</f>
        <v>0</v>
      </c>
      <c r="D79" s="6">
        <f>-2205.94</f>
        <v>-2205.94</v>
      </c>
      <c r="E79" s="6">
        <f>900</f>
        <v>900</v>
      </c>
      <c r="F79" s="6"/>
      <c r="G79" s="6" t="s">
        <v>90</v>
      </c>
      <c r="H79" s="6" t="s">
        <v>91</v>
      </c>
      <c r="I79" s="6"/>
      <c r="J79" s="6"/>
    </row>
    <row r="80" spans="1:10">
      <c r="A80" s="6" t="s">
        <v>92</v>
      </c>
      <c r="B80" s="6"/>
      <c r="C80" s="6">
        <f>0</f>
        <v>0</v>
      </c>
      <c r="D80" s="6">
        <f>-6945.61</f>
        <v>-6945.61</v>
      </c>
      <c r="E80" s="6">
        <f>4527.51</f>
        <v>4527.51</v>
      </c>
      <c r="F80" s="6"/>
      <c r="G80" s="6" t="s">
        <v>93</v>
      </c>
      <c r="H80" s="6" t="s">
        <v>94</v>
      </c>
      <c r="I80" s="6"/>
      <c r="J80" s="6"/>
    </row>
    <row r="81" spans="1:10">
      <c r="A81" s="6" t="s">
        <v>95</v>
      </c>
      <c r="B81" s="6"/>
      <c r="C81" s="6">
        <f>0</f>
        <v>0</v>
      </c>
      <c r="D81" s="6">
        <f>92421.7</f>
        <v>92421.7</v>
      </c>
      <c r="E81" s="6">
        <f>743105.69</f>
        <v>743105.69</v>
      </c>
      <c r="F81" s="6"/>
      <c r="G81" s="6" t="s">
        <v>96</v>
      </c>
      <c r="H81" s="6" t="s">
        <v>97</v>
      </c>
      <c r="I81" s="6"/>
      <c r="J81" s="6"/>
    </row>
    <row r="82" spans="1:10">
      <c r="A82" s="6" t="s">
        <v>98</v>
      </c>
      <c r="B82" s="6"/>
      <c r="C82" s="15">
        <f>-290626.07</f>
        <v>-290626.07</v>
      </c>
      <c r="D82" s="15">
        <f>167938.93</f>
        <v>167938.93</v>
      </c>
      <c r="E82" s="15">
        <f>0</f>
        <v>0</v>
      </c>
      <c r="F82" s="6"/>
      <c r="G82" s="6" t="s">
        <v>99</v>
      </c>
      <c r="H82" s="6" t="s">
        <v>100</v>
      </c>
      <c r="I82" s="6"/>
      <c r="J82" s="6"/>
    </row>
    <row r="83" spans="1:10">
      <c r="A83" s="6" t="s">
        <v>101</v>
      </c>
      <c r="B83" s="6"/>
      <c r="C83" s="6">
        <f>SUM(C74:C82)</f>
        <v>-323697.5</v>
      </c>
      <c r="D83" s="6">
        <f>SUM(D74:D82)</f>
        <v>356950.8</v>
      </c>
      <c r="E83" s="6">
        <f>SUM(E74:E82)</f>
        <v>744475.61</v>
      </c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 t="s">
        <v>102</v>
      </c>
      <c r="B86" s="6"/>
      <c r="C86" s="6">
        <f>0</f>
        <v>0</v>
      </c>
      <c r="D86" s="6">
        <f>1397749.25</f>
        <v>1397749.25</v>
      </c>
      <c r="E86" s="6">
        <f>2130000</f>
        <v>2130000</v>
      </c>
      <c r="F86" s="6"/>
      <c r="G86" s="6" t="s">
        <v>103</v>
      </c>
      <c r="H86" s="6" t="s">
        <v>104</v>
      </c>
      <c r="I86" s="6"/>
      <c r="J86" s="6"/>
    </row>
    <row r="87" spans="1:10">
      <c r="A87" s="6" t="s">
        <v>105</v>
      </c>
      <c r="B87" s="6"/>
      <c r="C87" s="6">
        <f>0</f>
        <v>0</v>
      </c>
      <c r="D87" s="6">
        <f>0</f>
        <v>0</v>
      </c>
      <c r="E87" s="6">
        <f>0</f>
        <v>0</v>
      </c>
      <c r="F87" s="6"/>
      <c r="G87" s="6" t="s">
        <v>106</v>
      </c>
      <c r="H87" s="6" t="s">
        <v>107</v>
      </c>
      <c r="I87" s="6"/>
      <c r="J87" s="6"/>
    </row>
    <row r="88" spans="1:10">
      <c r="A88" s="6" t="s">
        <v>108</v>
      </c>
      <c r="B88" s="6"/>
      <c r="C88" s="6">
        <f>0</f>
        <v>0</v>
      </c>
      <c r="D88" s="6">
        <f>0</f>
        <v>0</v>
      </c>
      <c r="E88" s="6">
        <f>0</f>
        <v>0</v>
      </c>
      <c r="F88" s="6"/>
      <c r="G88" s="6" t="s">
        <v>109</v>
      </c>
      <c r="H88" s="6" t="s">
        <v>110</v>
      </c>
      <c r="I88" s="6"/>
      <c r="J88" s="6"/>
    </row>
    <row r="89" spans="1:10">
      <c r="A89" s="6" t="s">
        <v>111</v>
      </c>
      <c r="B89" s="6"/>
      <c r="C89" s="6">
        <f>0</f>
        <v>0</v>
      </c>
      <c r="D89" s="6">
        <f>1451.4</f>
        <v>1451.4</v>
      </c>
      <c r="E89" s="6">
        <f>1451.4</f>
        <v>1451.4</v>
      </c>
      <c r="F89" s="6"/>
      <c r="G89" s="6" t="s">
        <v>112</v>
      </c>
      <c r="H89" s="6" t="s">
        <v>113</v>
      </c>
      <c r="I89" s="6"/>
      <c r="J89" s="6"/>
    </row>
    <row r="90" spans="1:10">
      <c r="A90" s="6" t="s">
        <v>114</v>
      </c>
      <c r="B90" s="6"/>
      <c r="C90" s="6">
        <f>0</f>
        <v>0</v>
      </c>
      <c r="D90" s="6">
        <f>0</f>
        <v>0</v>
      </c>
      <c r="E90" s="6">
        <f>0</f>
        <v>0</v>
      </c>
      <c r="F90" s="6"/>
      <c r="G90" s="6" t="s">
        <v>115</v>
      </c>
      <c r="H90" s="6" t="s">
        <v>116</v>
      </c>
      <c r="I90" s="6"/>
      <c r="J90" s="6"/>
    </row>
    <row r="91" spans="1:10">
      <c r="A91" s="6" t="s">
        <v>117</v>
      </c>
      <c r="B91" s="6"/>
      <c r="C91" s="6">
        <f>0</f>
        <v>0</v>
      </c>
      <c r="D91" s="6">
        <f>0</f>
        <v>0</v>
      </c>
      <c r="E91" s="6">
        <f>0</f>
        <v>0</v>
      </c>
      <c r="F91" s="6"/>
      <c r="G91" s="6" t="s">
        <v>118</v>
      </c>
      <c r="H91" s="6" t="s">
        <v>119</v>
      </c>
      <c r="I91" s="6"/>
      <c r="J91" s="6"/>
    </row>
    <row r="92" spans="1:10">
      <c r="A92" s="6" t="s">
        <v>120</v>
      </c>
      <c r="B92" s="6"/>
      <c r="C92" s="6">
        <f>0</f>
        <v>0</v>
      </c>
      <c r="D92" s="6">
        <f>-3665.43</f>
        <v>-3665.43</v>
      </c>
      <c r="E92" s="6">
        <f>-12574.18</f>
        <v>-12574.18</v>
      </c>
      <c r="F92" s="6"/>
      <c r="G92" s="6" t="s">
        <v>121</v>
      </c>
      <c r="H92" s="6" t="s">
        <v>122</v>
      </c>
      <c r="I92" s="6"/>
      <c r="J92" s="6"/>
    </row>
    <row r="93" spans="1:10">
      <c r="A93" s="6" t="s">
        <v>123</v>
      </c>
      <c r="B93" s="6"/>
      <c r="C93" s="6">
        <f>0</f>
        <v>0</v>
      </c>
      <c r="D93" s="6">
        <f>0</f>
        <v>0</v>
      </c>
      <c r="E93" s="6">
        <f>30132.06</f>
        <v>30132.06</v>
      </c>
      <c r="F93" s="6"/>
      <c r="G93" s="6" t="s">
        <v>124</v>
      </c>
      <c r="H93" s="6" t="s">
        <v>125</v>
      </c>
      <c r="I93" s="6"/>
      <c r="J93" s="6"/>
    </row>
    <row r="94" spans="1:10">
      <c r="A94" s="6" t="s">
        <v>126</v>
      </c>
      <c r="B94" s="6"/>
      <c r="C94" s="6">
        <f>0</f>
        <v>0</v>
      </c>
      <c r="D94" s="6">
        <f>319.7</f>
        <v>319.7</v>
      </c>
      <c r="E94" s="6">
        <f>14853.9</f>
        <v>14853.9</v>
      </c>
      <c r="F94" s="6"/>
      <c r="G94" s="6" t="s">
        <v>127</v>
      </c>
      <c r="H94" s="6" t="s">
        <v>128</v>
      </c>
      <c r="I94" s="6"/>
      <c r="J94" s="6"/>
    </row>
    <row r="95" spans="1:10">
      <c r="A95" s="6" t="s">
        <v>129</v>
      </c>
      <c r="B95" s="6"/>
      <c r="C95" s="15">
        <f>0</f>
        <v>0</v>
      </c>
      <c r="D95" s="15">
        <f>12227.69</f>
        <v>12227.69</v>
      </c>
      <c r="E95" s="15">
        <f>0</f>
        <v>0</v>
      </c>
      <c r="F95" s="6"/>
      <c r="G95" s="6" t="s">
        <v>130</v>
      </c>
      <c r="H95" s="6" t="s">
        <v>131</v>
      </c>
      <c r="I95" s="6"/>
      <c r="J95" s="6"/>
    </row>
    <row r="96" spans="1:10">
      <c r="A96" s="6" t="s">
        <v>132</v>
      </c>
      <c r="B96" s="6"/>
      <c r="C96" s="6">
        <f>SUM(C86:C95)</f>
        <v>0</v>
      </c>
      <c r="D96" s="6">
        <f>SUM(D86:D95)</f>
        <v>1408082.6099999999</v>
      </c>
      <c r="E96" s="6">
        <f>SUM(E86:E95)</f>
        <v>2163863.1799999997</v>
      </c>
      <c r="F96" s="6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>
      <c r="A99" s="6" t="s">
        <v>133</v>
      </c>
      <c r="B99" s="6"/>
      <c r="C99" s="6">
        <f>0</f>
        <v>0</v>
      </c>
      <c r="D99" s="6">
        <f>1260374.99</f>
        <v>1260374.99</v>
      </c>
      <c r="E99" s="6">
        <f>114195.12</f>
        <v>114195.12</v>
      </c>
      <c r="F99" s="6"/>
      <c r="G99" s="6" t="s">
        <v>134</v>
      </c>
      <c r="H99" s="6" t="s">
        <v>135</v>
      </c>
      <c r="I99" s="6"/>
      <c r="J99" s="6"/>
    </row>
    <row r="100" spans="1:10">
      <c r="A100" s="6" t="s">
        <v>136</v>
      </c>
      <c r="B100" s="6"/>
      <c r="C100" s="6">
        <f>-12966.32</f>
        <v>-12966.32</v>
      </c>
      <c r="D100" s="6">
        <f>54558.96</f>
        <v>54558.96</v>
      </c>
      <c r="E100" s="6">
        <f>6712.66</f>
        <v>6712.66</v>
      </c>
      <c r="F100" s="6"/>
      <c r="G100" s="6" t="s">
        <v>137</v>
      </c>
      <c r="H100" s="6" t="s">
        <v>138</v>
      </c>
      <c r="I100" s="6"/>
      <c r="J100" s="6"/>
    </row>
    <row r="101" spans="1:10">
      <c r="A101" s="6" t="s">
        <v>139</v>
      </c>
      <c r="B101" s="6"/>
      <c r="C101" s="6">
        <f>-3866.57</f>
        <v>-3866.57</v>
      </c>
      <c r="D101" s="6">
        <f>4859.7</f>
        <v>4859.7</v>
      </c>
      <c r="E101" s="6">
        <f>4011.83</f>
        <v>4011.83</v>
      </c>
      <c r="F101" s="6"/>
      <c r="G101" s="6" t="s">
        <v>140</v>
      </c>
      <c r="H101" s="6" t="s">
        <v>141</v>
      </c>
      <c r="I101" s="6"/>
      <c r="J101" s="6"/>
    </row>
    <row r="102" spans="1:10">
      <c r="A102" s="6" t="s">
        <v>142</v>
      </c>
      <c r="B102" s="6"/>
      <c r="C102" s="6">
        <f>0</f>
        <v>0</v>
      </c>
      <c r="D102" s="6">
        <f>30230.45</f>
        <v>30230.45</v>
      </c>
      <c r="E102" s="6">
        <f>30230.45</f>
        <v>30230.45</v>
      </c>
      <c r="F102" s="6"/>
      <c r="G102" s="6" t="s">
        <v>143</v>
      </c>
      <c r="H102" s="6" t="s">
        <v>144</v>
      </c>
      <c r="I102" s="6"/>
      <c r="J102" s="6"/>
    </row>
    <row r="103" spans="1:10">
      <c r="A103" s="6" t="s">
        <v>145</v>
      </c>
      <c r="B103" s="6"/>
      <c r="C103" s="6">
        <f>0</f>
        <v>0</v>
      </c>
      <c r="D103" s="6">
        <f>50395.93</f>
        <v>50395.93</v>
      </c>
      <c r="E103" s="6">
        <f>-55347.74</f>
        <v>-55347.74</v>
      </c>
      <c r="F103" s="6"/>
      <c r="G103" s="6" t="s">
        <v>146</v>
      </c>
      <c r="H103" s="6" t="s">
        <v>147</v>
      </c>
      <c r="I103" s="6"/>
      <c r="J103" s="6"/>
    </row>
    <row r="104" spans="1:10">
      <c r="A104" s="6" t="s">
        <v>148</v>
      </c>
      <c r="B104" s="6"/>
      <c r="C104" s="6">
        <f>0</f>
        <v>0</v>
      </c>
      <c r="D104" s="6">
        <f>0</f>
        <v>0</v>
      </c>
      <c r="E104" s="6">
        <f>0</f>
        <v>0</v>
      </c>
      <c r="F104" s="6"/>
      <c r="G104" s="6" t="s">
        <v>149</v>
      </c>
      <c r="H104" s="6" t="s">
        <v>150</v>
      </c>
      <c r="I104" s="6"/>
      <c r="J104" s="6"/>
    </row>
    <row r="105" spans="1:10">
      <c r="A105" s="6" t="s">
        <v>151</v>
      </c>
      <c r="B105" s="6"/>
      <c r="C105" s="6">
        <f>0</f>
        <v>0</v>
      </c>
      <c r="D105" s="6">
        <f>2299.36</f>
        <v>2299.36</v>
      </c>
      <c r="E105" s="6">
        <f>1031.88</f>
        <v>1031.8800000000001</v>
      </c>
      <c r="F105" s="6"/>
      <c r="G105" s="6" t="s">
        <v>152</v>
      </c>
      <c r="H105" s="6" t="s">
        <v>153</v>
      </c>
      <c r="I105" s="6"/>
      <c r="J105" s="6"/>
    </row>
    <row r="106" spans="1:10">
      <c r="A106" s="6" t="s">
        <v>154</v>
      </c>
      <c r="B106" s="6"/>
      <c r="C106" s="6">
        <f>0</f>
        <v>0</v>
      </c>
      <c r="D106" s="6">
        <f>4170.17</f>
        <v>4170.17</v>
      </c>
      <c r="E106" s="6">
        <f>-8947.77</f>
        <v>-8947.77</v>
      </c>
      <c r="F106" s="6"/>
      <c r="G106" s="6" t="s">
        <v>155</v>
      </c>
      <c r="H106" s="6" t="s">
        <v>156</v>
      </c>
      <c r="I106" s="6"/>
      <c r="J106" s="6"/>
    </row>
    <row r="107" spans="1:10">
      <c r="A107" s="6" t="s">
        <v>157</v>
      </c>
      <c r="B107" s="6"/>
      <c r="C107" s="6">
        <f>0</f>
        <v>0</v>
      </c>
      <c r="D107" s="6">
        <f>311.5</f>
        <v>311.5</v>
      </c>
      <c r="E107" s="6">
        <f>108.5</f>
        <v>108.5</v>
      </c>
      <c r="F107" s="6"/>
      <c r="G107" s="6" t="s">
        <v>158</v>
      </c>
      <c r="H107" s="6" t="s">
        <v>159</v>
      </c>
      <c r="I107" s="6"/>
      <c r="J107" s="6"/>
    </row>
    <row r="108" spans="1:10">
      <c r="A108" s="6" t="s">
        <v>160</v>
      </c>
      <c r="B108" s="6"/>
      <c r="C108" s="6">
        <f>21762.9</f>
        <v>21762.9</v>
      </c>
      <c r="D108" s="6">
        <f>46642.5</f>
        <v>46642.5</v>
      </c>
      <c r="E108" s="6">
        <f>122159.2</f>
        <v>122159.2</v>
      </c>
      <c r="F108" s="6"/>
      <c r="G108" s="6" t="s">
        <v>161</v>
      </c>
      <c r="H108" s="6" t="s">
        <v>162</v>
      </c>
      <c r="I108" s="6"/>
      <c r="J108" s="6"/>
    </row>
    <row r="109" spans="1:10">
      <c r="A109" s="6" t="s">
        <v>163</v>
      </c>
      <c r="B109" s="6"/>
      <c r="C109" s="6">
        <f>0</f>
        <v>0</v>
      </c>
      <c r="D109" s="6">
        <f>0</f>
        <v>0</v>
      </c>
      <c r="E109" s="6">
        <f>0</f>
        <v>0</v>
      </c>
      <c r="F109" s="6"/>
      <c r="G109" s="6" t="s">
        <v>164</v>
      </c>
      <c r="H109" s="6" t="s">
        <v>165</v>
      </c>
      <c r="I109" s="6"/>
      <c r="J109" s="6"/>
    </row>
    <row r="110" spans="1:10">
      <c r="A110" s="6" t="s">
        <v>166</v>
      </c>
      <c r="B110" s="6"/>
      <c r="C110" s="6">
        <f>0</f>
        <v>0</v>
      </c>
      <c r="D110" s="6">
        <f>0</f>
        <v>0</v>
      </c>
      <c r="E110" s="6">
        <f>0</f>
        <v>0</v>
      </c>
      <c r="F110" s="6"/>
      <c r="G110" s="6" t="s">
        <v>167</v>
      </c>
      <c r="H110" s="6" t="s">
        <v>168</v>
      </c>
      <c r="I110" s="6"/>
      <c r="J110" s="6"/>
    </row>
    <row r="111" spans="1:10">
      <c r="A111" s="6" t="s">
        <v>169</v>
      </c>
      <c r="B111" s="6"/>
      <c r="C111" s="6">
        <f>0</f>
        <v>0</v>
      </c>
      <c r="D111" s="6">
        <f>0</f>
        <v>0</v>
      </c>
      <c r="E111" s="6">
        <f>0</f>
        <v>0</v>
      </c>
      <c r="F111" s="6"/>
      <c r="G111" s="6" t="s">
        <v>170</v>
      </c>
      <c r="H111" s="6" t="s">
        <v>171</v>
      </c>
      <c r="I111" s="6"/>
      <c r="J111" s="6"/>
    </row>
    <row r="112" spans="1:10">
      <c r="A112" s="6" t="s">
        <v>172</v>
      </c>
      <c r="B112" s="6"/>
      <c r="C112" s="6">
        <f>0</f>
        <v>0</v>
      </c>
      <c r="D112" s="6">
        <f>-21626.52</f>
        <v>-21626.52</v>
      </c>
      <c r="E112" s="6">
        <f>-21626.52</f>
        <v>-21626.52</v>
      </c>
      <c r="F112" s="6"/>
      <c r="G112" s="6" t="s">
        <v>173</v>
      </c>
      <c r="H112" s="6" t="s">
        <v>174</v>
      </c>
      <c r="I112" s="6"/>
      <c r="J112" s="6"/>
    </row>
    <row r="113" spans="1:10">
      <c r="A113" s="6" t="s">
        <v>175</v>
      </c>
      <c r="B113" s="6"/>
      <c r="C113" s="15">
        <f>0</f>
        <v>0</v>
      </c>
      <c r="D113" s="15">
        <f>0</f>
        <v>0</v>
      </c>
      <c r="E113" s="15">
        <f>0</f>
        <v>0</v>
      </c>
      <c r="F113" s="6"/>
      <c r="G113" s="6" t="s">
        <v>176</v>
      </c>
      <c r="H113" s="6" t="s">
        <v>177</v>
      </c>
      <c r="I113" s="6"/>
      <c r="J113" s="6"/>
    </row>
    <row r="114" spans="1:10">
      <c r="A114" s="6" t="s">
        <v>178</v>
      </c>
      <c r="B114" s="6"/>
      <c r="C114" s="6">
        <f>SUM(C99:C113)</f>
        <v>4930.010000000002</v>
      </c>
      <c r="D114" s="6">
        <f>SUM(D99:D113)</f>
        <v>1432217.0399999998</v>
      </c>
      <c r="E114" s="6">
        <f>SUM(E99:E113)</f>
        <v>192527.61000000002</v>
      </c>
      <c r="F114" s="6"/>
      <c r="G114" s="6"/>
      <c r="H114" s="6"/>
      <c r="I114" s="6"/>
      <c r="J114" s="6"/>
    </row>
    <row r="115" spans="1:10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>
      <c r="A117" s="6" t="s">
        <v>179</v>
      </c>
      <c r="B117" s="6"/>
      <c r="C117" s="6">
        <f>-93.65</f>
        <v>-93.65</v>
      </c>
      <c r="D117" s="6">
        <f>35967.39</f>
        <v>35967.39</v>
      </c>
      <c r="E117" s="6">
        <f>39568.97</f>
        <v>39568.97</v>
      </c>
      <c r="F117" s="6"/>
      <c r="G117" s="6" t="s">
        <v>180</v>
      </c>
      <c r="H117" s="6" t="s">
        <v>181</v>
      </c>
      <c r="I117" s="6"/>
      <c r="J117" s="6"/>
    </row>
    <row r="118" spans="1:10">
      <c r="A118" s="6" t="s">
        <v>182</v>
      </c>
      <c r="B118" s="6"/>
      <c r="C118" s="6">
        <f>-187.3</f>
        <v>-187.3</v>
      </c>
      <c r="D118" s="6">
        <f>11902.98</f>
        <v>11902.98</v>
      </c>
      <c r="E118" s="6">
        <f>18233.82</f>
        <v>18233.82</v>
      </c>
      <c r="F118" s="6"/>
      <c r="G118" s="6" t="s">
        <v>183</v>
      </c>
      <c r="H118" s="6" t="s">
        <v>184</v>
      </c>
      <c r="I118" s="6"/>
      <c r="J118" s="6"/>
    </row>
    <row r="119" spans="1:10">
      <c r="A119" s="6" t="s">
        <v>185</v>
      </c>
      <c r="B119" s="6"/>
      <c r="C119" s="6">
        <f>326.03</f>
        <v>326.02999999999997</v>
      </c>
      <c r="D119" s="6">
        <f>19030.52</f>
        <v>19030.52</v>
      </c>
      <c r="E119" s="6">
        <f>18704.49</f>
        <v>18704.490000000002</v>
      </c>
      <c r="F119" s="6"/>
      <c r="G119" s="6" t="s">
        <v>186</v>
      </c>
      <c r="H119" s="6" t="s">
        <v>187</v>
      </c>
      <c r="I119" s="6"/>
      <c r="J119" s="6"/>
    </row>
    <row r="120" spans="1:10">
      <c r="A120" s="6" t="s">
        <v>188</v>
      </c>
      <c r="B120" s="6"/>
      <c r="C120" s="6">
        <f>4203.92</f>
        <v>4203.92</v>
      </c>
      <c r="D120" s="6">
        <f>39114.31</f>
        <v>39114.31</v>
      </c>
      <c r="E120" s="6">
        <f>30531.74</f>
        <v>30531.74</v>
      </c>
      <c r="F120" s="6"/>
      <c r="G120" s="6" t="s">
        <v>189</v>
      </c>
      <c r="H120" s="6" t="s">
        <v>190</v>
      </c>
      <c r="I120" s="6"/>
      <c r="J120" s="6"/>
    </row>
    <row r="121" spans="1:10">
      <c r="A121" s="6" t="s">
        <v>191</v>
      </c>
      <c r="B121" s="6"/>
      <c r="C121" s="6">
        <f>0</f>
        <v>0</v>
      </c>
      <c r="D121" s="6">
        <f>5101.35</f>
        <v>5101.3500000000004</v>
      </c>
      <c r="E121" s="6">
        <f>5194.35</f>
        <v>5194.3500000000004</v>
      </c>
      <c r="F121" s="6"/>
      <c r="G121" s="6" t="s">
        <v>192</v>
      </c>
      <c r="H121" s="6" t="s">
        <v>193</v>
      </c>
      <c r="I121" s="6"/>
      <c r="J121" s="6"/>
    </row>
    <row r="122" spans="1:10">
      <c r="A122" s="6" t="s">
        <v>194</v>
      </c>
      <c r="B122" s="6"/>
      <c r="C122" s="6">
        <f>0</f>
        <v>0</v>
      </c>
      <c r="D122" s="6">
        <f>0</f>
        <v>0</v>
      </c>
      <c r="E122" s="6">
        <f>0</f>
        <v>0</v>
      </c>
      <c r="F122" s="6"/>
      <c r="G122" s="6" t="s">
        <v>195</v>
      </c>
      <c r="H122" s="6" t="s">
        <v>196</v>
      </c>
      <c r="I122" s="6"/>
      <c r="J122" s="6"/>
    </row>
    <row r="123" spans="1:10">
      <c r="A123" s="6" t="s">
        <v>197</v>
      </c>
      <c r="B123" s="6"/>
      <c r="C123" s="6">
        <f>0</f>
        <v>0</v>
      </c>
      <c r="D123" s="6">
        <f>0</f>
        <v>0</v>
      </c>
      <c r="E123" s="6">
        <f>0</f>
        <v>0</v>
      </c>
      <c r="F123" s="6"/>
      <c r="G123" s="6" t="s">
        <v>198</v>
      </c>
      <c r="H123" s="6" t="s">
        <v>199</v>
      </c>
      <c r="I123" s="6"/>
      <c r="J123" s="6"/>
    </row>
    <row r="124" spans="1:10">
      <c r="A124" s="6" t="s">
        <v>200</v>
      </c>
      <c r="B124" s="6"/>
      <c r="C124" s="6">
        <f>0</f>
        <v>0</v>
      </c>
      <c r="D124" s="6">
        <f>0</f>
        <v>0</v>
      </c>
      <c r="E124" s="6">
        <f>0</f>
        <v>0</v>
      </c>
      <c r="F124" s="6"/>
      <c r="G124" s="6" t="s">
        <v>201</v>
      </c>
      <c r="H124" s="6" t="s">
        <v>202</v>
      </c>
      <c r="I124" s="6"/>
      <c r="J124" s="6"/>
    </row>
    <row r="125" spans="1:10">
      <c r="A125" s="6" t="s">
        <v>203</v>
      </c>
      <c r="B125" s="6"/>
      <c r="C125" s="6">
        <f>0</f>
        <v>0</v>
      </c>
      <c r="D125" s="6">
        <f>0</f>
        <v>0</v>
      </c>
      <c r="E125" s="6">
        <f>0</f>
        <v>0</v>
      </c>
      <c r="F125" s="6"/>
      <c r="G125" s="6" t="s">
        <v>204</v>
      </c>
      <c r="H125" s="6" t="s">
        <v>205</v>
      </c>
      <c r="I125" s="6"/>
      <c r="J125" s="6"/>
    </row>
    <row r="126" spans="1:10">
      <c r="A126" s="6" t="s">
        <v>206</v>
      </c>
      <c r="B126" s="6"/>
      <c r="C126" s="6">
        <f>0</f>
        <v>0</v>
      </c>
      <c r="D126" s="6">
        <f>0</f>
        <v>0</v>
      </c>
      <c r="E126" s="6">
        <f>0</f>
        <v>0</v>
      </c>
      <c r="F126" s="6"/>
      <c r="G126" s="6" t="s">
        <v>207</v>
      </c>
      <c r="H126" s="6" t="s">
        <v>208</v>
      </c>
      <c r="I126" s="6"/>
      <c r="J126" s="6"/>
    </row>
    <row r="127" spans="1:10">
      <c r="A127" s="6" t="s">
        <v>209</v>
      </c>
      <c r="B127" s="6"/>
      <c r="C127" s="6">
        <f>0</f>
        <v>0</v>
      </c>
      <c r="D127" s="6">
        <f>0</f>
        <v>0</v>
      </c>
      <c r="E127" s="6">
        <f>0</f>
        <v>0</v>
      </c>
      <c r="F127" s="6"/>
      <c r="G127" s="6" t="s">
        <v>210</v>
      </c>
      <c r="H127" s="6" t="s">
        <v>211</v>
      </c>
      <c r="I127" s="6"/>
      <c r="J127" s="6"/>
    </row>
    <row r="128" spans="1:10">
      <c r="A128" s="6" t="s">
        <v>212</v>
      </c>
      <c r="B128" s="6"/>
      <c r="C128" s="6">
        <f>0</f>
        <v>0</v>
      </c>
      <c r="D128" s="6">
        <f>0</f>
        <v>0</v>
      </c>
      <c r="E128" s="6">
        <f>0</f>
        <v>0</v>
      </c>
      <c r="F128" s="6"/>
      <c r="G128" s="6" t="s">
        <v>213</v>
      </c>
      <c r="H128" s="6" t="s">
        <v>214</v>
      </c>
      <c r="I128" s="6"/>
      <c r="J128" s="6"/>
    </row>
    <row r="129" spans="1:10">
      <c r="A129" s="6" t="s">
        <v>215</v>
      </c>
      <c r="B129" s="6"/>
      <c r="C129" s="6">
        <f>0</f>
        <v>0</v>
      </c>
      <c r="D129" s="6">
        <f>0</f>
        <v>0</v>
      </c>
      <c r="E129" s="6">
        <f>0</f>
        <v>0</v>
      </c>
      <c r="F129" s="6"/>
      <c r="G129" s="6" t="s">
        <v>216</v>
      </c>
      <c r="H129" s="6" t="s">
        <v>217</v>
      </c>
      <c r="I129" s="6"/>
      <c r="J129" s="6"/>
    </row>
    <row r="130" spans="1:10">
      <c r="A130" s="6" t="s">
        <v>218</v>
      </c>
      <c r="B130" s="6"/>
      <c r="C130" s="6">
        <f>0</f>
        <v>0</v>
      </c>
      <c r="D130" s="6">
        <f>0</f>
        <v>0</v>
      </c>
      <c r="E130" s="6">
        <f>0</f>
        <v>0</v>
      </c>
      <c r="F130" s="6"/>
      <c r="G130" s="6" t="s">
        <v>219</v>
      </c>
      <c r="H130" s="6" t="s">
        <v>220</v>
      </c>
      <c r="I130" s="6"/>
      <c r="J130" s="6"/>
    </row>
    <row r="131" spans="1:10">
      <c r="A131" s="6" t="s">
        <v>221</v>
      </c>
      <c r="B131" s="6"/>
      <c r="C131" s="15">
        <f>0</f>
        <v>0</v>
      </c>
      <c r="D131" s="15">
        <f>0</f>
        <v>0</v>
      </c>
      <c r="E131" s="15">
        <f>0</f>
        <v>0</v>
      </c>
      <c r="F131" s="6"/>
      <c r="G131" s="6" t="s">
        <v>222</v>
      </c>
      <c r="H131" s="6" t="s">
        <v>223</v>
      </c>
      <c r="I131" s="6"/>
      <c r="J131" s="6"/>
    </row>
    <row r="132" spans="1:10">
      <c r="A132" s="6" t="s">
        <v>224</v>
      </c>
      <c r="B132" s="6"/>
      <c r="C132" s="6">
        <f>SUM(C117:C131)</f>
        <v>4249</v>
      </c>
      <c r="D132" s="6">
        <f>SUM(D117:D131)</f>
        <v>111116.55</v>
      </c>
      <c r="E132" s="6">
        <f>SUM(E117:E131)</f>
        <v>112233.37000000001</v>
      </c>
      <c r="F132" s="6"/>
      <c r="G132" s="6"/>
      <c r="H132" s="6"/>
      <c r="I132" s="6"/>
      <c r="J132" s="6"/>
    </row>
    <row r="133" spans="1:10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>
      <c r="A135" s="6" t="s">
        <v>225</v>
      </c>
      <c r="B135" s="6"/>
      <c r="C135" s="6">
        <f>46200.18</f>
        <v>46200.18</v>
      </c>
      <c r="D135" s="6">
        <f>86101.47</f>
        <v>86101.47</v>
      </c>
      <c r="E135" s="6">
        <f>99443.57</f>
        <v>99443.57</v>
      </c>
      <c r="F135" s="6"/>
      <c r="G135" s="6" t="s">
        <v>226</v>
      </c>
      <c r="H135" s="6" t="s">
        <v>227</v>
      </c>
      <c r="I135" s="6"/>
      <c r="J135" s="6"/>
    </row>
    <row r="136" spans="1:10">
      <c r="A136" s="6" t="s">
        <v>228</v>
      </c>
      <c r="B136" s="6"/>
      <c r="C136" s="6">
        <f>0</f>
        <v>0</v>
      </c>
      <c r="D136" s="6">
        <f>5798.24</f>
        <v>5798.24</v>
      </c>
      <c r="E136" s="6">
        <f>2173.77</f>
        <v>2173.77</v>
      </c>
      <c r="F136" s="6"/>
      <c r="G136" s="6" t="s">
        <v>229</v>
      </c>
      <c r="H136" s="6" t="s">
        <v>230</v>
      </c>
      <c r="I136" s="6"/>
      <c r="J136" s="6"/>
    </row>
    <row r="137" spans="1:10">
      <c r="A137" s="6" t="s">
        <v>231</v>
      </c>
      <c r="B137" s="6"/>
      <c r="C137" s="6">
        <f>0</f>
        <v>0</v>
      </c>
      <c r="D137" s="6">
        <f>0</f>
        <v>0</v>
      </c>
      <c r="E137" s="6">
        <f>0</f>
        <v>0</v>
      </c>
      <c r="F137" s="6"/>
      <c r="G137" s="6" t="s">
        <v>232</v>
      </c>
      <c r="H137" s="6" t="s">
        <v>233</v>
      </c>
      <c r="I137" s="6"/>
      <c r="J137" s="6"/>
    </row>
    <row r="138" spans="1:10">
      <c r="A138" s="6" t="s">
        <v>234</v>
      </c>
      <c r="B138" s="6"/>
      <c r="C138" s="15">
        <f>-7087.64</f>
        <v>-7087.64</v>
      </c>
      <c r="D138" s="15">
        <f>-3543.82</f>
        <v>-3543.82</v>
      </c>
      <c r="E138" s="15">
        <f>0</f>
        <v>0</v>
      </c>
      <c r="F138" s="6"/>
      <c r="G138" s="6" t="s">
        <v>235</v>
      </c>
      <c r="H138" s="6" t="s">
        <v>236</v>
      </c>
      <c r="I138" s="6"/>
      <c r="J138" s="6"/>
    </row>
    <row r="139" spans="1:10">
      <c r="A139" s="6" t="s">
        <v>237</v>
      </c>
      <c r="B139" s="6"/>
      <c r="C139" s="6">
        <f>SUM(C135:C138)</f>
        <v>39112.54</v>
      </c>
      <c r="D139" s="6">
        <f>SUM(D135:D138)</f>
        <v>88355.89</v>
      </c>
      <c r="E139" s="6">
        <f>SUM(E135:E138)</f>
        <v>101617.34000000001</v>
      </c>
      <c r="F139" s="6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>
      <c r="A142" s="6" t="s">
        <v>238</v>
      </c>
      <c r="B142" s="6"/>
      <c r="C142" s="6">
        <f>0</f>
        <v>0</v>
      </c>
      <c r="D142" s="6">
        <f>0</f>
        <v>0</v>
      </c>
      <c r="E142" s="6">
        <f>0</f>
        <v>0</v>
      </c>
      <c r="F142" s="6"/>
      <c r="G142" s="6" t="s">
        <v>239</v>
      </c>
      <c r="H142" s="6" t="s">
        <v>240</v>
      </c>
      <c r="I142" s="6" t="s">
        <v>241</v>
      </c>
      <c r="J142" s="6" t="s">
        <v>242</v>
      </c>
    </row>
    <row r="143" spans="1:10">
      <c r="A143" s="6" t="s">
        <v>243</v>
      </c>
      <c r="B143" s="6"/>
      <c r="C143" s="15">
        <f>-500</f>
        <v>-500</v>
      </c>
      <c r="D143" s="15">
        <f>0</f>
        <v>0</v>
      </c>
      <c r="E143" s="15">
        <f>0</f>
        <v>0</v>
      </c>
      <c r="F143" s="6"/>
      <c r="G143" s="6" t="s">
        <v>244</v>
      </c>
      <c r="H143" s="6" t="s">
        <v>245</v>
      </c>
      <c r="I143" s="6" t="s">
        <v>246</v>
      </c>
      <c r="J143" s="6" t="s">
        <v>247</v>
      </c>
    </row>
    <row r="144" spans="1:10">
      <c r="A144" s="6" t="s">
        <v>248</v>
      </c>
      <c r="B144" s="6"/>
      <c r="C144" s="6">
        <f>SUM(C142:C143)</f>
        <v>-500</v>
      </c>
      <c r="D144" s="6">
        <f>SUM(D142:D143)</f>
        <v>0</v>
      </c>
      <c r="E144" s="6">
        <f>SUM(E142:E143)</f>
        <v>0</v>
      </c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>
      <c r="A147" s="6" t="s">
        <v>249</v>
      </c>
      <c r="B147" s="6"/>
      <c r="C147" s="6">
        <f>0</f>
        <v>0</v>
      </c>
      <c r="D147" s="6">
        <f>-5897.9</f>
        <v>-5897.9</v>
      </c>
      <c r="E147" s="6">
        <f>0</f>
        <v>0</v>
      </c>
      <c r="F147" s="6"/>
      <c r="G147" s="6" t="s">
        <v>250</v>
      </c>
      <c r="H147" s="6" t="s">
        <v>251</v>
      </c>
      <c r="I147" s="6"/>
      <c r="J147" s="6"/>
    </row>
    <row r="148" spans="1:10">
      <c r="A148" s="6" t="s">
        <v>252</v>
      </c>
      <c r="B148" s="6"/>
      <c r="C148" s="6">
        <f>-81442.7</f>
        <v>-81442.7</v>
      </c>
      <c r="D148" s="6">
        <f>27408.45</f>
        <v>27408.45</v>
      </c>
      <c r="E148" s="6">
        <f>0</f>
        <v>0</v>
      </c>
      <c r="F148" s="6"/>
      <c r="G148" s="6" t="s">
        <v>253</v>
      </c>
      <c r="H148" s="6" t="s">
        <v>254</v>
      </c>
      <c r="I148" s="6"/>
      <c r="J148" s="6"/>
    </row>
    <row r="149" spans="1:10">
      <c r="A149" s="6" t="s">
        <v>255</v>
      </c>
      <c r="B149" s="6"/>
      <c r="C149" s="6">
        <f>0</f>
        <v>0</v>
      </c>
      <c r="D149" s="6">
        <f>5650</f>
        <v>5650</v>
      </c>
      <c r="E149" s="6">
        <f>0</f>
        <v>0</v>
      </c>
      <c r="F149" s="6"/>
      <c r="G149" s="6" t="s">
        <v>256</v>
      </c>
      <c r="H149" s="6" t="s">
        <v>257</v>
      </c>
      <c r="I149" s="6" t="s">
        <v>258</v>
      </c>
      <c r="J149" s="6" t="s">
        <v>259</v>
      </c>
    </row>
    <row r="150" spans="1:10">
      <c r="A150" s="6" t="s">
        <v>260</v>
      </c>
      <c r="B150" s="6"/>
      <c r="C150" s="6">
        <f>0</f>
        <v>0</v>
      </c>
      <c r="D150" s="6">
        <f>-3031.09</f>
        <v>-3031.09</v>
      </c>
      <c r="E150" s="6">
        <f>-3031.09</f>
        <v>-3031.09</v>
      </c>
      <c r="F150" s="6"/>
      <c r="G150" s="6" t="s">
        <v>261</v>
      </c>
      <c r="H150" s="6" t="s">
        <v>262</v>
      </c>
      <c r="I150" s="6"/>
      <c r="J150" s="6"/>
    </row>
    <row r="151" spans="1:10">
      <c r="A151" s="6" t="s">
        <v>263</v>
      </c>
      <c r="B151" s="6"/>
      <c r="C151" s="15">
        <f>0</f>
        <v>0</v>
      </c>
      <c r="D151" s="15">
        <f>-31090.44</f>
        <v>-31090.44</v>
      </c>
      <c r="E151" s="15">
        <f>-31090.44</f>
        <v>-31090.44</v>
      </c>
      <c r="F151" s="6"/>
      <c r="G151" s="6" t="s">
        <v>264</v>
      </c>
      <c r="H151" s="6" t="s">
        <v>265</v>
      </c>
      <c r="I151" s="6"/>
      <c r="J151" s="6"/>
    </row>
    <row r="152" spans="1:10">
      <c r="A152" s="6" t="s">
        <v>266</v>
      </c>
      <c r="B152" s="6"/>
      <c r="C152" s="6">
        <f>SUM(C147:C151)</f>
        <v>-81442.7</v>
      </c>
      <c r="D152" s="6">
        <f>SUM(D147:D151)</f>
        <v>-6960.9799999999959</v>
      </c>
      <c r="E152" s="6">
        <f>SUM(E147:E151)</f>
        <v>-34121.53</v>
      </c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 t="s">
        <v>267</v>
      </c>
      <c r="B155" s="6"/>
      <c r="C155" s="6">
        <f>0</f>
        <v>0</v>
      </c>
      <c r="D155" s="6">
        <f>57399.18</f>
        <v>57399.18</v>
      </c>
      <c r="E155" s="6">
        <f>57399.18</f>
        <v>57399.18</v>
      </c>
      <c r="F155" s="6"/>
      <c r="G155" s="6" t="s">
        <v>268</v>
      </c>
      <c r="H155" s="6" t="s">
        <v>269</v>
      </c>
      <c r="I155" s="6"/>
      <c r="J155" s="6"/>
    </row>
    <row r="156" spans="1:10">
      <c r="A156" s="6" t="s">
        <v>270</v>
      </c>
      <c r="B156" s="6"/>
      <c r="C156" s="6">
        <f>0</f>
        <v>0</v>
      </c>
      <c r="D156" s="6">
        <f>63712.95</f>
        <v>63712.95</v>
      </c>
      <c r="E156" s="6">
        <f>63712.95</f>
        <v>63712.95</v>
      </c>
      <c r="F156" s="6"/>
      <c r="G156" s="6" t="s">
        <v>271</v>
      </c>
      <c r="H156" s="6" t="s">
        <v>272</v>
      </c>
      <c r="I156" s="6"/>
      <c r="J156" s="6"/>
    </row>
    <row r="157" spans="1:10">
      <c r="A157" s="6" t="s">
        <v>273</v>
      </c>
      <c r="B157" s="6"/>
      <c r="C157" s="6">
        <f>0</f>
        <v>0</v>
      </c>
      <c r="D157" s="6">
        <f>92127.66</f>
        <v>92127.66</v>
      </c>
      <c r="E157" s="6">
        <f>92127.66</f>
        <v>92127.66</v>
      </c>
      <c r="F157" s="6"/>
      <c r="G157" s="6" t="s">
        <v>274</v>
      </c>
      <c r="H157" s="6" t="s">
        <v>275</v>
      </c>
      <c r="I157" s="6"/>
      <c r="J157" s="6"/>
    </row>
    <row r="158" spans="1:10">
      <c r="A158" s="6" t="s">
        <v>276</v>
      </c>
      <c r="B158" s="6"/>
      <c r="C158" s="6">
        <f>0</f>
        <v>0</v>
      </c>
      <c r="D158" s="6">
        <f>60000</f>
        <v>60000</v>
      </c>
      <c r="E158" s="6">
        <f>60000</f>
        <v>60000</v>
      </c>
      <c r="F158" s="6"/>
      <c r="G158" s="6" t="s">
        <v>277</v>
      </c>
      <c r="H158" s="6" t="s">
        <v>278</v>
      </c>
      <c r="I158" s="6"/>
      <c r="J158" s="6"/>
    </row>
    <row r="159" spans="1:10">
      <c r="A159" s="6" t="s">
        <v>279</v>
      </c>
      <c r="B159" s="6"/>
      <c r="C159" s="6">
        <f>0</f>
        <v>0</v>
      </c>
      <c r="D159" s="6">
        <f>869022.26</f>
        <v>869022.26</v>
      </c>
      <c r="E159" s="6">
        <f>869022.26</f>
        <v>869022.26</v>
      </c>
      <c r="F159" s="6"/>
      <c r="G159" s="6" t="s">
        <v>280</v>
      </c>
      <c r="H159" s="6" t="s">
        <v>281</v>
      </c>
      <c r="I159" s="6"/>
      <c r="J159" s="6"/>
    </row>
    <row r="160" spans="1:10">
      <c r="A160" s="6" t="s">
        <v>282</v>
      </c>
      <c r="B160" s="6"/>
      <c r="C160" s="6">
        <f>0</f>
        <v>0</v>
      </c>
      <c r="D160" s="6">
        <f>372104.27</f>
        <v>372104.27</v>
      </c>
      <c r="E160" s="6">
        <f>372104.27</f>
        <v>372104.27</v>
      </c>
      <c r="F160" s="6"/>
      <c r="G160" s="6" t="s">
        <v>283</v>
      </c>
      <c r="H160" s="6" t="s">
        <v>284</v>
      </c>
      <c r="I160" s="6"/>
      <c r="J160" s="6"/>
    </row>
    <row r="161" spans="1:10">
      <c r="A161" s="6" t="s">
        <v>285</v>
      </c>
      <c r="B161" s="6"/>
      <c r="C161" s="15">
        <f>3869.64</f>
        <v>3869.64</v>
      </c>
      <c r="D161" s="15">
        <f>373938.32</f>
        <v>373938.32</v>
      </c>
      <c r="E161" s="15">
        <f>367571.27</f>
        <v>367571.27</v>
      </c>
      <c r="F161" s="6"/>
      <c r="G161" s="6" t="s">
        <v>286</v>
      </c>
      <c r="H161" s="6" t="s">
        <v>287</v>
      </c>
      <c r="I161" s="6"/>
      <c r="J161" s="6"/>
    </row>
    <row r="162" spans="1:10">
      <c r="A162" s="6" t="s">
        <v>288</v>
      </c>
      <c r="B162" s="6"/>
      <c r="C162" s="6">
        <f>SUM(C155:C161)</f>
        <v>3869.64</v>
      </c>
      <c r="D162" s="6">
        <f>SUM(D155:D161)</f>
        <v>1888304.6400000001</v>
      </c>
      <c r="E162" s="6">
        <f>SUM(E155:E161)</f>
        <v>1881937.59</v>
      </c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 t="s">
        <v>289</v>
      </c>
      <c r="B165" s="6"/>
      <c r="C165" s="6">
        <f>-1591.67</f>
        <v>-1591.67</v>
      </c>
      <c r="D165" s="6">
        <f>-134995.52</f>
        <v>-134995.51999999999</v>
      </c>
      <c r="E165" s="6">
        <f>-123853.83</f>
        <v>-123853.83</v>
      </c>
      <c r="F165" s="6"/>
      <c r="G165" s="6" t="s">
        <v>290</v>
      </c>
      <c r="H165" s="6" t="s">
        <v>291</v>
      </c>
      <c r="I165" s="6"/>
      <c r="J165" s="6"/>
    </row>
    <row r="166" spans="1:10">
      <c r="A166" s="6" t="s">
        <v>292</v>
      </c>
      <c r="B166" s="6"/>
      <c r="C166" s="6">
        <f>-3425</f>
        <v>-3425</v>
      </c>
      <c r="D166" s="6">
        <f>-828635.8</f>
        <v>-828635.8</v>
      </c>
      <c r="E166" s="6">
        <f>-804660.8</f>
        <v>-804660.8</v>
      </c>
      <c r="F166" s="6"/>
      <c r="G166" s="6" t="s">
        <v>293</v>
      </c>
      <c r="H166" s="6" t="s">
        <v>294</v>
      </c>
      <c r="I166" s="6"/>
      <c r="J166" s="6"/>
    </row>
    <row r="167" spans="1:10">
      <c r="A167" s="6" t="s">
        <v>295</v>
      </c>
      <c r="B167" s="6"/>
      <c r="C167" s="6">
        <f>-6666.67</f>
        <v>-6666.67</v>
      </c>
      <c r="D167" s="6">
        <f>-344963.33</f>
        <v>-344963.33</v>
      </c>
      <c r="E167" s="6">
        <f>-298296.64</f>
        <v>-298296.64</v>
      </c>
      <c r="F167" s="6"/>
      <c r="G167" s="6" t="s">
        <v>296</v>
      </c>
      <c r="H167" s="6" t="s">
        <v>297</v>
      </c>
      <c r="I167" s="6"/>
      <c r="J167" s="6"/>
    </row>
    <row r="168" spans="1:10">
      <c r="A168" s="6" t="s">
        <v>298</v>
      </c>
      <c r="B168" s="6"/>
      <c r="C168" s="6">
        <f>-500</f>
        <v>-500</v>
      </c>
      <c r="D168" s="6">
        <f>-33500.01</f>
        <v>-33500.01</v>
      </c>
      <c r="E168" s="6">
        <f>-30000.01</f>
        <v>-30000.01</v>
      </c>
      <c r="F168" s="6"/>
      <c r="G168" s="6" t="s">
        <v>299</v>
      </c>
      <c r="H168" s="6" t="s">
        <v>300</v>
      </c>
      <c r="I168" s="6"/>
      <c r="J168" s="6"/>
    </row>
    <row r="169" spans="1:10">
      <c r="A169" s="6" t="s">
        <v>301</v>
      </c>
      <c r="B169" s="6"/>
      <c r="C169" s="15">
        <f>-733.34</f>
        <v>-733.34</v>
      </c>
      <c r="D169" s="15">
        <f>-91344.77</f>
        <v>-91344.77</v>
      </c>
      <c r="E169" s="15">
        <f>-86211.39</f>
        <v>-86211.39</v>
      </c>
      <c r="F169" s="6"/>
      <c r="G169" s="6" t="s">
        <v>302</v>
      </c>
      <c r="H169" s="6" t="s">
        <v>303</v>
      </c>
      <c r="I169" s="6"/>
      <c r="J169" s="6"/>
    </row>
    <row r="170" spans="1:10">
      <c r="A170" s="6" t="s">
        <v>304</v>
      </c>
      <c r="B170" s="6"/>
      <c r="C170" s="6">
        <f>SUM(C165:C169)</f>
        <v>-12916.68</v>
      </c>
      <c r="D170" s="6">
        <f>SUM(D165:D169)</f>
        <v>-1433439.4300000002</v>
      </c>
      <c r="E170" s="6">
        <f>SUM(E165:E169)</f>
        <v>-1343022.67</v>
      </c>
      <c r="F170" s="6"/>
      <c r="G170" s="6"/>
      <c r="H170" s="6"/>
      <c r="I170" s="6"/>
      <c r="J170" s="6"/>
    </row>
    <row r="171" spans="1:10">
      <c r="A171" s="6"/>
      <c r="B171" s="6"/>
      <c r="C171" s="26"/>
      <c r="D171" s="26"/>
      <c r="E171" s="26"/>
      <c r="F171" s="6"/>
      <c r="G171" s="6"/>
      <c r="H171" s="6"/>
      <c r="I171" s="6"/>
      <c r="J171" s="6"/>
    </row>
    <row r="172" spans="1:10">
      <c r="A172" s="6"/>
      <c r="B172" s="6"/>
      <c r="C172" s="26"/>
      <c r="D172" s="26"/>
      <c r="E172" s="26"/>
      <c r="F172" s="6"/>
      <c r="G172" s="6"/>
      <c r="H172" s="6"/>
      <c r="I172" s="6"/>
      <c r="J172" s="6"/>
    </row>
    <row r="173" spans="1:10">
      <c r="A173" s="6" t="s">
        <v>305</v>
      </c>
      <c r="B173" s="6"/>
      <c r="C173" s="6">
        <f>0</f>
        <v>0</v>
      </c>
      <c r="D173" s="6">
        <f>394974.85</f>
        <v>394974.85</v>
      </c>
      <c r="E173" s="6">
        <f>394974.85</f>
        <v>394974.85</v>
      </c>
      <c r="F173" s="6"/>
      <c r="G173" s="6" t="s">
        <v>306</v>
      </c>
      <c r="H173" s="6" t="s">
        <v>307</v>
      </c>
      <c r="I173" s="6"/>
      <c r="J173" s="6"/>
    </row>
    <row r="174" spans="1:10">
      <c r="A174" s="6" t="s">
        <v>308</v>
      </c>
      <c r="B174" s="6"/>
      <c r="C174" s="15">
        <f>0</f>
        <v>0</v>
      </c>
      <c r="D174" s="15">
        <f>-385887.45</f>
        <v>-385887.45</v>
      </c>
      <c r="E174" s="15">
        <f>-385887.45</f>
        <v>-385887.45</v>
      </c>
      <c r="F174" s="6"/>
      <c r="G174" s="6" t="s">
        <v>309</v>
      </c>
      <c r="H174" s="6" t="s">
        <v>310</v>
      </c>
      <c r="I174" s="6"/>
      <c r="J174" s="6"/>
    </row>
    <row r="175" spans="1:10">
      <c r="A175" s="6" t="s">
        <v>311</v>
      </c>
      <c r="B175" s="6"/>
      <c r="C175" s="6">
        <f>SUM(C173:C174)</f>
        <v>0</v>
      </c>
      <c r="D175" s="6">
        <f>SUM(D173:D174)</f>
        <v>9087.3999999999651</v>
      </c>
      <c r="E175" s="6">
        <f>SUM(E173:E174)</f>
        <v>9087.3999999999651</v>
      </c>
      <c r="F175" s="6"/>
      <c r="G175" s="6"/>
      <c r="H175" s="6"/>
      <c r="I175" s="6"/>
      <c r="J175" s="6"/>
    </row>
    <row r="176" spans="1:10">
      <c r="A176" s="6"/>
      <c r="B176" s="6"/>
      <c r="C176" s="26"/>
      <c r="D176" s="26"/>
      <c r="E176" s="26"/>
      <c r="F176" s="6"/>
      <c r="G176" s="6"/>
      <c r="H176" s="6"/>
      <c r="I176" s="6"/>
      <c r="J176" s="6"/>
    </row>
    <row r="177" spans="1:10">
      <c r="A177" s="6"/>
      <c r="B177" s="6"/>
      <c r="C177" s="26"/>
      <c r="D177" s="26"/>
      <c r="E177" s="26"/>
      <c r="F177" s="6"/>
      <c r="G177" s="6"/>
      <c r="H177" s="6"/>
      <c r="I177" s="6"/>
      <c r="J177" s="6"/>
    </row>
    <row r="178" spans="1:10" ht="12" thickBot="1">
      <c r="A178" s="27" t="s">
        <v>312</v>
      </c>
      <c r="B178" s="6"/>
      <c r="C178" s="16">
        <f>C83+C96+C114+C132+C139+C144+C152+C162+C170+C175</f>
        <v>-366395.69</v>
      </c>
      <c r="D178" s="16">
        <f>D83+D96+D114+D132+D139+D144+D152+D162+D170+D175</f>
        <v>3853714.5199999996</v>
      </c>
      <c r="E178" s="16">
        <f>E83+E96+E114+E132+E139+E144+E152+E162+E170+E175</f>
        <v>3828597.9</v>
      </c>
      <c r="F178" s="6"/>
      <c r="G178" s="6"/>
      <c r="H178" s="6"/>
      <c r="I178" s="6"/>
      <c r="J178" s="6"/>
    </row>
    <row r="179" spans="1:10" ht="12" thickTop="1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>
      <c r="A181" s="25" t="s">
        <v>313</v>
      </c>
      <c r="B181" s="6"/>
      <c r="C181" s="6"/>
      <c r="D181" s="6"/>
      <c r="E181" s="6"/>
      <c r="F181" s="6"/>
      <c r="G181" s="6"/>
      <c r="H181" s="6"/>
      <c r="I181" s="6"/>
      <c r="J181" s="6"/>
    </row>
    <row r="182" spans="1:10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>
      <c r="A183" s="6" t="s">
        <v>314</v>
      </c>
      <c r="B183" s="6"/>
      <c r="C183" s="6">
        <f>12654.77</f>
        <v>12654.77</v>
      </c>
      <c r="D183" s="6">
        <f>33994.93</f>
        <v>33994.93</v>
      </c>
      <c r="E183" s="6">
        <f>93119.64</f>
        <v>93119.64</v>
      </c>
      <c r="F183" s="6"/>
      <c r="G183" s="6" t="s">
        <v>315</v>
      </c>
      <c r="H183" s="6" t="s">
        <v>316</v>
      </c>
      <c r="I183" s="6"/>
      <c r="J183" s="6"/>
    </row>
    <row r="184" spans="1:10">
      <c r="A184" s="6" t="s">
        <v>317</v>
      </c>
      <c r="B184" s="6"/>
      <c r="C184" s="6">
        <f>0</f>
        <v>0</v>
      </c>
      <c r="D184" s="6">
        <f>466.5</f>
        <v>466.5</v>
      </c>
      <c r="E184" s="6">
        <f>174.5</f>
        <v>174.5</v>
      </c>
      <c r="F184" s="6"/>
      <c r="G184" s="6" t="s">
        <v>318</v>
      </c>
      <c r="H184" s="6" t="s">
        <v>319</v>
      </c>
      <c r="I184" s="6"/>
      <c r="J184" s="6"/>
    </row>
    <row r="185" spans="1:10">
      <c r="A185" s="6" t="s">
        <v>320</v>
      </c>
      <c r="B185" s="6"/>
      <c r="C185" s="6">
        <f>-500</f>
        <v>-500</v>
      </c>
      <c r="D185" s="6">
        <f>2680</f>
        <v>2680</v>
      </c>
      <c r="E185" s="6">
        <f>3630</f>
        <v>3630</v>
      </c>
      <c r="F185" s="6"/>
      <c r="G185" s="6" t="s">
        <v>321</v>
      </c>
      <c r="H185" s="6" t="s">
        <v>322</v>
      </c>
      <c r="I185" s="6"/>
      <c r="J185" s="6"/>
    </row>
    <row r="186" spans="1:10">
      <c r="A186" s="6" t="s">
        <v>323</v>
      </c>
      <c r="B186" s="6"/>
      <c r="C186" s="6">
        <f>0</f>
        <v>0</v>
      </c>
      <c r="D186" s="6">
        <f>0</f>
        <v>0</v>
      </c>
      <c r="E186" s="6">
        <f>34750</f>
        <v>34750</v>
      </c>
      <c r="F186" s="6"/>
      <c r="G186" s="6" t="s">
        <v>324</v>
      </c>
      <c r="H186" s="6" t="s">
        <v>325</v>
      </c>
      <c r="I186" s="6"/>
      <c r="J186" s="6"/>
    </row>
    <row r="187" spans="1:10">
      <c r="A187" s="6" t="s">
        <v>326</v>
      </c>
      <c r="B187" s="6"/>
      <c r="C187" s="6">
        <f>-9626.55</f>
        <v>-9626.5499999999993</v>
      </c>
      <c r="D187" s="6">
        <f>0</f>
        <v>0</v>
      </c>
      <c r="E187" s="6">
        <f>0</f>
        <v>0</v>
      </c>
      <c r="F187" s="6"/>
      <c r="G187" s="6" t="s">
        <v>327</v>
      </c>
      <c r="H187" s="6" t="s">
        <v>328</v>
      </c>
      <c r="I187" s="6"/>
      <c r="J187" s="6"/>
    </row>
    <row r="188" spans="1:10">
      <c r="A188" s="6" t="s">
        <v>329</v>
      </c>
      <c r="B188" s="6"/>
      <c r="C188" s="6">
        <f>-2230</f>
        <v>-2230</v>
      </c>
      <c r="D188" s="6">
        <f>0</f>
        <v>0</v>
      </c>
      <c r="E188" s="6">
        <f>0</f>
        <v>0</v>
      </c>
      <c r="F188" s="6"/>
      <c r="G188" s="6" t="s">
        <v>330</v>
      </c>
      <c r="H188" s="6" t="s">
        <v>331</v>
      </c>
      <c r="I188" s="6"/>
      <c r="J188" s="6"/>
    </row>
    <row r="189" spans="1:10">
      <c r="A189" s="6" t="s">
        <v>332</v>
      </c>
      <c r="B189" s="6"/>
      <c r="C189" s="6">
        <f>-117.47</f>
        <v>-117.47</v>
      </c>
      <c r="D189" s="6">
        <f>0</f>
        <v>0</v>
      </c>
      <c r="E189" s="6">
        <f>0</f>
        <v>0</v>
      </c>
      <c r="F189" s="6"/>
      <c r="G189" s="6" t="s">
        <v>333</v>
      </c>
      <c r="H189" s="6" t="s">
        <v>334</v>
      </c>
      <c r="I189" s="6"/>
      <c r="J189" s="6"/>
    </row>
    <row r="190" spans="1:10">
      <c r="A190" s="6" t="s">
        <v>329</v>
      </c>
      <c r="B190" s="6"/>
      <c r="C190" s="6">
        <f>-497.05</f>
        <v>-497.05</v>
      </c>
      <c r="D190" s="6">
        <f>0</f>
        <v>0</v>
      </c>
      <c r="E190" s="6">
        <f>0</f>
        <v>0</v>
      </c>
      <c r="F190" s="6"/>
      <c r="G190" s="6" t="s">
        <v>335</v>
      </c>
      <c r="H190" s="6" t="s">
        <v>336</v>
      </c>
      <c r="I190" s="6"/>
      <c r="J190" s="6"/>
    </row>
    <row r="191" spans="1:10">
      <c r="A191" s="6" t="s">
        <v>337</v>
      </c>
      <c r="B191" s="6"/>
      <c r="C191" s="6">
        <f>-25513.8</f>
        <v>-25513.8</v>
      </c>
      <c r="D191" s="6">
        <f>0</f>
        <v>0</v>
      </c>
      <c r="E191" s="6">
        <f>-0.01</f>
        <v>-0.01</v>
      </c>
      <c r="F191" s="6"/>
      <c r="G191" s="6" t="s">
        <v>338</v>
      </c>
      <c r="H191" s="6" t="s">
        <v>339</v>
      </c>
      <c r="I191" s="6"/>
      <c r="J191" s="6"/>
    </row>
    <row r="192" spans="1:10">
      <c r="A192" s="6" t="s">
        <v>340</v>
      </c>
      <c r="B192" s="6"/>
      <c r="C192" s="6">
        <f>-2592.5</f>
        <v>-2592.5</v>
      </c>
      <c r="D192" s="6">
        <f>442.5</f>
        <v>442.5</v>
      </c>
      <c r="E192" s="6">
        <f>0</f>
        <v>0</v>
      </c>
      <c r="F192" s="6"/>
      <c r="G192" s="6" t="s">
        <v>341</v>
      </c>
      <c r="H192" s="6" t="s">
        <v>342</v>
      </c>
      <c r="I192" s="6"/>
      <c r="J192" s="6"/>
    </row>
    <row r="193" spans="1:10">
      <c r="A193" s="6" t="s">
        <v>343</v>
      </c>
      <c r="B193" s="6"/>
      <c r="C193" s="6">
        <f>2072.5</f>
        <v>2072.5</v>
      </c>
      <c r="D193" s="6">
        <f>7397.5</f>
        <v>7397.5</v>
      </c>
      <c r="E193" s="6">
        <f>0</f>
        <v>0</v>
      </c>
      <c r="F193" s="6"/>
      <c r="G193" s="6" t="s">
        <v>344</v>
      </c>
      <c r="H193" s="6" t="s">
        <v>345</v>
      </c>
      <c r="I193" s="6"/>
      <c r="J193" s="6"/>
    </row>
    <row r="194" spans="1:10">
      <c r="A194" s="6" t="s">
        <v>346</v>
      </c>
      <c r="B194" s="6"/>
      <c r="C194" s="6">
        <f>196</f>
        <v>196</v>
      </c>
      <c r="D194" s="6">
        <f>672</f>
        <v>672</v>
      </c>
      <c r="E194" s="6">
        <f>0</f>
        <v>0</v>
      </c>
      <c r="F194" s="6"/>
      <c r="G194" s="6" t="s">
        <v>347</v>
      </c>
      <c r="H194" s="6" t="s">
        <v>348</v>
      </c>
      <c r="I194" s="6"/>
      <c r="J194" s="6"/>
    </row>
    <row r="195" spans="1:10">
      <c r="A195" s="6" t="s">
        <v>349</v>
      </c>
      <c r="B195" s="6"/>
      <c r="C195" s="6">
        <f>0</f>
        <v>0</v>
      </c>
      <c r="D195" s="6">
        <f>0</f>
        <v>0</v>
      </c>
      <c r="E195" s="6">
        <f>0</f>
        <v>0</v>
      </c>
      <c r="F195" s="6"/>
      <c r="G195" s="6" t="s">
        <v>350</v>
      </c>
      <c r="H195" s="6" t="s">
        <v>351</v>
      </c>
      <c r="I195" s="6"/>
      <c r="J195" s="6"/>
    </row>
    <row r="196" spans="1:10">
      <c r="A196" s="6" t="s">
        <v>352</v>
      </c>
      <c r="B196" s="6"/>
      <c r="C196" s="6">
        <f>883.34</f>
        <v>883.34</v>
      </c>
      <c r="D196" s="6">
        <f>2673.34</f>
        <v>2673.34</v>
      </c>
      <c r="E196" s="6">
        <f>0</f>
        <v>0</v>
      </c>
      <c r="F196" s="6"/>
      <c r="G196" s="6" t="s">
        <v>353</v>
      </c>
      <c r="H196" s="6" t="s">
        <v>354</v>
      </c>
      <c r="I196" s="6"/>
      <c r="J196" s="6"/>
    </row>
    <row r="197" spans="1:10">
      <c r="A197" s="6" t="s">
        <v>355</v>
      </c>
      <c r="B197" s="6"/>
      <c r="C197" s="6">
        <f>1025.85</f>
        <v>1025.8499999999999</v>
      </c>
      <c r="D197" s="6">
        <f>4282.38</f>
        <v>4282.38</v>
      </c>
      <c r="E197" s="6">
        <f>0</f>
        <v>0</v>
      </c>
      <c r="F197" s="6"/>
      <c r="G197" s="6" t="s">
        <v>356</v>
      </c>
      <c r="H197" s="6" t="s">
        <v>357</v>
      </c>
      <c r="I197" s="6"/>
      <c r="J197" s="6"/>
    </row>
    <row r="198" spans="1:10">
      <c r="A198" s="6" t="s">
        <v>358</v>
      </c>
      <c r="B198" s="6"/>
      <c r="C198" s="15">
        <f>0</f>
        <v>0</v>
      </c>
      <c r="D198" s="15">
        <f>0</f>
        <v>0</v>
      </c>
      <c r="E198" s="15">
        <f>0</f>
        <v>0</v>
      </c>
      <c r="F198" s="6"/>
      <c r="G198" s="6" t="s">
        <v>359</v>
      </c>
      <c r="H198" s="6" t="s">
        <v>360</v>
      </c>
      <c r="I198" s="6"/>
      <c r="J198" s="6"/>
    </row>
    <row r="199" spans="1:10">
      <c r="A199" s="6" t="s">
        <v>361</v>
      </c>
      <c r="B199" s="6"/>
      <c r="C199" s="6">
        <f>SUM(C182:C198)</f>
        <v>-24244.91</v>
      </c>
      <c r="D199" s="6">
        <f>SUM(D182:D198)</f>
        <v>52609.15</v>
      </c>
      <c r="E199" s="6">
        <f>SUM(E182:E198)</f>
        <v>131674.13</v>
      </c>
      <c r="F199" s="6"/>
      <c r="G199" s="6"/>
      <c r="H199" s="6"/>
      <c r="I199" s="6"/>
      <c r="J199" s="6"/>
    </row>
    <row r="200" spans="1:1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>
      <c r="A202" s="6" t="s">
        <v>362</v>
      </c>
      <c r="B202" s="6"/>
      <c r="C202" s="6">
        <f>0</f>
        <v>0</v>
      </c>
      <c r="D202" s="6">
        <f>-23311.4</f>
        <v>-23311.4</v>
      </c>
      <c r="E202" s="6">
        <f>88491.5</f>
        <v>88491.5</v>
      </c>
      <c r="F202" s="6"/>
      <c r="G202" s="6" t="s">
        <v>363</v>
      </c>
      <c r="H202" s="6" t="s">
        <v>364</v>
      </c>
      <c r="I202" s="6"/>
      <c r="J202" s="6"/>
    </row>
    <row r="203" spans="1:10">
      <c r="A203" s="6" t="s">
        <v>365</v>
      </c>
      <c r="B203" s="6"/>
      <c r="C203" s="6">
        <f>0</f>
        <v>0</v>
      </c>
      <c r="D203" s="6">
        <f>75339.17</f>
        <v>75339.17</v>
      </c>
      <c r="E203" s="6">
        <f>79458.15</f>
        <v>79458.149999999994</v>
      </c>
      <c r="F203" s="6"/>
      <c r="G203" s="6" t="s">
        <v>366</v>
      </c>
      <c r="H203" s="6" t="s">
        <v>367</v>
      </c>
      <c r="I203" s="6"/>
      <c r="J203" s="6"/>
    </row>
    <row r="204" spans="1:10">
      <c r="A204" s="6" t="s">
        <v>368</v>
      </c>
      <c r="B204" s="6"/>
      <c r="C204" s="6">
        <f>0</f>
        <v>0</v>
      </c>
      <c r="D204" s="6">
        <f>1017.8</f>
        <v>1017.8</v>
      </c>
      <c r="E204" s="6">
        <f>1017.8</f>
        <v>1017.8</v>
      </c>
      <c r="F204" s="6"/>
      <c r="G204" s="6" t="s">
        <v>369</v>
      </c>
      <c r="H204" s="6" t="s">
        <v>370</v>
      </c>
      <c r="I204" s="6"/>
      <c r="J204" s="6"/>
    </row>
    <row r="205" spans="1:10">
      <c r="A205" s="6" t="s">
        <v>371</v>
      </c>
      <c r="B205" s="6"/>
      <c r="C205" s="6">
        <f>0</f>
        <v>0</v>
      </c>
      <c r="D205" s="6">
        <f>210.15</f>
        <v>210.15</v>
      </c>
      <c r="E205" s="6">
        <f>210.15</f>
        <v>210.15</v>
      </c>
      <c r="F205" s="6"/>
      <c r="G205" s="6" t="s">
        <v>372</v>
      </c>
      <c r="H205" s="6" t="s">
        <v>373</v>
      </c>
      <c r="I205" s="6"/>
      <c r="J205" s="6"/>
    </row>
    <row r="206" spans="1:10">
      <c r="A206" s="6" t="s">
        <v>374</v>
      </c>
      <c r="B206" s="6"/>
      <c r="C206" s="6">
        <f>0</f>
        <v>0</v>
      </c>
      <c r="D206" s="6">
        <f>922</f>
        <v>922</v>
      </c>
      <c r="E206" s="6">
        <f>922</f>
        <v>922</v>
      </c>
      <c r="F206" s="6"/>
      <c r="G206" s="6" t="s">
        <v>375</v>
      </c>
      <c r="H206" s="6" t="s">
        <v>376</v>
      </c>
      <c r="I206" s="6"/>
      <c r="J206" s="6"/>
    </row>
    <row r="207" spans="1:10">
      <c r="A207" s="6" t="s">
        <v>377</v>
      </c>
      <c r="B207" s="6"/>
      <c r="C207" s="6">
        <f>0</f>
        <v>0</v>
      </c>
      <c r="D207" s="6">
        <f>0</f>
        <v>0</v>
      </c>
      <c r="E207" s="6">
        <f>0</f>
        <v>0</v>
      </c>
      <c r="F207" s="6"/>
      <c r="G207" s="6" t="s">
        <v>378</v>
      </c>
      <c r="H207" s="6" t="s">
        <v>379</v>
      </c>
      <c r="I207" s="6"/>
      <c r="J207" s="6"/>
    </row>
    <row r="208" spans="1:10">
      <c r="A208" s="6" t="s">
        <v>380</v>
      </c>
      <c r="B208" s="6"/>
      <c r="C208" s="15">
        <f>833.34</f>
        <v>833.34</v>
      </c>
      <c r="D208" s="15">
        <f>26666.84</f>
        <v>26666.84</v>
      </c>
      <c r="E208" s="15">
        <f>20833.46</f>
        <v>20833.46</v>
      </c>
      <c r="F208" s="6"/>
      <c r="G208" s="6" t="s">
        <v>381</v>
      </c>
      <c r="H208" s="6" t="s">
        <v>382</v>
      </c>
      <c r="I208" s="6"/>
      <c r="J208" s="6"/>
    </row>
    <row r="209" spans="1:10">
      <c r="A209" s="6" t="s">
        <v>383</v>
      </c>
      <c r="B209" s="6"/>
      <c r="C209" s="6">
        <f>SUM(C202:C208)</f>
        <v>833.34</v>
      </c>
      <c r="D209" s="6">
        <f>SUM(D202:D208)</f>
        <v>80844.56</v>
      </c>
      <c r="E209" s="6">
        <f>SUM(E202:E208)</f>
        <v>190933.05999999997</v>
      </c>
      <c r="F209" s="6"/>
      <c r="G209" s="6"/>
      <c r="H209" s="6"/>
      <c r="I209" s="6"/>
      <c r="J209" s="6"/>
    </row>
    <row r="210" spans="1: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>
      <c r="A212" s="6" t="s">
        <v>384</v>
      </c>
      <c r="B212" s="6"/>
      <c r="C212" s="6"/>
      <c r="D212" s="6"/>
      <c r="E212" s="6"/>
      <c r="F212" s="6"/>
      <c r="G212" s="6"/>
      <c r="H212" s="6"/>
      <c r="I212" s="6"/>
      <c r="J212" s="6"/>
    </row>
    <row r="213" spans="1:10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>
      <c r="A214" s="6" t="s">
        <v>385</v>
      </c>
      <c r="B214" s="6"/>
      <c r="C214" s="6">
        <f>-5000</f>
        <v>-5000</v>
      </c>
      <c r="D214" s="6">
        <f>16720.88</f>
        <v>16720.88</v>
      </c>
      <c r="E214" s="6">
        <f>25881.72</f>
        <v>25881.72</v>
      </c>
      <c r="F214" s="6"/>
      <c r="G214" s="6" t="s">
        <v>386</v>
      </c>
      <c r="H214" s="6" t="s">
        <v>387</v>
      </c>
      <c r="I214" s="6"/>
      <c r="J214" s="6"/>
    </row>
    <row r="215" spans="1:10">
      <c r="A215" s="6" t="s">
        <v>388</v>
      </c>
      <c r="B215" s="6"/>
      <c r="C215" s="6">
        <f>0</f>
        <v>0</v>
      </c>
      <c r="D215" s="6">
        <f>5113.34</f>
        <v>5113.34</v>
      </c>
      <c r="E215" s="6">
        <f>5113.34</f>
        <v>5113.34</v>
      </c>
      <c r="F215" s="6"/>
      <c r="G215" s="6" t="s">
        <v>389</v>
      </c>
      <c r="H215" s="6" t="s">
        <v>390</v>
      </c>
      <c r="I215" s="6"/>
      <c r="J215" s="6"/>
    </row>
    <row r="216" spans="1:10">
      <c r="A216" s="6" t="s">
        <v>391</v>
      </c>
      <c r="B216" s="6"/>
      <c r="C216" s="6">
        <f>0</f>
        <v>0</v>
      </c>
      <c r="D216" s="6">
        <f>5229.26</f>
        <v>5229.26</v>
      </c>
      <c r="E216" s="6">
        <f>5229.26</f>
        <v>5229.26</v>
      </c>
      <c r="F216" s="6"/>
      <c r="G216" s="6" t="s">
        <v>392</v>
      </c>
      <c r="H216" s="6" t="s">
        <v>393</v>
      </c>
      <c r="I216" s="6"/>
      <c r="J216" s="6"/>
    </row>
    <row r="217" spans="1:10">
      <c r="A217" s="6" t="s">
        <v>394</v>
      </c>
      <c r="B217" s="6"/>
      <c r="C217" s="6">
        <f>0</f>
        <v>0</v>
      </c>
      <c r="D217" s="6">
        <f>0</f>
        <v>0</v>
      </c>
      <c r="E217" s="6">
        <f>0</f>
        <v>0</v>
      </c>
      <c r="F217" s="6"/>
      <c r="G217" s="6" t="s">
        <v>395</v>
      </c>
      <c r="H217" s="6" t="s">
        <v>396</v>
      </c>
      <c r="I217" s="6"/>
      <c r="J217" s="6"/>
    </row>
    <row r="218" spans="1:10">
      <c r="A218" s="6" t="s">
        <v>397</v>
      </c>
      <c r="B218" s="6"/>
      <c r="C218" s="6">
        <f>0</f>
        <v>0</v>
      </c>
      <c r="D218" s="6">
        <f>0</f>
        <v>0</v>
      </c>
      <c r="E218" s="6">
        <f>0</f>
        <v>0</v>
      </c>
      <c r="F218" s="6"/>
      <c r="G218" s="6" t="s">
        <v>398</v>
      </c>
      <c r="H218" s="6" t="s">
        <v>399</v>
      </c>
      <c r="I218" s="6"/>
      <c r="J218" s="6"/>
    </row>
    <row r="219" spans="1:10">
      <c r="A219" s="6" t="s">
        <v>400</v>
      </c>
      <c r="B219" s="6"/>
      <c r="C219" s="6">
        <f>0</f>
        <v>0</v>
      </c>
      <c r="D219" s="6">
        <f>25112.02</f>
        <v>25112.02</v>
      </c>
      <c r="E219" s="6">
        <f>25112.02</f>
        <v>25112.02</v>
      </c>
      <c r="F219" s="6"/>
      <c r="G219" s="6" t="s">
        <v>401</v>
      </c>
      <c r="H219" s="6" t="s">
        <v>402</v>
      </c>
      <c r="I219" s="6"/>
      <c r="J219" s="6"/>
    </row>
    <row r="220" spans="1:10">
      <c r="A220" s="6" t="s">
        <v>403</v>
      </c>
      <c r="B220" s="6"/>
      <c r="C220" s="15">
        <f>0</f>
        <v>0</v>
      </c>
      <c r="D220" s="15">
        <f>5037.5</f>
        <v>5037.5</v>
      </c>
      <c r="E220" s="15">
        <f>5037.5</f>
        <v>5037.5</v>
      </c>
      <c r="F220" s="6"/>
      <c r="G220" s="6" t="s">
        <v>404</v>
      </c>
      <c r="H220" s="6" t="s">
        <v>405</v>
      </c>
      <c r="I220" s="6"/>
      <c r="J220" s="6"/>
    </row>
    <row r="221" spans="1:10">
      <c r="A221" s="6" t="s">
        <v>406</v>
      </c>
      <c r="B221" s="6"/>
      <c r="C221" s="15">
        <f>SUM(C213:C220)</f>
        <v>-5000</v>
      </c>
      <c r="D221" s="15">
        <f>SUM(D213:D220)</f>
        <v>57213</v>
      </c>
      <c r="E221" s="15">
        <f>SUM(E213:E220)</f>
        <v>66373.84</v>
      </c>
      <c r="F221" s="6"/>
      <c r="G221" s="6"/>
      <c r="H221" s="6"/>
      <c r="I221" s="6"/>
      <c r="J221" s="6"/>
    </row>
    <row r="222" spans="1:10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>
      <c r="A223" s="6"/>
      <c r="B223" s="6"/>
      <c r="C223" s="26"/>
      <c r="D223" s="26"/>
      <c r="E223" s="26"/>
      <c r="F223" s="6"/>
      <c r="G223" s="6"/>
      <c r="H223" s="6"/>
      <c r="I223" s="6"/>
      <c r="J223" s="6"/>
    </row>
    <row r="224" spans="1:10">
      <c r="A224" s="6" t="s">
        <v>407</v>
      </c>
      <c r="B224" s="6"/>
      <c r="C224" s="6"/>
      <c r="D224" s="6"/>
      <c r="E224" s="6"/>
      <c r="F224" s="6"/>
      <c r="G224" s="6"/>
      <c r="H224" s="6"/>
      <c r="I224" s="6"/>
      <c r="J224" s="6"/>
    </row>
    <row r="225" spans="1:10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>
      <c r="A226" s="6" t="s">
        <v>408</v>
      </c>
      <c r="B226" s="6"/>
      <c r="C226" s="6">
        <f>0</f>
        <v>0</v>
      </c>
      <c r="D226" s="6">
        <f>2654</f>
        <v>2654</v>
      </c>
      <c r="E226" s="6">
        <f>2654</f>
        <v>2654</v>
      </c>
      <c r="F226" s="6"/>
      <c r="G226" s="6" t="s">
        <v>409</v>
      </c>
      <c r="H226" s="6" t="s">
        <v>410</v>
      </c>
      <c r="I226" s="6"/>
      <c r="J226" s="6"/>
    </row>
    <row r="227" spans="1:10">
      <c r="A227" s="6" t="s">
        <v>411</v>
      </c>
      <c r="B227" s="6"/>
      <c r="C227" s="6">
        <f>0</f>
        <v>0</v>
      </c>
      <c r="D227" s="6">
        <f>2614.63</f>
        <v>2614.63</v>
      </c>
      <c r="E227" s="6">
        <f>2614.63</f>
        <v>2614.63</v>
      </c>
      <c r="F227" s="6"/>
      <c r="G227" s="6" t="s">
        <v>412</v>
      </c>
      <c r="H227" s="6" t="s">
        <v>413</v>
      </c>
      <c r="I227" s="6"/>
      <c r="J227" s="6"/>
    </row>
    <row r="228" spans="1:10">
      <c r="A228" s="6" t="s">
        <v>414</v>
      </c>
      <c r="B228" s="6"/>
      <c r="C228" s="6">
        <f>0</f>
        <v>0</v>
      </c>
      <c r="D228" s="6">
        <f>2595.17</f>
        <v>2595.17</v>
      </c>
      <c r="E228" s="6">
        <f>2595.17</f>
        <v>2595.17</v>
      </c>
      <c r="F228" s="6"/>
      <c r="G228" s="6" t="s">
        <v>415</v>
      </c>
      <c r="H228" s="6" t="s">
        <v>416</v>
      </c>
      <c r="I228" s="6"/>
      <c r="J228" s="6"/>
    </row>
    <row r="229" spans="1:10">
      <c r="A229" s="6" t="s">
        <v>417</v>
      </c>
      <c r="B229" s="6"/>
      <c r="C229" s="6">
        <f>0</f>
        <v>0</v>
      </c>
      <c r="D229" s="6">
        <f t="shared" ref="D229:E231" si="0">2575.85</f>
        <v>2575.85</v>
      </c>
      <c r="E229" s="6">
        <f t="shared" si="0"/>
        <v>2575.85</v>
      </c>
      <c r="F229" s="6"/>
      <c r="G229" s="6" t="s">
        <v>418</v>
      </c>
      <c r="H229" s="6" t="s">
        <v>419</v>
      </c>
      <c r="I229" s="6"/>
      <c r="J229" s="6"/>
    </row>
    <row r="230" spans="1:10">
      <c r="A230" s="6" t="s">
        <v>420</v>
      </c>
      <c r="B230" s="6"/>
      <c r="C230" s="6">
        <f>0</f>
        <v>0</v>
      </c>
      <c r="D230" s="6">
        <f t="shared" si="0"/>
        <v>2575.85</v>
      </c>
      <c r="E230" s="6">
        <f t="shared" si="0"/>
        <v>2575.85</v>
      </c>
      <c r="F230" s="6"/>
      <c r="G230" s="6" t="s">
        <v>421</v>
      </c>
      <c r="H230" s="6" t="s">
        <v>422</v>
      </c>
      <c r="I230" s="6"/>
      <c r="J230" s="6"/>
    </row>
    <row r="231" spans="1:10">
      <c r="A231" s="6" t="s">
        <v>423</v>
      </c>
      <c r="B231" s="6"/>
      <c r="C231" s="6">
        <f>0</f>
        <v>0</v>
      </c>
      <c r="D231" s="6">
        <f t="shared" si="0"/>
        <v>2575.85</v>
      </c>
      <c r="E231" s="6">
        <f t="shared" si="0"/>
        <v>2575.85</v>
      </c>
      <c r="F231" s="6"/>
      <c r="G231" s="6" t="s">
        <v>424</v>
      </c>
      <c r="H231" s="6" t="s">
        <v>425</v>
      </c>
      <c r="I231" s="6"/>
      <c r="J231" s="6"/>
    </row>
    <row r="232" spans="1:10">
      <c r="A232" s="6" t="s">
        <v>426</v>
      </c>
      <c r="B232" s="6"/>
      <c r="C232" s="6">
        <f>0</f>
        <v>0</v>
      </c>
      <c r="D232" s="6">
        <f>2561.79</f>
        <v>2561.79</v>
      </c>
      <c r="E232" s="6">
        <f>2561.79</f>
        <v>2561.79</v>
      </c>
      <c r="F232" s="6"/>
      <c r="G232" s="6" t="s">
        <v>427</v>
      </c>
      <c r="H232" s="6" t="s">
        <v>428</v>
      </c>
      <c r="I232" s="6"/>
      <c r="J232" s="6"/>
    </row>
    <row r="233" spans="1:10">
      <c r="A233" s="6" t="s">
        <v>429</v>
      </c>
      <c r="B233" s="6"/>
      <c r="C233" s="6">
        <f>0</f>
        <v>0</v>
      </c>
      <c r="D233" s="6">
        <f>2514.93</f>
        <v>2514.9299999999998</v>
      </c>
      <c r="E233" s="6">
        <f>2514.93</f>
        <v>2514.9299999999998</v>
      </c>
      <c r="F233" s="6"/>
      <c r="G233" s="6" t="s">
        <v>430</v>
      </c>
      <c r="H233" s="6" t="s">
        <v>431</v>
      </c>
      <c r="I233" s="6"/>
      <c r="J233" s="6"/>
    </row>
    <row r="234" spans="1:10">
      <c r="A234" s="6" t="s">
        <v>432</v>
      </c>
      <c r="B234" s="6"/>
      <c r="C234" s="6">
        <f>0</f>
        <v>0</v>
      </c>
      <c r="D234" s="6">
        <f>2506.32</f>
        <v>2506.3200000000002</v>
      </c>
      <c r="E234" s="6">
        <f>2506.32</f>
        <v>2506.3200000000002</v>
      </c>
      <c r="F234" s="6"/>
      <c r="G234" s="6" t="s">
        <v>433</v>
      </c>
      <c r="H234" s="6" t="s">
        <v>434</v>
      </c>
      <c r="I234" s="6"/>
      <c r="J234" s="6"/>
    </row>
    <row r="235" spans="1:10">
      <c r="A235" s="6" t="s">
        <v>435</v>
      </c>
      <c r="B235" s="6"/>
      <c r="C235" s="6">
        <f>0</f>
        <v>0</v>
      </c>
      <c r="D235" s="6">
        <f>2500</f>
        <v>2500</v>
      </c>
      <c r="E235" s="6">
        <f>0</f>
        <v>0</v>
      </c>
      <c r="F235" s="6"/>
      <c r="G235" s="6" t="s">
        <v>436</v>
      </c>
      <c r="H235" s="6" t="s">
        <v>437</v>
      </c>
      <c r="I235" s="6"/>
      <c r="J235" s="6"/>
    </row>
    <row r="236" spans="1:10">
      <c r="A236" s="6" t="s">
        <v>438</v>
      </c>
      <c r="B236" s="6"/>
      <c r="C236" s="6">
        <f>0</f>
        <v>0</v>
      </c>
      <c r="D236" s="6">
        <f>2991.04</f>
        <v>2991.04</v>
      </c>
      <c r="E236" s="6">
        <f>2991.04</f>
        <v>2991.04</v>
      </c>
      <c r="F236" s="6"/>
      <c r="G236" s="6" t="s">
        <v>439</v>
      </c>
      <c r="H236" s="6" t="s">
        <v>440</v>
      </c>
      <c r="I236" s="6"/>
      <c r="J236" s="6"/>
    </row>
    <row r="237" spans="1:10">
      <c r="A237" s="6" t="s">
        <v>441</v>
      </c>
      <c r="B237" s="6"/>
      <c r="C237" s="6">
        <f>0</f>
        <v>0</v>
      </c>
      <c r="D237" s="6">
        <f>462.24</f>
        <v>462.24</v>
      </c>
      <c r="E237" s="6">
        <f>462.24</f>
        <v>462.24</v>
      </c>
      <c r="F237" s="6"/>
      <c r="G237" s="6" t="s">
        <v>442</v>
      </c>
      <c r="H237" s="6" t="s">
        <v>443</v>
      </c>
      <c r="I237" s="6"/>
      <c r="J237" s="6"/>
    </row>
    <row r="238" spans="1:10">
      <c r="A238" s="6" t="s">
        <v>444</v>
      </c>
      <c r="B238" s="6"/>
      <c r="C238" s="6">
        <f>0</f>
        <v>0</v>
      </c>
      <c r="D238" s="6">
        <f>0</f>
        <v>0</v>
      </c>
      <c r="E238" s="6">
        <f>0</f>
        <v>0</v>
      </c>
      <c r="F238" s="6"/>
      <c r="G238" s="6" t="s">
        <v>445</v>
      </c>
      <c r="H238" s="6" t="s">
        <v>446</v>
      </c>
      <c r="I238" s="6"/>
      <c r="J238" s="6"/>
    </row>
    <row r="239" spans="1:10">
      <c r="A239" s="6" t="s">
        <v>447</v>
      </c>
      <c r="B239" s="6"/>
      <c r="C239" s="6">
        <f>0</f>
        <v>0</v>
      </c>
      <c r="D239" s="6">
        <f>0</f>
        <v>0</v>
      </c>
      <c r="E239" s="6">
        <f>0</f>
        <v>0</v>
      </c>
      <c r="F239" s="6"/>
      <c r="G239" s="6" t="s">
        <v>448</v>
      </c>
      <c r="H239" s="6" t="s">
        <v>449</v>
      </c>
      <c r="I239" s="6"/>
      <c r="J239" s="6"/>
    </row>
    <row r="240" spans="1:10">
      <c r="A240" s="6" t="s">
        <v>450</v>
      </c>
      <c r="B240" s="6"/>
      <c r="C240" s="6">
        <f>0</f>
        <v>0</v>
      </c>
      <c r="D240" s="6">
        <f>0</f>
        <v>0</v>
      </c>
      <c r="E240" s="6">
        <f>0</f>
        <v>0</v>
      </c>
      <c r="F240" s="6"/>
      <c r="G240" s="6" t="s">
        <v>451</v>
      </c>
      <c r="H240" s="6" t="s">
        <v>452</v>
      </c>
      <c r="I240" s="6"/>
      <c r="J240" s="6"/>
    </row>
    <row r="241" spans="1:10">
      <c r="A241" s="6" t="s">
        <v>453</v>
      </c>
      <c r="B241" s="6"/>
      <c r="C241" s="6">
        <f>0</f>
        <v>0</v>
      </c>
      <c r="D241" s="6">
        <f>2035.63</f>
        <v>2035.63</v>
      </c>
      <c r="E241" s="6">
        <f>2035.63</f>
        <v>2035.63</v>
      </c>
      <c r="F241" s="6"/>
      <c r="G241" s="6" t="s">
        <v>454</v>
      </c>
      <c r="H241" s="6" t="s">
        <v>455</v>
      </c>
      <c r="I241" s="6"/>
      <c r="J241" s="6"/>
    </row>
    <row r="242" spans="1:10">
      <c r="A242" s="6" t="s">
        <v>456</v>
      </c>
      <c r="B242" s="6"/>
      <c r="C242" s="6">
        <f>0</f>
        <v>0</v>
      </c>
      <c r="D242" s="6">
        <f>0</f>
        <v>0</v>
      </c>
      <c r="E242" s="6">
        <f>0</f>
        <v>0</v>
      </c>
      <c r="F242" s="6"/>
      <c r="G242" s="6" t="s">
        <v>457</v>
      </c>
      <c r="H242" s="6" t="s">
        <v>458</v>
      </c>
      <c r="I242" s="6"/>
      <c r="J242" s="6"/>
    </row>
    <row r="243" spans="1:10">
      <c r="A243" s="6" t="s">
        <v>459</v>
      </c>
      <c r="B243" s="6"/>
      <c r="C243" s="6">
        <f>0</f>
        <v>0</v>
      </c>
      <c r="D243" s="6">
        <f>1791.68</f>
        <v>1791.68</v>
      </c>
      <c r="E243" s="6">
        <f>1791.68</f>
        <v>1791.68</v>
      </c>
      <c r="F243" s="6"/>
      <c r="G243" s="6" t="s">
        <v>460</v>
      </c>
      <c r="H243" s="6" t="s">
        <v>461</v>
      </c>
      <c r="I243" s="6"/>
      <c r="J243" s="6"/>
    </row>
    <row r="244" spans="1:10">
      <c r="A244" s="6" t="s">
        <v>462</v>
      </c>
      <c r="B244" s="6"/>
      <c r="C244" s="6">
        <f>0</f>
        <v>0</v>
      </c>
      <c r="D244" s="6">
        <f>0</f>
        <v>0</v>
      </c>
      <c r="E244" s="6">
        <f>0</f>
        <v>0</v>
      </c>
      <c r="F244" s="6"/>
      <c r="G244" s="6" t="s">
        <v>463</v>
      </c>
      <c r="H244" s="6" t="s">
        <v>464</v>
      </c>
      <c r="I244" s="6"/>
      <c r="J244" s="6"/>
    </row>
    <row r="245" spans="1:10">
      <c r="A245" s="6" t="s">
        <v>465</v>
      </c>
      <c r="B245" s="6"/>
      <c r="C245" s="6">
        <f>0</f>
        <v>0</v>
      </c>
      <c r="D245" s="6">
        <f>2817.48</f>
        <v>2817.48</v>
      </c>
      <c r="E245" s="6">
        <f>2817.48</f>
        <v>2817.48</v>
      </c>
      <c r="F245" s="6"/>
      <c r="G245" s="6" t="s">
        <v>466</v>
      </c>
      <c r="H245" s="6" t="s">
        <v>467</v>
      </c>
      <c r="I245" s="6"/>
      <c r="J245" s="6"/>
    </row>
    <row r="246" spans="1:10">
      <c r="A246" s="6" t="s">
        <v>468</v>
      </c>
      <c r="B246" s="6"/>
      <c r="C246" s="6">
        <f>0</f>
        <v>0</v>
      </c>
      <c r="D246" s="6">
        <f>2105.41</f>
        <v>2105.41</v>
      </c>
      <c r="E246" s="6">
        <f>2105.41</f>
        <v>2105.41</v>
      </c>
      <c r="F246" s="6"/>
      <c r="G246" s="6" t="s">
        <v>469</v>
      </c>
      <c r="H246" s="6" t="s">
        <v>470</v>
      </c>
      <c r="I246" s="6"/>
      <c r="J246" s="6"/>
    </row>
    <row r="247" spans="1:10">
      <c r="A247" s="6" t="s">
        <v>471</v>
      </c>
      <c r="B247" s="6"/>
      <c r="C247" s="6">
        <f>0</f>
        <v>0</v>
      </c>
      <c r="D247" s="6">
        <f>0</f>
        <v>0</v>
      </c>
      <c r="E247" s="6">
        <f>0</f>
        <v>0</v>
      </c>
      <c r="F247" s="6"/>
      <c r="G247" s="6" t="s">
        <v>472</v>
      </c>
      <c r="H247" s="6" t="s">
        <v>473</v>
      </c>
      <c r="I247" s="6"/>
      <c r="J247" s="6"/>
    </row>
    <row r="248" spans="1:10">
      <c r="A248" s="6" t="s">
        <v>474</v>
      </c>
      <c r="B248" s="6"/>
      <c r="C248" s="6">
        <f>0</f>
        <v>0</v>
      </c>
      <c r="D248" s="6">
        <f>2520.2</f>
        <v>2520.1999999999998</v>
      </c>
      <c r="E248" s="6">
        <f>2520.2</f>
        <v>2520.1999999999998</v>
      </c>
      <c r="F248" s="6"/>
      <c r="G248" s="6" t="s">
        <v>475</v>
      </c>
      <c r="H248" s="6" t="s">
        <v>476</v>
      </c>
      <c r="I248" s="6"/>
      <c r="J248" s="6"/>
    </row>
    <row r="249" spans="1:10">
      <c r="A249" s="6" t="s">
        <v>477</v>
      </c>
      <c r="B249" s="6"/>
      <c r="C249" s="6">
        <f>0</f>
        <v>0</v>
      </c>
      <c r="D249" s="6">
        <f>0</f>
        <v>0</v>
      </c>
      <c r="E249" s="6">
        <f>2502.85</f>
        <v>2502.85</v>
      </c>
      <c r="F249" s="6"/>
      <c r="G249" s="6" t="s">
        <v>478</v>
      </c>
      <c r="H249" s="6" t="s">
        <v>479</v>
      </c>
      <c r="I249" s="6"/>
      <c r="J249" s="6"/>
    </row>
    <row r="250" spans="1:10">
      <c r="A250" s="6" t="s">
        <v>480</v>
      </c>
      <c r="B250" s="6"/>
      <c r="C250" s="6">
        <f>0</f>
        <v>0</v>
      </c>
      <c r="D250" s="6">
        <f>-136.07</f>
        <v>-136.07</v>
      </c>
      <c r="E250" s="6">
        <f>-136.07</f>
        <v>-136.07</v>
      </c>
      <c r="F250" s="6"/>
      <c r="G250" s="6" t="s">
        <v>481</v>
      </c>
      <c r="H250" s="6" t="s">
        <v>482</v>
      </c>
      <c r="I250" s="6"/>
      <c r="J250" s="6"/>
    </row>
    <row r="251" spans="1:10">
      <c r="A251" s="6" t="s">
        <v>483</v>
      </c>
      <c r="B251" s="6"/>
      <c r="C251" s="6">
        <f>0</f>
        <v>0</v>
      </c>
      <c r="D251" s="6">
        <f>2734.52</f>
        <v>2734.52</v>
      </c>
      <c r="E251" s="6">
        <f>2734.52</f>
        <v>2734.52</v>
      </c>
      <c r="F251" s="6"/>
      <c r="G251" s="6" t="s">
        <v>484</v>
      </c>
      <c r="H251" s="6" t="s">
        <v>485</v>
      </c>
      <c r="I251" s="6"/>
      <c r="J251" s="6"/>
    </row>
    <row r="252" spans="1:10">
      <c r="A252" s="6" t="s">
        <v>486</v>
      </c>
      <c r="B252" s="6"/>
      <c r="C252" s="15">
        <f>0</f>
        <v>0</v>
      </c>
      <c r="D252" s="15">
        <f>2734.52</f>
        <v>2734.52</v>
      </c>
      <c r="E252" s="15">
        <f>2734.52</f>
        <v>2734.52</v>
      </c>
      <c r="F252" s="6"/>
      <c r="G252" s="6" t="s">
        <v>487</v>
      </c>
      <c r="H252" s="6" t="s">
        <v>488</v>
      </c>
      <c r="I252" s="6"/>
      <c r="J252" s="6"/>
    </row>
    <row r="253" spans="1:10">
      <c r="A253" s="6" t="s">
        <v>489</v>
      </c>
      <c r="B253" s="6"/>
      <c r="C253" s="15">
        <f>SUM(C225:C252)</f>
        <v>0</v>
      </c>
      <c r="D253" s="15">
        <f>SUM(D225:D252)</f>
        <v>45731.040000000001</v>
      </c>
      <c r="E253" s="15">
        <f>SUM(E225:E252)</f>
        <v>45733.89</v>
      </c>
      <c r="F253" s="6"/>
      <c r="G253" s="6"/>
      <c r="H253" s="6"/>
      <c r="I253" s="6"/>
      <c r="J253" s="6"/>
    </row>
    <row r="254" spans="1:10">
      <c r="A254" s="6"/>
      <c r="B254" s="6"/>
      <c r="C254" s="15"/>
      <c r="D254" s="15"/>
      <c r="E254" s="15"/>
      <c r="F254" s="6"/>
      <c r="G254" s="6"/>
      <c r="H254" s="6"/>
      <c r="I254" s="6"/>
      <c r="J254" s="6"/>
    </row>
    <row r="255" spans="1:10">
      <c r="A255" s="6" t="s">
        <v>490</v>
      </c>
      <c r="B255" s="6"/>
      <c r="C255" s="6">
        <f>C221+C253</f>
        <v>-5000</v>
      </c>
      <c r="D255" s="6">
        <f>D221+D253</f>
        <v>102944.04000000001</v>
      </c>
      <c r="E255" s="6">
        <f>E221+E253</f>
        <v>112107.73</v>
      </c>
      <c r="F255" s="6"/>
      <c r="G255" s="6"/>
      <c r="H255" s="6"/>
      <c r="I255" s="6"/>
      <c r="J255" s="6"/>
    </row>
    <row r="256" spans="1:10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>
      <c r="A258" s="6" t="s">
        <v>491</v>
      </c>
      <c r="B258" s="6"/>
      <c r="C258" s="6">
        <f>0</f>
        <v>0</v>
      </c>
      <c r="D258" s="6">
        <f>0</f>
        <v>0</v>
      </c>
      <c r="E258" s="6">
        <f>13196</f>
        <v>13196</v>
      </c>
      <c r="F258" s="6"/>
      <c r="G258" s="6" t="s">
        <v>492</v>
      </c>
      <c r="H258" s="6" t="s">
        <v>493</v>
      </c>
      <c r="I258" s="6"/>
      <c r="J258" s="6"/>
    </row>
    <row r="259" spans="1:10">
      <c r="A259" s="6" t="s">
        <v>494</v>
      </c>
      <c r="B259" s="6"/>
      <c r="C259" s="15">
        <f>0</f>
        <v>0</v>
      </c>
      <c r="D259" s="15">
        <f>12808.2</f>
        <v>12808.2</v>
      </c>
      <c r="E259" s="15">
        <f>12808.2</f>
        <v>12808.2</v>
      </c>
      <c r="F259" s="6"/>
      <c r="G259" s="6" t="s">
        <v>495</v>
      </c>
      <c r="H259" s="6" t="s">
        <v>496</v>
      </c>
      <c r="I259" s="6"/>
      <c r="J259" s="6"/>
    </row>
    <row r="260" spans="1:10">
      <c r="A260" s="6" t="s">
        <v>497</v>
      </c>
      <c r="B260" s="6"/>
      <c r="C260" s="6">
        <f>SUM(C258:C259)</f>
        <v>0</v>
      </c>
      <c r="D260" s="6">
        <f>SUM(D258:D259)</f>
        <v>12808.2</v>
      </c>
      <c r="E260" s="6">
        <f>SUM(E258:E259)</f>
        <v>26004.2</v>
      </c>
      <c r="F260" s="6"/>
      <c r="G260" s="6"/>
      <c r="H260" s="6"/>
      <c r="I260" s="6"/>
      <c r="J260" s="6"/>
    </row>
    <row r="261" spans="1:10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>
      <c r="A262" s="27" t="s">
        <v>498</v>
      </c>
      <c r="B262" s="6"/>
      <c r="C262" s="6">
        <f>C199+C209+C221+C253+C260</f>
        <v>-28411.57</v>
      </c>
      <c r="D262" s="6">
        <f>D199+D209+D221+D253+D260</f>
        <v>249205.95</v>
      </c>
      <c r="E262" s="6">
        <f>E199+E209+E221+E253+E260</f>
        <v>460719.11999999994</v>
      </c>
      <c r="F262" s="6"/>
      <c r="G262" s="6"/>
      <c r="H262" s="6"/>
      <c r="I262" s="6"/>
      <c r="J262" s="6"/>
    </row>
    <row r="263" spans="1:10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>
      <c r="A265" s="25" t="s">
        <v>499</v>
      </c>
      <c r="B265" s="6"/>
      <c r="C265" s="6"/>
      <c r="D265" s="6"/>
      <c r="E265" s="6"/>
      <c r="F265" s="6"/>
      <c r="G265" s="6"/>
      <c r="H265" s="6"/>
      <c r="I265" s="6"/>
      <c r="J265" s="6"/>
    </row>
    <row r="266" spans="1:10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>
      <c r="A267" s="6" t="s">
        <v>500</v>
      </c>
      <c r="B267" s="6"/>
      <c r="C267" s="6">
        <f>0</f>
        <v>0</v>
      </c>
      <c r="D267" s="6">
        <f>-16777.29</f>
        <v>-16777.29</v>
      </c>
      <c r="E267" s="6">
        <f>-16777.29</f>
        <v>-16777.29</v>
      </c>
      <c r="F267" s="6"/>
      <c r="G267" s="6" t="s">
        <v>501</v>
      </c>
      <c r="H267" s="6" t="s">
        <v>502</v>
      </c>
      <c r="I267" s="6"/>
      <c r="J267" s="6"/>
    </row>
    <row r="268" spans="1:10">
      <c r="A268" s="6" t="s">
        <v>503</v>
      </c>
      <c r="B268" s="6"/>
      <c r="C268" s="6">
        <f>0</f>
        <v>0</v>
      </c>
      <c r="D268" s="6">
        <f>24791.9</f>
        <v>24791.9</v>
      </c>
      <c r="E268" s="6">
        <f>24791.9</f>
        <v>24791.9</v>
      </c>
      <c r="F268" s="6"/>
      <c r="G268" s="6" t="s">
        <v>504</v>
      </c>
      <c r="H268" s="6" t="s">
        <v>505</v>
      </c>
      <c r="I268" s="6"/>
      <c r="J268" s="6"/>
    </row>
    <row r="269" spans="1:10">
      <c r="A269" s="6" t="s">
        <v>506</v>
      </c>
      <c r="B269" s="6"/>
      <c r="C269" s="6">
        <f>0</f>
        <v>0</v>
      </c>
      <c r="D269" s="6">
        <f>69659.38</f>
        <v>69659.38</v>
      </c>
      <c r="E269" s="6">
        <f>69659.38</f>
        <v>69659.38</v>
      </c>
      <c r="F269" s="6"/>
      <c r="G269" s="6" t="s">
        <v>507</v>
      </c>
      <c r="H269" s="6" t="s">
        <v>508</v>
      </c>
      <c r="I269" s="6"/>
      <c r="J269" s="6"/>
    </row>
    <row r="270" spans="1:10">
      <c r="A270" s="6" t="s">
        <v>509</v>
      </c>
      <c r="B270" s="6"/>
      <c r="C270" s="6">
        <f>0</f>
        <v>0</v>
      </c>
      <c r="D270" s="6">
        <f>2500</f>
        <v>2500</v>
      </c>
      <c r="E270" s="6">
        <f>2500</f>
        <v>2500</v>
      </c>
      <c r="F270" s="6"/>
      <c r="G270" s="6" t="s">
        <v>510</v>
      </c>
      <c r="H270" s="6" t="s">
        <v>511</v>
      </c>
      <c r="I270" s="6"/>
      <c r="J270" s="6"/>
    </row>
    <row r="271" spans="1:10">
      <c r="A271" s="6" t="s">
        <v>512</v>
      </c>
      <c r="B271" s="6"/>
      <c r="C271" s="6">
        <f>0</f>
        <v>0</v>
      </c>
      <c r="D271" s="6">
        <f>6062.97</f>
        <v>6062.97</v>
      </c>
      <c r="E271" s="6">
        <f>6062.97</f>
        <v>6062.97</v>
      </c>
      <c r="F271" s="6"/>
      <c r="G271" s="6" t="s">
        <v>513</v>
      </c>
      <c r="H271" s="6" t="s">
        <v>514</v>
      </c>
      <c r="I271" s="6"/>
      <c r="J271" s="6"/>
    </row>
    <row r="272" spans="1:10">
      <c r="A272" s="6" t="s">
        <v>515</v>
      </c>
      <c r="B272" s="6"/>
      <c r="C272" s="6">
        <f>0</f>
        <v>0</v>
      </c>
      <c r="D272" s="6">
        <f>1000</f>
        <v>1000</v>
      </c>
      <c r="E272" s="6">
        <f>1000</f>
        <v>1000</v>
      </c>
      <c r="F272" s="6"/>
      <c r="G272" s="6" t="s">
        <v>516</v>
      </c>
      <c r="H272" s="6" t="s">
        <v>517</v>
      </c>
      <c r="I272" s="6"/>
      <c r="J272" s="6"/>
    </row>
    <row r="273" spans="1:10">
      <c r="A273" s="6" t="s">
        <v>518</v>
      </c>
      <c r="B273" s="6"/>
      <c r="C273" s="6">
        <f>0</f>
        <v>0</v>
      </c>
      <c r="D273" s="6">
        <f>47940.15</f>
        <v>47940.15</v>
      </c>
      <c r="E273" s="6">
        <f>47940.15</f>
        <v>47940.15</v>
      </c>
      <c r="F273" s="6"/>
      <c r="G273" s="6" t="s">
        <v>519</v>
      </c>
      <c r="H273" s="6" t="s">
        <v>520</v>
      </c>
      <c r="I273" s="6"/>
      <c r="J273" s="6"/>
    </row>
    <row r="274" spans="1:10">
      <c r="A274" s="6" t="s">
        <v>521</v>
      </c>
      <c r="B274" s="6"/>
      <c r="C274" s="15">
        <f>5329.42</f>
        <v>5329.42</v>
      </c>
      <c r="D274" s="15">
        <f>1195951.66</f>
        <v>1195951.6599999999</v>
      </c>
      <c r="E274" s="15">
        <f>1158645.72</f>
        <v>1158645.72</v>
      </c>
      <c r="F274" s="6"/>
      <c r="G274" s="6" t="s">
        <v>522</v>
      </c>
      <c r="H274" s="6" t="s">
        <v>523</v>
      </c>
      <c r="I274" s="6"/>
      <c r="J274" s="6"/>
    </row>
    <row r="275" spans="1:10">
      <c r="A275" s="6" t="s">
        <v>524</v>
      </c>
      <c r="B275" s="6"/>
      <c r="C275" s="6">
        <f>SUM(C266:C274)</f>
        <v>5329.42</v>
      </c>
      <c r="D275" s="6">
        <f>SUM(D266:D274)</f>
        <v>1331128.77</v>
      </c>
      <c r="E275" s="6">
        <f>SUM(E266:E274)</f>
        <v>1293822.83</v>
      </c>
      <c r="F275" s="6"/>
      <c r="G275" s="6"/>
      <c r="H275" s="6"/>
      <c r="I275" s="6"/>
      <c r="J275" s="6"/>
    </row>
    <row r="276" spans="1:10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>
      <c r="A277" s="6" t="s">
        <v>525</v>
      </c>
      <c r="B277" s="6"/>
      <c r="C277" s="6">
        <f>-5329.42</f>
        <v>-5329.42</v>
      </c>
      <c r="D277" s="6">
        <f>2037447.01</f>
        <v>2037447.01</v>
      </c>
      <c r="E277" s="6">
        <f>2000159.35</f>
        <v>2000159.35</v>
      </c>
      <c r="F277" s="6"/>
      <c r="G277" s="6" t="s">
        <v>526</v>
      </c>
      <c r="H277" s="6" t="s">
        <v>527</v>
      </c>
      <c r="I277" s="6"/>
      <c r="J277" s="6"/>
    </row>
    <row r="278" spans="1:10">
      <c r="A278" s="6" t="s">
        <v>528</v>
      </c>
      <c r="B278" s="6"/>
      <c r="C278" s="15">
        <f>-337984.12</f>
        <v>-337984.12</v>
      </c>
      <c r="D278" s="15">
        <f>235932.79</f>
        <v>235932.79</v>
      </c>
      <c r="E278" s="15">
        <f>74593.6</f>
        <v>74593.600000000006</v>
      </c>
      <c r="F278" s="6"/>
      <c r="G278" s="6" t="s">
        <v>246</v>
      </c>
      <c r="H278" s="6" t="s">
        <v>247</v>
      </c>
      <c r="I278" s="6"/>
      <c r="J278" s="6"/>
    </row>
    <row r="279" spans="1:10">
      <c r="A279" s="6" t="s">
        <v>529</v>
      </c>
      <c r="B279" s="6"/>
      <c r="C279" s="6">
        <f>SUM(C277:C278)</f>
        <v>-343313.54</v>
      </c>
      <c r="D279" s="6">
        <f>SUM(D277:D278)</f>
        <v>2273379.7999999998</v>
      </c>
      <c r="E279" s="6">
        <f>SUM(E277:E278)</f>
        <v>2074752.9500000002</v>
      </c>
      <c r="F279" s="6"/>
      <c r="G279" s="6"/>
      <c r="H279" s="6"/>
      <c r="I279" s="6"/>
      <c r="J279" s="6"/>
    </row>
    <row r="280" spans="1:10">
      <c r="A280" s="6"/>
      <c r="B280" s="6"/>
      <c r="C280" s="6"/>
      <c r="D280" s="6"/>
      <c r="E280" s="6"/>
      <c r="F280" s="6"/>
      <c r="G280" s="6" t="s">
        <v>530</v>
      </c>
      <c r="H280" s="6"/>
      <c r="I280" s="6"/>
      <c r="J280" s="6"/>
    </row>
    <row r="281" spans="1:10">
      <c r="A281" s="27" t="s">
        <v>531</v>
      </c>
      <c r="B281" s="6"/>
      <c r="C281" s="6">
        <f>C275+C279</f>
        <v>-337984.12</v>
      </c>
      <c r="D281" s="6">
        <f>D275+D279</f>
        <v>3604508.57</v>
      </c>
      <c r="E281" s="6">
        <f>E275+E279</f>
        <v>3368575.7800000003</v>
      </c>
      <c r="F281" s="6"/>
      <c r="G281" s="6" t="s">
        <v>499</v>
      </c>
      <c r="H281" s="6">
        <f>3368575.78</f>
        <v>3368575.78</v>
      </c>
      <c r="I281" s="6" t="s">
        <v>241</v>
      </c>
      <c r="J281" s="6" t="s">
        <v>242</v>
      </c>
    </row>
    <row r="282" spans="1:10">
      <c r="A282" s="27"/>
      <c r="B282" s="6"/>
      <c r="C282" s="6"/>
      <c r="D282" s="6"/>
      <c r="E282" s="6"/>
      <c r="F282" s="6"/>
      <c r="G282" s="6" t="s">
        <v>532</v>
      </c>
      <c r="H282" s="26">
        <f>235932.79</f>
        <v>235932.79</v>
      </c>
      <c r="I282" s="6" t="s">
        <v>246</v>
      </c>
      <c r="J282" s="6" t="s">
        <v>247</v>
      </c>
    </row>
    <row r="283" spans="1:10" ht="12" thickBot="1">
      <c r="A283" s="27" t="s">
        <v>533</v>
      </c>
      <c r="B283" s="6"/>
      <c r="C283" s="16">
        <f>C262+C281</f>
        <v>-366395.69</v>
      </c>
      <c r="D283" s="16">
        <f>D262+D281</f>
        <v>3853714.52</v>
      </c>
      <c r="E283" s="16">
        <f>E262+E281</f>
        <v>3829294.9000000004</v>
      </c>
      <c r="F283" s="6"/>
      <c r="G283" s="6" t="s">
        <v>534</v>
      </c>
      <c r="H283" s="6">
        <f>SUM(H281:H282)</f>
        <v>3604508.57</v>
      </c>
      <c r="I283" s="6"/>
      <c r="J283" s="6"/>
    </row>
    <row r="284" spans="1:10" ht="12" thickTop="1">
      <c r="A284" s="6"/>
      <c r="B284" s="6"/>
      <c r="C284" s="6"/>
      <c r="D284" s="6"/>
      <c r="E284" s="6"/>
      <c r="F284" s="6"/>
      <c r="G284" s="6" t="s">
        <v>69</v>
      </c>
      <c r="H284" s="6"/>
      <c r="I284" s="6"/>
      <c r="J284" s="6"/>
    </row>
    <row r="285" spans="1:10">
      <c r="A285" s="6"/>
      <c r="B285" s="6"/>
      <c r="C285" s="6"/>
      <c r="D285" s="6"/>
      <c r="E285" s="6"/>
      <c r="F285" s="6"/>
      <c r="G285" s="6" t="s">
        <v>535</v>
      </c>
      <c r="H285" s="6">
        <f>3855164.52</f>
        <v>3855164.52</v>
      </c>
      <c r="I285" s="6" t="s">
        <v>258</v>
      </c>
      <c r="J285" s="6" t="s">
        <v>259</v>
      </c>
    </row>
    <row r="286" spans="1:10">
      <c r="A286" s="6"/>
      <c r="B286" s="6"/>
      <c r="C286" s="6"/>
      <c r="D286" s="6"/>
      <c r="E286" s="6"/>
      <c r="F286" s="6"/>
      <c r="G286" s="6" t="s">
        <v>536</v>
      </c>
      <c r="H286" s="6">
        <f>3855164.52</f>
        <v>3855164.52</v>
      </c>
      <c r="I286" s="6" t="s">
        <v>537</v>
      </c>
      <c r="J286" s="6" t="s">
        <v>538</v>
      </c>
    </row>
    <row r="287" spans="1:10">
      <c r="A287" s="6"/>
      <c r="B287" s="6"/>
      <c r="C287" s="6"/>
      <c r="D287" s="6"/>
      <c r="E287" s="6"/>
      <c r="F287" s="6"/>
      <c r="G287" s="6" t="s">
        <v>539</v>
      </c>
      <c r="H287" s="6">
        <f>H285-H286</f>
        <v>0</v>
      </c>
      <c r="I287" s="6"/>
      <c r="J287" s="6"/>
    </row>
    <row r="288" spans="1:10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>
      <c r="A289" s="6"/>
      <c r="B289" s="6"/>
      <c r="C289" s="6"/>
      <c r="D289" s="6"/>
      <c r="E289" s="6"/>
      <c r="F289" s="6"/>
      <c r="G289" s="6"/>
      <c r="H289" s="6">
        <f>D178</f>
        <v>3853714.5199999996</v>
      </c>
      <c r="I289" s="6"/>
      <c r="J289" s="6"/>
    </row>
    <row r="290" spans="1:10">
      <c r="A290" s="6"/>
      <c r="B290" s="6"/>
      <c r="C290" s="6"/>
      <c r="D290" s="6"/>
      <c r="E290" s="6"/>
      <c r="F290" s="6"/>
      <c r="G290" s="6"/>
      <c r="H290" s="6">
        <f>-D283</f>
        <v>-3853714.52</v>
      </c>
      <c r="I290" s="6"/>
      <c r="J290" s="6"/>
    </row>
    <row r="291" spans="1:10">
      <c r="A291" s="6"/>
      <c r="B291" s="6"/>
      <c r="C291" s="6"/>
      <c r="D291" s="6"/>
      <c r="E291" s="6"/>
      <c r="F291" s="6"/>
      <c r="G291" s="6"/>
      <c r="H291" s="6">
        <f>SUM(H289:H290)</f>
        <v>0</v>
      </c>
      <c r="I291" s="6"/>
      <c r="J291" s="6"/>
    </row>
    <row r="292" spans="1:10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5">
      <c r="A305" s="28"/>
      <c r="B305" s="28"/>
      <c r="C305" s="5"/>
      <c r="D305" s="5"/>
      <c r="E305" s="5"/>
    </row>
    <row r="306" spans="1:5">
      <c r="A306" s="28"/>
      <c r="B306" s="28"/>
      <c r="C306" s="5"/>
      <c r="D306" s="5"/>
      <c r="E306" s="5"/>
    </row>
    <row r="307" spans="1:5">
      <c r="A307" s="28"/>
      <c r="B307" s="28"/>
      <c r="C307" s="5"/>
      <c r="D307" s="5"/>
      <c r="E307" s="5"/>
    </row>
    <row r="308" spans="1:5">
      <c r="A308" s="28"/>
      <c r="B308" s="28"/>
      <c r="C308" s="5"/>
      <c r="D308" s="5"/>
      <c r="E308" s="5"/>
    </row>
    <row r="309" spans="1:5">
      <c r="A309" s="28"/>
      <c r="B309" s="28"/>
      <c r="C309" s="5"/>
      <c r="D309" s="5"/>
      <c r="E309" s="5"/>
    </row>
    <row r="310" spans="1:5">
      <c r="A310" s="28"/>
      <c r="B310" s="28"/>
      <c r="C310" s="5"/>
      <c r="D310" s="5"/>
      <c r="E310" s="5"/>
    </row>
    <row r="311" spans="1:5">
      <c r="A311" s="28"/>
      <c r="B311" s="28"/>
      <c r="C311" s="5"/>
      <c r="D311" s="5"/>
      <c r="E311" s="5"/>
    </row>
    <row r="312" spans="1:5">
      <c r="A312" s="28"/>
      <c r="B312" s="28"/>
      <c r="C312" s="5"/>
      <c r="D312" s="5"/>
      <c r="E312" s="5"/>
    </row>
    <row r="313" spans="1:5">
      <c r="A313" s="28"/>
      <c r="B313" s="28"/>
      <c r="C313" s="5"/>
      <c r="D313" s="5"/>
      <c r="E313" s="5"/>
    </row>
    <row r="314" spans="1:5">
      <c r="A314" s="28"/>
      <c r="B314" s="28"/>
      <c r="C314" s="5"/>
      <c r="D314" s="5"/>
      <c r="E314" s="5"/>
    </row>
    <row r="315" spans="1:5">
      <c r="A315" s="28"/>
      <c r="B315" s="28"/>
      <c r="C315" s="5"/>
      <c r="D315" s="5"/>
      <c r="E315" s="5"/>
    </row>
    <row r="316" spans="1:5">
      <c r="A316" s="28"/>
      <c r="B316" s="28"/>
      <c r="C316" s="5"/>
      <c r="D316" s="5"/>
      <c r="E316" s="5"/>
    </row>
    <row r="317" spans="1:5">
      <c r="A317" s="28"/>
      <c r="B317" s="28"/>
      <c r="C317" s="5"/>
      <c r="D317" s="5"/>
      <c r="E317" s="5"/>
    </row>
  </sheetData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rowBreaks count="2" manualBreakCount="2">
    <brk id="61" max="16383" man="1"/>
    <brk id="18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66A8-66BE-46B8-9208-E52E1384B4B1}">
  <sheetPr transitionEvaluation="1"/>
  <dimension ref="A1"/>
  <sheetViews>
    <sheetView defaultGridColor="0" colorId="22" zoomScale="87" workbookViewId="0">
      <selection activeCell="B2" sqref="B2"/>
    </sheetView>
  </sheetViews>
  <sheetFormatPr baseColWidth="10" defaultColWidth="9.83203125" defaultRowHeight="11.25"/>
  <sheetData/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colBreaks count="2" manualBreakCount="2">
    <brk id="11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14</vt:i4>
      </vt:variant>
    </vt:vector>
  </HeadingPairs>
  <TitlesOfParts>
    <vt:vector size="16" baseType="lpstr">
      <vt:lpstr>A</vt:lpstr>
      <vt:lpstr>B</vt:lpstr>
      <vt:lpstr>ACCOUNT</vt:lpstr>
      <vt:lpstr>COMPANY</vt:lpstr>
      <vt:lpstr>A!Druckbereich</vt:lpstr>
      <vt:lpstr>Druckbereich</vt:lpstr>
      <vt:lpstr>EXPENSE</vt:lpstr>
      <vt:lpstr>EXTENSION</vt:lpstr>
      <vt:lpstr>MAIN</vt:lpstr>
      <vt:lpstr>MASK</vt:lpstr>
      <vt:lpstr>PERIOD</vt:lpstr>
      <vt:lpstr>PERIOD1</vt:lpstr>
      <vt:lpstr>PRINT_AREA_MI</vt:lpstr>
      <vt:lpstr>TYPE</vt:lpstr>
      <vt:lpstr>TYPE2</vt:lpstr>
      <vt:lpstr>YEAR</vt:lpstr>
    </vt:vector>
  </TitlesOfParts>
  <Company>JCI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gist</dc:creator>
  <cp:lastModifiedBy>Kaufmann Timon</cp:lastModifiedBy>
  <dcterms:created xsi:type="dcterms:W3CDTF">2002-08-19T12:10:04Z</dcterms:created>
  <dcterms:modified xsi:type="dcterms:W3CDTF">2026-02-03T12:50:11Z</dcterms:modified>
</cp:coreProperties>
</file>