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true" date1904="tru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<sst xmlns="http://schemas.openxmlformats.org/spreadsheetml/2006/main" count="107" uniqueCount="69">
  <si>
    <t xml:space="preserve">Sudents</t>
  </si>
  <si>
    <t xml:space="preserve">Homework</t>
  </si>
  <si>
    <t xml:space="preserve">Tests</t>
  </si>
  <si>
    <t xml:space="preserve">Midterm</t>
  </si>
  <si>
    <t xml:space="preserve">Final</t>
  </si>
  <si>
    <t xml:space="preserve">Participation</t>
  </si>
  <si>
    <t xml:space="preserve">Final Grade: Number</t>
  </si>
  <si>
    <t xml:space="preserve">Final Grade: Letter</t>
  </si>
  <si>
    <t xml:space="preserve">Angel, Elizabeth </t>
  </si>
  <si>
    <t xml:space="preserve">Bass, Ronnie </t>
  </si>
  <si>
    <t xml:space="preserve">GRADE TRANSLATION</t>
  </si>
  <si>
    <t xml:space="preserve">Bear, Ty </t>
  </si>
  <si>
    <t xml:space="preserve">F</t>
  </si>
  <si>
    <t xml:space="preserve">Britt, Edward J. </t>
  </si>
  <si>
    <t xml:space="preserve">D-</t>
  </si>
  <si>
    <t xml:space="preserve">Cerrantino, Joesph </t>
  </si>
  <si>
    <t xml:space="preserve">Gellar, Christina </t>
  </si>
  <si>
    <t xml:space="preserve">D+</t>
  </si>
  <si>
    <t xml:space="preserve">Hannah, Hope </t>
  </si>
  <si>
    <t xml:space="preserve">C-</t>
  </si>
  <si>
    <t xml:space="preserve">Lane, Chasey </t>
  </si>
  <si>
    <t xml:space="preserve">C</t>
  </si>
  <si>
    <t xml:space="preserve">Less, Mandy </t>
  </si>
  <si>
    <t xml:space="preserve">C+</t>
  </si>
  <si>
    <t xml:space="preserve">Ming, Ho Chi </t>
  </si>
  <si>
    <t xml:space="preserve">B-</t>
  </si>
  <si>
    <t xml:space="preserve">Moutian, Misty </t>
  </si>
  <si>
    <t xml:space="preserve">B</t>
  </si>
  <si>
    <t xml:space="preserve">RaHeem, Abdul </t>
  </si>
  <si>
    <t xml:space="preserve">B+</t>
  </si>
  <si>
    <t xml:space="preserve">Scorpion, Eve </t>
  </si>
  <si>
    <t xml:space="preserve">A-</t>
  </si>
  <si>
    <t xml:space="preserve">Smith, Taylor </t>
  </si>
  <si>
    <t xml:space="preserve">A</t>
  </si>
  <si>
    <t xml:space="preserve">Wiggum, Ralph </t>
  </si>
  <si>
    <t xml:space="preserve">A+</t>
  </si>
  <si>
    <t xml:space="preserve">High Grade</t>
  </si>
  <si>
    <t xml:space="preserve">Low Grade</t>
  </si>
  <si>
    <t xml:space="preserve">Class Average</t>
  </si>
  <si>
    <t xml:space="preserve">HOMEWORK WORKSHEET</t>
  </si>
  <si>
    <t xml:space="preserve">Students</t>
  </si>
  <si>
    <t xml:space="preserve">Homework 1</t>
  </si>
  <si>
    <t xml:space="preserve">Homework 2</t>
  </si>
  <si>
    <t xml:space="preserve">Homework 3</t>
  </si>
  <si>
    <t xml:space="preserve">Homework 4</t>
  </si>
  <si>
    <t xml:space="preserve">Homework 5</t>
  </si>
  <si>
    <t xml:space="preserve">Homework 6</t>
  </si>
  <si>
    <t xml:space="preserve">Homework 7</t>
  </si>
  <si>
    <t xml:space="preserve">Homework 8 </t>
  </si>
  <si>
    <t xml:space="preserve">Homework 9 </t>
  </si>
  <si>
    <t xml:space="preserve">Homework 10</t>
  </si>
  <si>
    <t xml:space="preserve">Student's Highest Grade</t>
  </si>
  <si>
    <t xml:space="preserve">Student's Lowest Grade</t>
  </si>
  <si>
    <t xml:space="preserve">Student's Average</t>
  </si>
  <si>
    <t xml:space="preserve">Higest Grade</t>
  </si>
  <si>
    <t xml:space="preserve">Lowest Grade</t>
  </si>
  <si>
    <t xml:space="preserve">Studnets</t>
  </si>
  <si>
    <t xml:space="preserve">Test 1 Points</t>
  </si>
  <si>
    <t xml:space="preserve">Test 1 Percentage</t>
  </si>
  <si>
    <t xml:space="preserve">Test 2 Points</t>
  </si>
  <si>
    <t xml:space="preserve">Test 2 Percentage</t>
  </si>
  <si>
    <t xml:space="preserve">Test 3 Points</t>
  </si>
  <si>
    <t xml:space="preserve">Test 3 Percentage</t>
  </si>
  <si>
    <t xml:space="preserve">Test 4 Points</t>
  </si>
  <si>
    <t xml:space="preserve">Test 4 Percentage</t>
  </si>
  <si>
    <t xml:space="preserve">Test 5 Points</t>
  </si>
  <si>
    <t xml:space="preserve">Test 5 Percentage</t>
  </si>
  <si>
    <t xml:space="preserve">Total Possible Points</t>
  </si>
  <si>
    <t xml:space="preserve">Curve Scale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</si>
</sst>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0%"/>
    <numFmt numFmtId="167" formatCode="General"/>
  </numFmts>
  <fonts count="5">
    <font>
      <sz val="9"/>
      <name val="Geneva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Times New Roman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8" activeCellId="0" sqref="G8"/>
    </sheetView>
  </sheetViews>
  <sheetFormatPr defaultColWidth="20.828125" defaultRowHeight="20" zeroHeight="false" outlineLevelRow="0" outlineLevelCol="0"/>
  <cols>
    <col collapsed="false" customWidth="false" hidden="false" outlineLevel="0" max="257" min="1" style="1" width="20.83"/>
  </cols>
  <sheetData>
    <row r="1" customFormat="false" ht="20" hidden="false" customHeight="true" outlineLevel="0" collapsed="false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I1" s="1" t="s">
        <v>6</v>
      </c>
      <c r="J1" s="1" t="s">
        <v>7</v>
      </c>
    </row>
    <row r="3" customFormat="false" ht="20" hidden="false" customHeight="true" outlineLevel="0" collapsed="false">
      <c r="A3" s="1" t="s">
        <v>8</v>
      </c>
      <c r="C3" s="2" t="n">
        <f aca="false">Sheet2!P5</f>
        <v>88.7</v>
      </c>
      <c r="D3" s="3" t="n">
        <f aca="false">Sheet3!P4</f>
        <v>0.89792663476874</v>
      </c>
      <c r="E3" s="3" t="n">
        <v>0.88</v>
      </c>
      <c r="F3" s="3" t="n">
        <v>0.9</v>
      </c>
      <c r="G3" s="3" t="n">
        <v>0.95</v>
      </c>
      <c r="I3" s="2" t="n">
        <f aca="false">(C3*0.125)+(D3*25)+(E3*25)+(F3*25)+(G3*12.5)</f>
        <v>89.9106658692185</v>
      </c>
      <c r="J3" s="4" t="str">
        <f aca="false">VLOOKUP(I3,$K$5:$L$17,2,TRUE())</f>
        <v>A-</v>
      </c>
    </row>
    <row r="4" customFormat="false" ht="20" hidden="false" customHeight="true" outlineLevel="0" collapsed="false">
      <c r="A4" s="1" t="s">
        <v>9</v>
      </c>
      <c r="C4" s="2" t="n">
        <f aca="false">Sheet2!P6</f>
        <v>90.2</v>
      </c>
      <c r="D4" s="3" t="n">
        <f aca="false">Sheet3!P5</f>
        <v>0.870930356193514</v>
      </c>
      <c r="E4" s="3" t="n">
        <v>0.87</v>
      </c>
      <c r="F4" s="3" t="n">
        <v>0.82</v>
      </c>
      <c r="G4" s="3" t="n">
        <v>0.9</v>
      </c>
      <c r="I4" s="2" t="n">
        <f aca="false">(C4*0.125)+(D4*25)+(E4*25)+(F4*25)+(G4*12.5)</f>
        <v>86.5482589048379</v>
      </c>
      <c r="J4" s="4" t="str">
        <f aca="false">VLOOKUP(I4,$K$5:$L$17,2,TRUE())</f>
        <v>B+</v>
      </c>
      <c r="K4" s="5" t="s">
        <v>10</v>
      </c>
      <c r="L4" s="5"/>
    </row>
    <row r="5" customFormat="false" ht="20" hidden="false" customHeight="true" outlineLevel="0" collapsed="false">
      <c r="A5" s="1" t="s">
        <v>11</v>
      </c>
      <c r="C5" s="2" t="n">
        <f aca="false">Sheet2!P7</f>
        <v>86.1</v>
      </c>
      <c r="D5" s="3" t="n">
        <f aca="false">Sheet3!P6</f>
        <v>0.830283094098884</v>
      </c>
      <c r="E5" s="3" t="n">
        <v>0.82</v>
      </c>
      <c r="F5" s="3" t="n">
        <v>0.79</v>
      </c>
      <c r="G5" s="3" t="n">
        <v>0.9</v>
      </c>
      <c r="I5" s="2" t="n">
        <f aca="false">(C5*0.125)+(D5*25)+(E5*25)+(F5*25)+(G5*12.5)</f>
        <v>83.0195773524721</v>
      </c>
      <c r="J5" s="4" t="str">
        <f aca="false">VLOOKUP(I5,$K$5:$L$17,2,TRUE())</f>
        <v>B</v>
      </c>
      <c r="K5" s="6" t="n">
        <v>0</v>
      </c>
      <c r="L5" s="1" t="s">
        <v>12</v>
      </c>
    </row>
    <row r="6" customFormat="false" ht="20" hidden="false" customHeight="true" outlineLevel="0" collapsed="false">
      <c r="A6" s="1" t="s">
        <v>13</v>
      </c>
      <c r="C6" s="2" t="n">
        <f aca="false">Sheet2!P8</f>
        <v>83.1</v>
      </c>
      <c r="D6" s="3" t="n">
        <f aca="false">Sheet3!P7</f>
        <v>0.90668793195109</v>
      </c>
      <c r="E6" s="3" t="n">
        <v>0.82</v>
      </c>
      <c r="F6" s="3" t="n">
        <v>0.9</v>
      </c>
      <c r="G6" s="3" t="n">
        <v>0.95</v>
      </c>
      <c r="I6" s="2" t="n">
        <f aca="false">(C6*0.125)+(D6*25)+(E6*25)+(F6*25)+(G6*12.5)</f>
        <v>87.9296982987773</v>
      </c>
      <c r="J6" s="4" t="str">
        <f aca="false">VLOOKUP(I6,$K$5:$L$17,2,TRUE())</f>
        <v>B+</v>
      </c>
      <c r="K6" s="6" t="n">
        <v>59.5</v>
      </c>
      <c r="L6" s="1" t="s">
        <v>14</v>
      </c>
    </row>
    <row r="7" customFormat="false" ht="20" hidden="false" customHeight="true" outlineLevel="0" collapsed="false">
      <c r="A7" s="1" t="s">
        <v>15</v>
      </c>
      <c r="C7" s="2" t="n">
        <f aca="false">Sheet2!P9</f>
        <v>82.8</v>
      </c>
      <c r="D7" s="3" t="n">
        <f aca="false">Sheet3!P8</f>
        <v>0.855152844231792</v>
      </c>
      <c r="E7" s="3" t="n">
        <v>0.9</v>
      </c>
      <c r="F7" s="3" t="n">
        <v>0.8</v>
      </c>
      <c r="G7" s="3" t="n">
        <v>1</v>
      </c>
      <c r="I7" s="2" t="n">
        <f aca="false">(C7*0.125)+(D7*25)+(E7*25)+(F7*25)+(G7*12.5)</f>
        <v>86.7288211057948</v>
      </c>
      <c r="J7" s="4" t="str">
        <f aca="false">VLOOKUP(I7,$K$5:$L$17,2,TRUE())</f>
        <v>B+</v>
      </c>
      <c r="K7" s="6" t="n">
        <v>63</v>
      </c>
      <c r="L7" s="1" t="s">
        <v>14</v>
      </c>
    </row>
    <row r="8" customFormat="false" ht="20" hidden="false" customHeight="true" outlineLevel="0" collapsed="false">
      <c r="A8" s="1" t="s">
        <v>16</v>
      </c>
      <c r="C8" s="2" t="n">
        <f aca="false">Sheet2!P10</f>
        <v>86.1</v>
      </c>
      <c r="D8" s="3" t="n">
        <f aca="false">Sheet3!P9</f>
        <v>0.830066454013822</v>
      </c>
      <c r="E8" s="3" t="n">
        <v>0.79</v>
      </c>
      <c r="F8" s="3" t="n">
        <v>0.72</v>
      </c>
      <c r="G8" s="3" t="n">
        <v>0.75</v>
      </c>
      <c r="I8" s="2" t="n">
        <f aca="false">(C8*0.125)+(D8*25)+(E8*25)+(F8*25)+(G8*12.5)</f>
        <v>78.6391613503456</v>
      </c>
      <c r="J8" s="4" t="str">
        <f aca="false">VLOOKUP(I8,$K$5:$L$17,2,TRUE())</f>
        <v>C+</v>
      </c>
      <c r="K8" s="6" t="n">
        <v>66</v>
      </c>
      <c r="L8" s="1" t="s">
        <v>17</v>
      </c>
    </row>
    <row r="9" customFormat="false" ht="20" hidden="false" customHeight="true" outlineLevel="0" collapsed="false">
      <c r="A9" s="1" t="s">
        <v>18</v>
      </c>
      <c r="C9" s="2" t="n">
        <f aca="false">Sheet2!P11</f>
        <v>83.6</v>
      </c>
      <c r="D9" s="3" t="n">
        <f aca="false">Sheet3!P10</f>
        <v>0.799601275917065</v>
      </c>
      <c r="E9" s="3" t="n">
        <v>0.8</v>
      </c>
      <c r="F9" s="3" t="n">
        <v>0.87</v>
      </c>
      <c r="G9" s="3" t="n">
        <v>0.9</v>
      </c>
      <c r="I9" s="2" t="n">
        <f aca="false">(C9*0.125)+(D9*25)+(E9*25)+(F9*25)+(G9*12.5)</f>
        <v>83.4400318979266</v>
      </c>
      <c r="J9" s="4" t="str">
        <f aca="false">VLOOKUP(I9,$K$5:$L$17,2,TRUE())</f>
        <v>B</v>
      </c>
      <c r="K9" s="6" t="n">
        <v>69.5</v>
      </c>
      <c r="L9" s="1" t="s">
        <v>19</v>
      </c>
    </row>
    <row r="10" customFormat="false" ht="20" hidden="false" customHeight="true" outlineLevel="0" collapsed="false">
      <c r="A10" s="1" t="s">
        <v>20</v>
      </c>
      <c r="C10" s="2" t="n">
        <f aca="false">Sheet2!P12</f>
        <v>72.2</v>
      </c>
      <c r="D10" s="3" t="n">
        <f aca="false">Sheet3!P11</f>
        <v>0.705956937799043</v>
      </c>
      <c r="E10" s="3" t="n">
        <v>0.69</v>
      </c>
      <c r="F10" s="3" t="n">
        <v>0.65</v>
      </c>
      <c r="G10" s="3" t="n">
        <v>0.7</v>
      </c>
      <c r="I10" s="2" t="n">
        <f aca="false">(C10*0.125)+(D10*25)+(E10*25)+(F10*25)+(G10*12.5)</f>
        <v>68.9239234449761</v>
      </c>
      <c r="J10" s="4" t="str">
        <f aca="false">VLOOKUP(I10,$K$5:$L$17,2,TRUE())</f>
        <v>D+</v>
      </c>
      <c r="K10" s="6" t="n">
        <v>73</v>
      </c>
      <c r="L10" s="1" t="s">
        <v>21</v>
      </c>
    </row>
    <row r="11" customFormat="false" ht="20" hidden="false" customHeight="true" outlineLevel="0" collapsed="false">
      <c r="A11" s="1" t="s">
        <v>22</v>
      </c>
      <c r="C11" s="2" t="n">
        <f aca="false">Sheet2!P13</f>
        <v>80.6</v>
      </c>
      <c r="D11" s="3" t="n">
        <f aca="false">Sheet3!P12</f>
        <v>0.867485380116959</v>
      </c>
      <c r="E11" s="3" t="n">
        <v>0.89</v>
      </c>
      <c r="F11" s="3" t="n">
        <v>0.91</v>
      </c>
      <c r="G11" s="3" t="n">
        <v>0.85</v>
      </c>
      <c r="I11" s="2" t="n">
        <f aca="false">(C11*0.125)+(D11*25)+(E11*25)+(F11*25)+(G11*12.5)</f>
        <v>87.387134502924</v>
      </c>
      <c r="J11" s="4" t="str">
        <f aca="false">VLOOKUP(I11,$K$5:$L$17,2,TRUE())</f>
        <v>B+</v>
      </c>
      <c r="K11" s="6" t="n">
        <v>76</v>
      </c>
      <c r="L11" s="1" t="s">
        <v>23</v>
      </c>
    </row>
    <row r="12" customFormat="false" ht="20" hidden="false" customHeight="true" outlineLevel="0" collapsed="false">
      <c r="A12" s="1" t="s">
        <v>24</v>
      </c>
      <c r="C12" s="2" t="n">
        <f aca="false">Sheet2!P14</f>
        <v>89.5</v>
      </c>
      <c r="D12" s="3" t="n">
        <f aca="false">Sheet3!P13</f>
        <v>0.849242424242424</v>
      </c>
      <c r="E12" s="3" t="n">
        <v>0.92</v>
      </c>
      <c r="F12" s="3" t="n">
        <v>0.89</v>
      </c>
      <c r="G12" s="3" t="n">
        <v>0.85</v>
      </c>
      <c r="I12" s="2" t="n">
        <f aca="false">(C12*0.125)+(D12*25)+(E12*25)+(F12*25)+(G12*12.5)</f>
        <v>88.2935606060606</v>
      </c>
      <c r="J12" s="4" t="str">
        <f aca="false">VLOOKUP(I12,$K$5:$L$17,2,TRUE())</f>
        <v>B+</v>
      </c>
      <c r="K12" s="6" t="n">
        <v>79.5</v>
      </c>
      <c r="L12" s="1" t="s">
        <v>25</v>
      </c>
    </row>
    <row r="13" customFormat="false" ht="20" hidden="false" customHeight="true" outlineLevel="0" collapsed="false">
      <c r="A13" s="1" t="s">
        <v>26</v>
      </c>
      <c r="C13" s="2" t="n">
        <f aca="false">Sheet2!P15</f>
        <v>85.7</v>
      </c>
      <c r="D13" s="3" t="n">
        <f aca="false">Sheet3!P14</f>
        <v>1.77840377458799</v>
      </c>
      <c r="E13" s="3" t="n">
        <v>0.95</v>
      </c>
      <c r="F13" s="3" t="n">
        <v>0.89</v>
      </c>
      <c r="G13" s="3" t="n">
        <v>1</v>
      </c>
      <c r="I13" s="2" t="n">
        <f aca="false">(C13*0.125)+(D13*25)+(E13*25)+(F13*25)+(G13*12.5)</f>
        <v>113.6725943647</v>
      </c>
      <c r="J13" s="4" t="str">
        <f aca="false">VLOOKUP(I13,$K$5:$L$17,2,TRUE())</f>
        <v>A+</v>
      </c>
      <c r="K13" s="6" t="n">
        <v>83</v>
      </c>
      <c r="L13" s="1" t="s">
        <v>27</v>
      </c>
    </row>
    <row r="14" customFormat="false" ht="20" hidden="false" customHeight="true" outlineLevel="0" collapsed="false">
      <c r="A14" s="1" t="s">
        <v>28</v>
      </c>
      <c r="C14" s="2" t="n">
        <f aca="false">Sheet2!P16</f>
        <v>86.9</v>
      </c>
      <c r="D14" s="3" t="n">
        <f aca="false">Sheet3!P15</f>
        <v>0.866784954811271</v>
      </c>
      <c r="E14" s="3" t="n">
        <v>0.8</v>
      </c>
      <c r="F14" s="3" t="n">
        <v>0.74</v>
      </c>
      <c r="G14" s="3" t="n">
        <v>0.95</v>
      </c>
      <c r="I14" s="2" t="n">
        <f aca="false">(C14*0.125)+(D14*25)+(E14*25)+(F14*25)+(G14*12.5)</f>
        <v>82.9071238702818</v>
      </c>
      <c r="J14" s="4" t="str">
        <f aca="false">VLOOKUP(I14,$K$5:$L$17,2,TRUE())</f>
        <v>B-</v>
      </c>
      <c r="K14" s="6" t="n">
        <v>86</v>
      </c>
      <c r="L14" s="1" t="s">
        <v>29</v>
      </c>
    </row>
    <row r="15" customFormat="false" ht="20" hidden="false" customHeight="true" outlineLevel="0" collapsed="false">
      <c r="A15" s="1" t="s">
        <v>30</v>
      </c>
      <c r="C15" s="2" t="n">
        <f aca="false">Sheet2!P17</f>
        <v>86.7</v>
      </c>
      <c r="D15" s="3" t="n">
        <f aca="false">Sheet3!P16</f>
        <v>0.850764221158958</v>
      </c>
      <c r="E15" s="3" t="n">
        <v>0.93</v>
      </c>
      <c r="F15" s="3" t="n">
        <v>0.85</v>
      </c>
      <c r="G15" s="3" t="n">
        <v>0.9</v>
      </c>
      <c r="I15" s="2" t="n">
        <f aca="false">(C15*0.125)+(D15*25)+(E15*25)+(F15*25)+(G15*12.5)</f>
        <v>87.8566055289739</v>
      </c>
      <c r="J15" s="4" t="str">
        <f aca="false">VLOOKUP(I15,$K$5:$L$17,2,TRUE())</f>
        <v>B+</v>
      </c>
      <c r="K15" s="6" t="n">
        <v>89.5</v>
      </c>
      <c r="L15" s="1" t="s">
        <v>31</v>
      </c>
    </row>
    <row r="16" customFormat="false" ht="20" hidden="false" customHeight="true" outlineLevel="0" collapsed="false">
      <c r="A16" s="1" t="s">
        <v>32</v>
      </c>
      <c r="C16" s="2" t="n">
        <f aca="false">Sheet2!P18</f>
        <v>87.1</v>
      </c>
      <c r="D16" s="3" t="n">
        <f aca="false">Sheet3!P17</f>
        <v>0.861480595427964</v>
      </c>
      <c r="E16" s="3" t="n">
        <v>0.7</v>
      </c>
      <c r="F16" s="3" t="n">
        <v>0.89</v>
      </c>
      <c r="G16" s="3" t="n">
        <v>1</v>
      </c>
      <c r="I16" s="2" t="n">
        <f aca="false">(C16*0.125)+(D16*25)+(E16*25)+(F16*25)+(G16*12.5)</f>
        <v>84.6745148856991</v>
      </c>
      <c r="J16" s="4" t="str">
        <f aca="false">VLOOKUP(I16,$K$5:$L$17,2,TRUE())</f>
        <v>B</v>
      </c>
      <c r="K16" s="6" t="n">
        <v>93</v>
      </c>
      <c r="L16" s="1" t="s">
        <v>33</v>
      </c>
    </row>
    <row r="17" customFormat="false" ht="20" hidden="false" customHeight="true" outlineLevel="0" collapsed="false">
      <c r="A17" s="1" t="s">
        <v>34</v>
      </c>
      <c r="C17" s="2" t="n">
        <f aca="false">Sheet2!P19</f>
        <v>97.7</v>
      </c>
      <c r="D17" s="3" t="n">
        <f aca="false">Sheet3!P18</f>
        <v>0.970595427963849</v>
      </c>
      <c r="E17" s="3" t="n">
        <v>0.96</v>
      </c>
      <c r="F17" s="3" t="n">
        <v>0.95</v>
      </c>
      <c r="G17" s="3" t="n">
        <v>1</v>
      </c>
      <c r="I17" s="2" t="n">
        <f aca="false">(C17*0.125)+(D17*25)+(E17*25)+(F17*25)+(G17*12.5)</f>
        <v>96.7273856990962</v>
      </c>
      <c r="J17" s="4" t="str">
        <f aca="false">VLOOKUP(I17,$K$5:$L$17,2,TRUE())</f>
        <v>A+</v>
      </c>
      <c r="K17" s="6" t="n">
        <v>96</v>
      </c>
      <c r="L17" s="1" t="s">
        <v>35</v>
      </c>
    </row>
    <row r="19" customFormat="false" ht="20" hidden="false" customHeight="true" outlineLevel="0" collapsed="false">
      <c r="A19" s="1" t="s">
        <v>36</v>
      </c>
      <c r="C19" s="2" t="n">
        <f aca="false">MAX(C3:C17)</f>
        <v>97.7</v>
      </c>
      <c r="D19" s="3" t="n">
        <f aca="false">MAX(D3:D17)</f>
        <v>1.77840377458799</v>
      </c>
      <c r="E19" s="3" t="n">
        <f aca="false">MAX(E3:E17)</f>
        <v>0.96</v>
      </c>
      <c r="F19" s="3" t="n">
        <f aca="false">MAX(F3:F17)</f>
        <v>0.95</v>
      </c>
      <c r="G19" s="3" t="n">
        <f aca="false">MAX(G3:G17)</f>
        <v>1</v>
      </c>
      <c r="I19" s="2" t="n">
        <f aca="false">MAX(I3:I17)</f>
        <v>113.6725943647</v>
      </c>
    </row>
    <row r="20" customFormat="false" ht="20" hidden="false" customHeight="true" outlineLevel="0" collapsed="false">
      <c r="A20" s="1" t="s">
        <v>37</v>
      </c>
      <c r="C20" s="2" t="n">
        <f aca="false">MIN(C4:C18)</f>
        <v>72.2</v>
      </c>
      <c r="D20" s="3" t="n">
        <f aca="false">MIN(D3:D17)</f>
        <v>0.705956937799043</v>
      </c>
      <c r="E20" s="3" t="n">
        <f aca="false">MIN(E3:E17)</f>
        <v>0.69</v>
      </c>
      <c r="F20" s="3" t="n">
        <f aca="false">MIN(F3:F17)</f>
        <v>0.65</v>
      </c>
      <c r="G20" s="3" t="n">
        <f aca="false">MIN(G3:G17)</f>
        <v>0.7</v>
      </c>
      <c r="I20" s="2" t="n">
        <f aca="false">MIN(I3:I17)</f>
        <v>68.9239234449761</v>
      </c>
    </row>
    <row r="21" customFormat="false" ht="20" hidden="false" customHeight="true" outlineLevel="0" collapsed="false">
      <c r="A21" s="1" t="s">
        <v>38</v>
      </c>
      <c r="C21" s="2" t="n">
        <f aca="false">MAX(C5:C19)</f>
        <v>97.7</v>
      </c>
      <c r="D21" s="3" t="n">
        <f aca="false">AVERAGE(D3:D17)</f>
        <v>0.916090820485557</v>
      </c>
      <c r="E21" s="3" t="n">
        <f aca="false">AVERAGE(E3:E17)</f>
        <v>0.848</v>
      </c>
      <c r="F21" s="3" t="n">
        <f aca="false">AVERAGE(F3:F17)</f>
        <v>0.838</v>
      </c>
      <c r="G21" s="3" t="n">
        <f aca="false">AVERAGE(G3:G17)</f>
        <v>0.906666666666667</v>
      </c>
      <c r="I21" s="2" t="n">
        <f aca="false">AVERAGE(I3:I17)</f>
        <v>87.1106038454723</v>
      </c>
    </row>
  </sheetData>
  <mergeCells count="1">
    <mergeCell ref="K4:L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13" activeCellId="0" sqref="K13"/>
    </sheetView>
  </sheetViews>
  <sheetFormatPr defaultColWidth="20.828125" defaultRowHeight="20" zeroHeight="false" outlineLevelRow="0" outlineLevelCol="0"/>
  <cols>
    <col collapsed="false" customWidth="false" hidden="false" outlineLevel="0" max="257" min="1" style="1" width="20.83"/>
  </cols>
  <sheetData>
    <row r="1" customFormat="false" ht="20" hidden="false" customHeight="true" outlineLevel="0" collapsed="false">
      <c r="F1" s="1" t="s">
        <v>39</v>
      </c>
    </row>
    <row r="3" customFormat="false" ht="20" hidden="false" customHeight="true" outlineLevel="0" collapsed="false">
      <c r="A3" s="1" t="s">
        <v>40</v>
      </c>
      <c r="C3" s="1" t="s">
        <v>41</v>
      </c>
      <c r="D3" s="1" t="s">
        <v>42</v>
      </c>
      <c r="E3" s="1" t="s">
        <v>43</v>
      </c>
      <c r="F3" s="1" t="s">
        <v>44</v>
      </c>
      <c r="G3" s="1" t="s">
        <v>45</v>
      </c>
      <c r="H3" s="1" t="s">
        <v>46</v>
      </c>
      <c r="I3" s="1" t="s">
        <v>47</v>
      </c>
      <c r="J3" s="1" t="s">
        <v>48</v>
      </c>
      <c r="K3" s="1" t="s">
        <v>49</v>
      </c>
      <c r="L3" s="1" t="s">
        <v>50</v>
      </c>
      <c r="N3" s="1" t="s">
        <v>51</v>
      </c>
      <c r="O3" s="1" t="s">
        <v>52</v>
      </c>
      <c r="P3" s="1" t="s">
        <v>53</v>
      </c>
    </row>
    <row r="5" customFormat="false" ht="20" hidden="false" customHeight="true" outlineLevel="0" collapsed="false">
      <c r="A5" s="1" t="s">
        <v>8</v>
      </c>
      <c r="C5" s="1" t="n">
        <v>100</v>
      </c>
      <c r="D5" s="1" t="n">
        <v>95</v>
      </c>
      <c r="E5" s="1" t="n">
        <v>95</v>
      </c>
      <c r="F5" s="1" t="n">
        <v>90</v>
      </c>
      <c r="G5" s="1" t="n">
        <v>100</v>
      </c>
      <c r="H5" s="1" t="n">
        <v>82</v>
      </c>
      <c r="I5" s="1" t="n">
        <v>90</v>
      </c>
      <c r="J5" s="1" t="n">
        <v>70</v>
      </c>
      <c r="K5" s="1" t="n">
        <v>80</v>
      </c>
      <c r="L5" s="1" t="n">
        <v>85</v>
      </c>
      <c r="N5" s="1" t="n">
        <f aca="false">MAX(C5:L5)</f>
        <v>100</v>
      </c>
      <c r="O5" s="1" t="n">
        <f aca="false">MIN(C5:L5)</f>
        <v>70</v>
      </c>
      <c r="P5" s="2" t="n">
        <f aca="false">AVERAGE(C5:L5)</f>
        <v>88.7</v>
      </c>
    </row>
    <row r="6" customFormat="false" ht="20" hidden="false" customHeight="true" outlineLevel="0" collapsed="false">
      <c r="A6" s="1" t="s">
        <v>9</v>
      </c>
      <c r="C6" s="1" t="n">
        <v>100</v>
      </c>
      <c r="D6" s="1" t="n">
        <v>89</v>
      </c>
      <c r="E6" s="1" t="n">
        <v>92</v>
      </c>
      <c r="F6" s="1" t="n">
        <v>90</v>
      </c>
      <c r="G6" s="1" t="n">
        <v>89</v>
      </c>
      <c r="H6" s="1" t="n">
        <v>92</v>
      </c>
      <c r="I6" s="1" t="n">
        <v>89</v>
      </c>
      <c r="J6" s="1" t="n">
        <v>82</v>
      </c>
      <c r="K6" s="1" t="n">
        <v>86</v>
      </c>
      <c r="L6" s="1" t="n">
        <v>93</v>
      </c>
      <c r="N6" s="1" t="n">
        <f aca="false">MAX(C6:L6)</f>
        <v>100</v>
      </c>
      <c r="O6" s="1" t="n">
        <f aca="false">MIN(C6:L6)</f>
        <v>82</v>
      </c>
      <c r="P6" s="2" t="n">
        <f aca="false">AVERAGE(C6:L6)</f>
        <v>90.2</v>
      </c>
    </row>
    <row r="7" customFormat="false" ht="20" hidden="false" customHeight="true" outlineLevel="0" collapsed="false">
      <c r="A7" s="1" t="s">
        <v>11</v>
      </c>
      <c r="C7" s="1" t="n">
        <v>100</v>
      </c>
      <c r="D7" s="1" t="n">
        <v>87</v>
      </c>
      <c r="E7" s="1" t="n">
        <v>86</v>
      </c>
      <c r="F7" s="1" t="n">
        <v>92</v>
      </c>
      <c r="G7" s="1" t="n">
        <v>76</v>
      </c>
      <c r="H7" s="1" t="n">
        <v>88</v>
      </c>
      <c r="I7" s="1" t="n">
        <v>91</v>
      </c>
      <c r="J7" s="1" t="n">
        <v>81</v>
      </c>
      <c r="K7" s="1" t="n">
        <v>75</v>
      </c>
      <c r="L7" s="1" t="n">
        <v>85</v>
      </c>
      <c r="N7" s="1" t="n">
        <f aca="false">MAX(C7:L7)</f>
        <v>100</v>
      </c>
      <c r="O7" s="1" t="n">
        <f aca="false">MIN(C7:L7)</f>
        <v>75</v>
      </c>
      <c r="P7" s="2" t="n">
        <f aca="false">AVERAGE(C7:L7)</f>
        <v>86.1</v>
      </c>
    </row>
    <row r="8" customFormat="false" ht="20" hidden="false" customHeight="true" outlineLevel="0" collapsed="false">
      <c r="A8" s="1" t="s">
        <v>13</v>
      </c>
      <c r="C8" s="1" t="n">
        <v>100</v>
      </c>
      <c r="D8" s="1" t="n">
        <v>78</v>
      </c>
      <c r="E8" s="1" t="n">
        <v>78</v>
      </c>
      <c r="F8" s="1" t="n">
        <v>86</v>
      </c>
      <c r="G8" s="1" t="n">
        <v>85</v>
      </c>
      <c r="H8" s="1" t="n">
        <v>88</v>
      </c>
      <c r="I8" s="1" t="n">
        <v>80</v>
      </c>
      <c r="J8" s="1" t="n">
        <v>75</v>
      </c>
      <c r="K8" s="1" t="n">
        <v>80</v>
      </c>
      <c r="L8" s="1" t="n">
        <v>81</v>
      </c>
      <c r="N8" s="1" t="n">
        <f aca="false">MAX(C8:L8)</f>
        <v>100</v>
      </c>
      <c r="O8" s="1" t="n">
        <f aca="false">MIN(C8:L8)</f>
        <v>75</v>
      </c>
      <c r="P8" s="2" t="n">
        <f aca="false">AVERAGE(C8:L8)</f>
        <v>83.1</v>
      </c>
    </row>
    <row r="9" customFormat="false" ht="20" hidden="false" customHeight="true" outlineLevel="0" collapsed="false">
      <c r="A9" s="1" t="s">
        <v>15</v>
      </c>
      <c r="C9" s="1" t="n">
        <v>100</v>
      </c>
      <c r="D9" s="1" t="n">
        <v>92</v>
      </c>
      <c r="E9" s="1" t="n">
        <v>65</v>
      </c>
      <c r="F9" s="1" t="n">
        <v>76</v>
      </c>
      <c r="G9" s="1" t="n">
        <v>92</v>
      </c>
      <c r="H9" s="1" t="n">
        <v>80</v>
      </c>
      <c r="I9" s="1" t="n">
        <v>85</v>
      </c>
      <c r="J9" s="1" t="n">
        <v>77</v>
      </c>
      <c r="K9" s="1" t="n">
        <v>82</v>
      </c>
      <c r="L9" s="1" t="n">
        <v>79</v>
      </c>
      <c r="N9" s="1" t="n">
        <f aca="false">MAX(C9:L9)</f>
        <v>100</v>
      </c>
      <c r="O9" s="1" t="n">
        <f aca="false">MIN(C9:L9)</f>
        <v>65</v>
      </c>
      <c r="P9" s="2" t="n">
        <f aca="false">AVERAGE(C9:L9)</f>
        <v>82.8</v>
      </c>
    </row>
    <row r="10" customFormat="false" ht="20" hidden="false" customHeight="true" outlineLevel="0" collapsed="false">
      <c r="A10" s="1" t="s">
        <v>16</v>
      </c>
      <c r="C10" s="1" t="n">
        <v>100</v>
      </c>
      <c r="D10" s="1" t="n">
        <v>85</v>
      </c>
      <c r="E10" s="1" t="n">
        <v>94</v>
      </c>
      <c r="F10" s="1" t="n">
        <v>88</v>
      </c>
      <c r="G10" s="1" t="n">
        <v>85</v>
      </c>
      <c r="H10" s="1" t="n">
        <v>75</v>
      </c>
      <c r="I10" s="1" t="n">
        <v>86</v>
      </c>
      <c r="J10" s="1" t="n">
        <v>82</v>
      </c>
      <c r="K10" s="1" t="n">
        <v>86</v>
      </c>
      <c r="L10" s="1" t="n">
        <v>80</v>
      </c>
      <c r="N10" s="1" t="n">
        <f aca="false">MAX(C10:L10)</f>
        <v>100</v>
      </c>
      <c r="O10" s="1" t="n">
        <f aca="false">MIN(C10:L10)</f>
        <v>75</v>
      </c>
      <c r="P10" s="2" t="n">
        <f aca="false">AVERAGE(C10:L10)</f>
        <v>86.1</v>
      </c>
    </row>
    <row r="11" customFormat="false" ht="20" hidden="false" customHeight="true" outlineLevel="0" collapsed="false">
      <c r="A11" s="1" t="s">
        <v>18</v>
      </c>
      <c r="C11" s="1" t="n">
        <v>100</v>
      </c>
      <c r="D11" s="1" t="n">
        <v>96</v>
      </c>
      <c r="E11" s="1" t="n">
        <v>80</v>
      </c>
      <c r="F11" s="1" t="n">
        <v>82</v>
      </c>
      <c r="G11" s="1" t="n">
        <v>75</v>
      </c>
      <c r="H11" s="1" t="n">
        <v>86</v>
      </c>
      <c r="I11" s="1" t="n">
        <v>82</v>
      </c>
      <c r="J11" s="1" t="n">
        <v>80</v>
      </c>
      <c r="K11" s="1" t="n">
        <v>72</v>
      </c>
      <c r="L11" s="1" t="n">
        <v>83</v>
      </c>
      <c r="N11" s="1" t="n">
        <f aca="false">MAX(C11:L11)</f>
        <v>100</v>
      </c>
      <c r="O11" s="1" t="n">
        <f aca="false">MIN(C11:L11)</f>
        <v>72</v>
      </c>
      <c r="P11" s="2" t="n">
        <f aca="false">AVERAGE(C11:L11)</f>
        <v>83.6</v>
      </c>
    </row>
    <row r="12" customFormat="false" ht="20" hidden="false" customHeight="true" outlineLevel="0" collapsed="false">
      <c r="A12" s="1" t="s">
        <v>20</v>
      </c>
      <c r="C12" s="1" t="n">
        <v>100</v>
      </c>
      <c r="D12" s="1" t="n">
        <v>72</v>
      </c>
      <c r="E12" s="1" t="n">
        <v>75</v>
      </c>
      <c r="F12" s="1" t="n">
        <v>80</v>
      </c>
      <c r="G12" s="1" t="n">
        <v>65</v>
      </c>
      <c r="H12" s="1" t="n">
        <v>55</v>
      </c>
      <c r="I12" s="1" t="n">
        <v>71</v>
      </c>
      <c r="J12" s="1" t="n">
        <v>60</v>
      </c>
      <c r="K12" s="1" t="n">
        <v>75</v>
      </c>
      <c r="L12" s="1" t="n">
        <v>69</v>
      </c>
      <c r="N12" s="1" t="n">
        <f aca="false">MAX(C12:L12)</f>
        <v>100</v>
      </c>
      <c r="O12" s="1" t="n">
        <f aca="false">MIN(C12:L12)</f>
        <v>55</v>
      </c>
      <c r="P12" s="2" t="n">
        <f aca="false">AVERAGE(C12:L12)</f>
        <v>72.2</v>
      </c>
    </row>
    <row r="13" customFormat="false" ht="20" hidden="false" customHeight="true" outlineLevel="0" collapsed="false">
      <c r="A13" s="1" t="s">
        <v>22</v>
      </c>
      <c r="C13" s="1" t="n">
        <v>100</v>
      </c>
      <c r="D13" s="1" t="n">
        <v>83</v>
      </c>
      <c r="E13" s="1" t="n">
        <v>82</v>
      </c>
      <c r="F13" s="1" t="n">
        <v>75</v>
      </c>
      <c r="G13" s="1" t="n">
        <v>90</v>
      </c>
      <c r="H13" s="1" t="n">
        <v>88</v>
      </c>
      <c r="I13" s="1" t="n">
        <v>80</v>
      </c>
      <c r="J13" s="1" t="n">
        <v>63</v>
      </c>
      <c r="K13" s="1" t="n">
        <v>76</v>
      </c>
      <c r="L13" s="1" t="n">
        <v>69</v>
      </c>
      <c r="N13" s="1" t="n">
        <f aca="false">MAX(C13:L13)</f>
        <v>100</v>
      </c>
      <c r="O13" s="1" t="n">
        <f aca="false">MIN(C13:L13)</f>
        <v>63</v>
      </c>
      <c r="P13" s="2" t="n">
        <f aca="false">AVERAGE(C13:L13)</f>
        <v>80.6</v>
      </c>
    </row>
    <row r="14" customFormat="false" ht="20" hidden="false" customHeight="true" outlineLevel="0" collapsed="false">
      <c r="A14" s="1" t="s">
        <v>24</v>
      </c>
      <c r="C14" s="1" t="n">
        <v>100</v>
      </c>
      <c r="D14" s="1" t="n">
        <v>95</v>
      </c>
      <c r="E14" s="1" t="n">
        <v>80</v>
      </c>
      <c r="F14" s="1" t="n">
        <v>90</v>
      </c>
      <c r="G14" s="1" t="n">
        <v>95</v>
      </c>
      <c r="H14" s="1" t="n">
        <v>89</v>
      </c>
      <c r="I14" s="1" t="n">
        <v>81</v>
      </c>
      <c r="J14" s="1" t="n">
        <v>79</v>
      </c>
      <c r="K14" s="1" t="n">
        <v>86</v>
      </c>
      <c r="L14" s="1" t="n">
        <v>100</v>
      </c>
      <c r="N14" s="1" t="n">
        <f aca="false">MAX(C14:L14)</f>
        <v>100</v>
      </c>
      <c r="O14" s="1" t="n">
        <f aca="false">MIN(C14:L14)</f>
        <v>79</v>
      </c>
      <c r="P14" s="2" t="n">
        <f aca="false">AVERAGE(C14:L14)</f>
        <v>89.5</v>
      </c>
    </row>
    <row r="15" customFormat="false" ht="20" hidden="false" customHeight="true" outlineLevel="0" collapsed="false">
      <c r="A15" s="1" t="s">
        <v>26</v>
      </c>
      <c r="C15" s="1" t="n">
        <v>100</v>
      </c>
      <c r="D15" s="1" t="n">
        <v>86</v>
      </c>
      <c r="E15" s="1" t="n">
        <v>95</v>
      </c>
      <c r="F15" s="1" t="n">
        <v>92</v>
      </c>
      <c r="G15" s="1" t="n">
        <v>89</v>
      </c>
      <c r="H15" s="1" t="n">
        <v>84</v>
      </c>
      <c r="I15" s="1" t="n">
        <v>79</v>
      </c>
      <c r="J15" s="1" t="n">
        <v>74</v>
      </c>
      <c r="K15" s="1" t="n">
        <v>75</v>
      </c>
      <c r="L15" s="1" t="n">
        <v>83</v>
      </c>
      <c r="N15" s="1" t="n">
        <f aca="false">MAX(C15:L15)</f>
        <v>100</v>
      </c>
      <c r="O15" s="1" t="n">
        <f aca="false">MIN(C15:L15)</f>
        <v>74</v>
      </c>
      <c r="P15" s="2" t="n">
        <f aca="false">AVERAGE(C15:L15)</f>
        <v>85.7</v>
      </c>
    </row>
    <row r="16" customFormat="false" ht="20" hidden="false" customHeight="true" outlineLevel="0" collapsed="false">
      <c r="A16" s="1" t="s">
        <v>28</v>
      </c>
      <c r="C16" s="1" t="n">
        <v>100</v>
      </c>
      <c r="D16" s="1" t="n">
        <v>81</v>
      </c>
      <c r="E16" s="1" t="n">
        <v>89</v>
      </c>
      <c r="F16" s="1" t="n">
        <v>88</v>
      </c>
      <c r="G16" s="1" t="n">
        <v>92</v>
      </c>
      <c r="H16" s="1" t="n">
        <v>89</v>
      </c>
      <c r="I16" s="1" t="n">
        <v>80</v>
      </c>
      <c r="J16" s="1" t="n">
        <v>76</v>
      </c>
      <c r="K16" s="1" t="n">
        <v>86</v>
      </c>
      <c r="L16" s="1" t="n">
        <v>88</v>
      </c>
      <c r="N16" s="1" t="n">
        <f aca="false">MAX(C16:L16)</f>
        <v>100</v>
      </c>
      <c r="O16" s="1" t="n">
        <f aca="false">MIN(C16:L16)</f>
        <v>76</v>
      </c>
      <c r="P16" s="2" t="n">
        <f aca="false">AVERAGE(C16:L16)</f>
        <v>86.9</v>
      </c>
    </row>
    <row r="17" customFormat="false" ht="20" hidden="false" customHeight="true" outlineLevel="0" collapsed="false">
      <c r="A17" s="1" t="s">
        <v>30</v>
      </c>
      <c r="C17" s="1" t="n">
        <v>100</v>
      </c>
      <c r="D17" s="1" t="n">
        <v>92</v>
      </c>
      <c r="E17" s="1" t="n">
        <v>72</v>
      </c>
      <c r="F17" s="1" t="n">
        <v>85</v>
      </c>
      <c r="G17" s="1" t="n">
        <v>100</v>
      </c>
      <c r="H17" s="1" t="n">
        <v>90</v>
      </c>
      <c r="I17" s="1" t="n">
        <v>89</v>
      </c>
      <c r="J17" s="1" t="n">
        <v>80</v>
      </c>
      <c r="K17" s="1" t="n">
        <v>76</v>
      </c>
      <c r="L17" s="1" t="n">
        <v>83</v>
      </c>
      <c r="N17" s="1" t="n">
        <f aca="false">MAX(C17:L17)</f>
        <v>100</v>
      </c>
      <c r="O17" s="1" t="n">
        <f aca="false">MIN(C17:L17)</f>
        <v>72</v>
      </c>
      <c r="P17" s="2" t="n">
        <f aca="false">AVERAGE(C17:L17)</f>
        <v>86.7</v>
      </c>
    </row>
    <row r="18" customFormat="false" ht="20" hidden="false" customHeight="true" outlineLevel="0" collapsed="false">
      <c r="A18" s="1" t="s">
        <v>32</v>
      </c>
      <c r="C18" s="1" t="n">
        <v>100</v>
      </c>
      <c r="D18" s="1" t="n">
        <v>84</v>
      </c>
      <c r="E18" s="1" t="n">
        <v>65</v>
      </c>
      <c r="F18" s="1" t="n">
        <v>75</v>
      </c>
      <c r="G18" s="1" t="n">
        <v>89</v>
      </c>
      <c r="H18" s="1" t="n">
        <v>91</v>
      </c>
      <c r="I18" s="1" t="n">
        <v>95</v>
      </c>
      <c r="J18" s="1" t="n">
        <v>90</v>
      </c>
      <c r="K18" s="1" t="n">
        <v>93</v>
      </c>
      <c r="L18" s="1" t="n">
        <v>89</v>
      </c>
      <c r="N18" s="1" t="n">
        <f aca="false">MAX(C18:L18)</f>
        <v>100</v>
      </c>
      <c r="O18" s="1" t="n">
        <f aca="false">MIN(C18:L18)</f>
        <v>65</v>
      </c>
      <c r="P18" s="2" t="n">
        <f aca="false">AVERAGE(C18:L18)</f>
        <v>87.1</v>
      </c>
    </row>
    <row r="19" customFormat="false" ht="20" hidden="false" customHeight="true" outlineLevel="0" collapsed="false">
      <c r="A19" s="1" t="s">
        <v>34</v>
      </c>
      <c r="C19" s="1" t="n">
        <v>100</v>
      </c>
      <c r="D19" s="1" t="n">
        <v>98</v>
      </c>
      <c r="E19" s="1" t="n">
        <v>100</v>
      </c>
      <c r="F19" s="1" t="n">
        <v>95</v>
      </c>
      <c r="G19" s="1" t="n">
        <v>100</v>
      </c>
      <c r="H19" s="1" t="n">
        <v>98</v>
      </c>
      <c r="I19" s="1" t="n">
        <v>100</v>
      </c>
      <c r="J19" s="1" t="n">
        <v>92</v>
      </c>
      <c r="K19" s="1" t="n">
        <v>96</v>
      </c>
      <c r="L19" s="1" t="n">
        <v>98</v>
      </c>
      <c r="N19" s="1" t="n">
        <f aca="false">MAX(C19:L19)</f>
        <v>100</v>
      </c>
      <c r="O19" s="1" t="n">
        <f aca="false">MIN(C19:L19)</f>
        <v>92</v>
      </c>
      <c r="P19" s="2" t="n">
        <f aca="false">AVERAGE(C19:L19)</f>
        <v>97.7</v>
      </c>
    </row>
    <row r="21" customFormat="false" ht="20" hidden="false" customHeight="true" outlineLevel="0" collapsed="false">
      <c r="A21" s="1" t="s">
        <v>54</v>
      </c>
      <c r="C21" s="1" t="n">
        <f aca="false">MAX(C5:C19)</f>
        <v>100</v>
      </c>
      <c r="D21" s="1" t="n">
        <f aca="false">MAX(D5:D19)</f>
        <v>98</v>
      </c>
      <c r="E21" s="1" t="n">
        <f aca="false">MAX(E5:E19)</f>
        <v>100</v>
      </c>
      <c r="F21" s="1" t="n">
        <f aca="false">MAX(F5:F19)</f>
        <v>95</v>
      </c>
      <c r="G21" s="1" t="n">
        <f aca="false">MAX(G5:G19)</f>
        <v>100</v>
      </c>
      <c r="H21" s="1" t="n">
        <f aca="false">MAX(H5:H19)</f>
        <v>98</v>
      </c>
      <c r="I21" s="1" t="n">
        <f aca="false">MAX(I5:I19)</f>
        <v>100</v>
      </c>
      <c r="J21" s="1" t="n">
        <f aca="false">MAX(J5:J19)</f>
        <v>92</v>
      </c>
      <c r="K21" s="1" t="n">
        <f aca="false">MAX(K5:K19)</f>
        <v>96</v>
      </c>
      <c r="L21" s="1" t="n">
        <f aca="false">MAX(L5:L19)</f>
        <v>100</v>
      </c>
    </row>
    <row r="22" customFormat="false" ht="20" hidden="false" customHeight="true" outlineLevel="0" collapsed="false">
      <c r="A22" s="1" t="s">
        <v>55</v>
      </c>
      <c r="C22" s="1" t="n">
        <f aca="false">MIN(C5:C19)</f>
        <v>100</v>
      </c>
      <c r="D22" s="1" t="n">
        <f aca="false">MIN(D5:D19)</f>
        <v>72</v>
      </c>
      <c r="E22" s="1" t="n">
        <f aca="false">MIN(E5:E19)</f>
        <v>65</v>
      </c>
      <c r="F22" s="1" t="n">
        <f aca="false">MIN(F5:F19)</f>
        <v>75</v>
      </c>
      <c r="G22" s="1" t="n">
        <f aca="false">MIN(G5:G19)</f>
        <v>65</v>
      </c>
      <c r="H22" s="1" t="n">
        <f aca="false">MIN(H5:H19)</f>
        <v>55</v>
      </c>
      <c r="I22" s="1" t="n">
        <f aca="false">MIN(I5:I19)</f>
        <v>71</v>
      </c>
      <c r="J22" s="1" t="n">
        <f aca="false">MIN(J5:J19)</f>
        <v>60</v>
      </c>
      <c r="K22" s="1" t="n">
        <f aca="false">MIN(K5:K19)</f>
        <v>72</v>
      </c>
      <c r="L22" s="1" t="n">
        <f aca="false">MIN(L5:L19)</f>
        <v>69</v>
      </c>
    </row>
    <row r="23" customFormat="false" ht="20" hidden="false" customHeight="true" outlineLevel="0" collapsed="false">
      <c r="A23" s="1" t="s">
        <v>38</v>
      </c>
      <c r="C23" s="2" t="n">
        <f aca="false">AVERAGE(C5:C19)</f>
        <v>100</v>
      </c>
      <c r="D23" s="2" t="n">
        <f aca="false">AVERAGE(D5:D19)</f>
        <v>87.5333333333333</v>
      </c>
      <c r="E23" s="2" t="n">
        <f aca="false">AVERAGE(E5:E19)</f>
        <v>83.2</v>
      </c>
      <c r="F23" s="2" t="n">
        <f aca="false">AVERAGE(F5:F19)</f>
        <v>85.6</v>
      </c>
      <c r="G23" s="2" t="n">
        <f aca="false">AVERAGE(G5:G19)</f>
        <v>88.1333333333333</v>
      </c>
      <c r="H23" s="2" t="n">
        <f aca="false">AVERAGE(H5:H19)</f>
        <v>85</v>
      </c>
      <c r="I23" s="2" t="n">
        <f aca="false">AVERAGE(I5:I19)</f>
        <v>85.2</v>
      </c>
      <c r="J23" s="2" t="n">
        <f aca="false">AVERAGE(J5:J19)</f>
        <v>77.4</v>
      </c>
      <c r="K23" s="2" t="n">
        <f aca="false">AVERAGE(K5:K19)</f>
        <v>81.6</v>
      </c>
      <c r="L23" s="2" t="n">
        <f aca="false">AVERAGE(L5:L19)</f>
        <v>84.3333333333333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24" activeCellId="0" sqref="L24"/>
    </sheetView>
  </sheetViews>
  <sheetFormatPr defaultColWidth="20.828125" defaultRowHeight="20" zeroHeight="false" outlineLevelRow="0" outlineLevelCol="0"/>
  <cols>
    <col collapsed="false" customWidth="false" hidden="false" outlineLevel="0" max="257" min="1" style="1" width="20.83"/>
  </cols>
  <sheetData>
    <row r="1" customFormat="false" ht="20" hidden="false" customHeight="true" outlineLevel="0" collapsed="false">
      <c r="A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N1" s="1" t="s">
        <v>51</v>
      </c>
      <c r="O1" s="1" t="s">
        <v>52</v>
      </c>
      <c r="P1" s="1" t="s">
        <v>53</v>
      </c>
    </row>
    <row r="2" customFormat="false" ht="20" hidden="false" customHeight="true" outlineLevel="0" collapsed="false">
      <c r="A2" s="1" t="s">
        <v>67</v>
      </c>
      <c r="C2" s="1" t="n">
        <v>100</v>
      </c>
      <c r="E2" s="1" t="n">
        <v>110</v>
      </c>
      <c r="G2" s="1" t="n">
        <v>90</v>
      </c>
      <c r="I2" s="1" t="n">
        <v>95</v>
      </c>
      <c r="K2" s="1" t="n">
        <v>120</v>
      </c>
    </row>
    <row r="4" customFormat="false" ht="20" hidden="false" customHeight="true" outlineLevel="0" collapsed="false">
      <c r="A4" s="1" t="s">
        <v>8</v>
      </c>
      <c r="C4" s="2" t="n">
        <v>90</v>
      </c>
      <c r="D4" s="3" t="n">
        <f aca="false">C4/$D$24</f>
        <v>0.9</v>
      </c>
      <c r="E4" s="2" t="n">
        <v>95</v>
      </c>
      <c r="F4" s="3" t="n">
        <f aca="false">E4/$F$24</f>
        <v>0.863636363636364</v>
      </c>
      <c r="G4" s="2" t="n">
        <v>84</v>
      </c>
      <c r="H4" s="3" t="n">
        <f aca="false">G4/$H$24</f>
        <v>0.933333333333333</v>
      </c>
      <c r="I4" s="2" t="n">
        <v>85</v>
      </c>
      <c r="J4" s="3" t="n">
        <f aca="false">I4/$J$24</f>
        <v>0.894736842105263</v>
      </c>
      <c r="K4" s="2" t="n">
        <v>106</v>
      </c>
      <c r="L4" s="3" t="n">
        <f aca="false">K4/$L$24</f>
        <v>0.883333333333333</v>
      </c>
      <c r="N4" s="3" t="n">
        <f aca="false">MAX(D4,F4,H4,J4,L4)</f>
        <v>0.933333333333333</v>
      </c>
      <c r="O4" s="3" t="n">
        <f aca="false">MIN(D4,F4,H4,J4,L4)</f>
        <v>0.863636363636364</v>
      </c>
      <c r="P4" s="3" t="n">
        <f aca="false">AVERAGE(D4,F4,H4,J4,L40)</f>
        <v>0.89792663476874</v>
      </c>
    </row>
    <row r="5" customFormat="false" ht="20" hidden="false" customHeight="true" outlineLevel="0" collapsed="false">
      <c r="A5" s="1" t="s">
        <v>9</v>
      </c>
      <c r="C5" s="2" t="n">
        <v>88</v>
      </c>
      <c r="D5" s="3" t="n">
        <f aca="false">C5/$D$24</f>
        <v>0.88</v>
      </c>
      <c r="E5" s="2" t="n">
        <v>96</v>
      </c>
      <c r="F5" s="3" t="n">
        <f aca="false">E5/$F$24</f>
        <v>0.872727272727273</v>
      </c>
      <c r="G5" s="2" t="n">
        <v>80</v>
      </c>
      <c r="H5" s="3" t="n">
        <f aca="false">G5/$H$24</f>
        <v>0.888888888888889</v>
      </c>
      <c r="I5" s="2" t="n">
        <v>80</v>
      </c>
      <c r="J5" s="3" t="n">
        <f aca="false">I5/$J$24</f>
        <v>0.842105263157895</v>
      </c>
      <c r="K5" s="2" t="n">
        <v>95</v>
      </c>
      <c r="L5" s="3" t="n">
        <f aca="false">K5/$L$24</f>
        <v>0.791666666666667</v>
      </c>
      <c r="N5" s="3" t="n">
        <f aca="false">MAX(D5,F5,H5,J5,L5)</f>
        <v>0.888888888888889</v>
      </c>
      <c r="O5" s="3" t="n">
        <f aca="false">MIN(D5,F5,H5,J5,L5)</f>
        <v>0.791666666666667</v>
      </c>
      <c r="P5" s="3" t="n">
        <f aca="false">AVERAGE(D5,F5,H5,J5,L41)</f>
        <v>0.870930356193514</v>
      </c>
    </row>
    <row r="6" customFormat="false" ht="20" hidden="false" customHeight="true" outlineLevel="0" collapsed="false">
      <c r="A6" s="1" t="s">
        <v>11</v>
      </c>
      <c r="C6" s="2" t="n">
        <v>85</v>
      </c>
      <c r="D6" s="3" t="n">
        <f aca="false">C6/$D$24</f>
        <v>0.85</v>
      </c>
      <c r="E6" s="2" t="n">
        <v>91</v>
      </c>
      <c r="F6" s="3" t="n">
        <f aca="false">E6/$F$24</f>
        <v>0.827272727272727</v>
      </c>
      <c r="G6" s="2" t="n">
        <v>75</v>
      </c>
      <c r="H6" s="3" t="n">
        <f aca="false">G6/$H$24</f>
        <v>0.833333333333333</v>
      </c>
      <c r="I6" s="2" t="n">
        <v>77</v>
      </c>
      <c r="J6" s="3" t="n">
        <f aca="false">I6/$J$24</f>
        <v>0.810526315789474</v>
      </c>
      <c r="K6" s="2" t="n">
        <v>92</v>
      </c>
      <c r="L6" s="3" t="n">
        <f aca="false">K6/$L$24</f>
        <v>0.766666666666667</v>
      </c>
      <c r="N6" s="3" t="n">
        <f aca="false">MAX(D6,F6,H6,J6,L6)</f>
        <v>0.85</v>
      </c>
      <c r="O6" s="3" t="n">
        <f aca="false">MIN(D6,F6,H6,J6,L6)</f>
        <v>0.766666666666667</v>
      </c>
      <c r="P6" s="3" t="n">
        <f aca="false">AVERAGE(D6,F6,H6,J6,L42)</f>
        <v>0.830283094098884</v>
      </c>
    </row>
    <row r="7" customFormat="false" ht="20" hidden="false" customHeight="true" outlineLevel="0" collapsed="false">
      <c r="A7" s="1" t="s">
        <v>13</v>
      </c>
      <c r="C7" s="2" t="n">
        <v>92</v>
      </c>
      <c r="D7" s="3" t="n">
        <f aca="false">C7/$D$24</f>
        <v>0.92</v>
      </c>
      <c r="E7" s="2" t="n">
        <v>100</v>
      </c>
      <c r="F7" s="3" t="n">
        <f aca="false">E7/$F$24</f>
        <v>0.909090909090909</v>
      </c>
      <c r="G7" s="2" t="n">
        <v>86</v>
      </c>
      <c r="H7" s="3" t="n">
        <f aca="false">G7/$H$24</f>
        <v>0.955555555555556</v>
      </c>
      <c r="I7" s="2" t="n">
        <v>80</v>
      </c>
      <c r="J7" s="3" t="n">
        <f aca="false">I7/$J$24</f>
        <v>0.842105263157895</v>
      </c>
      <c r="K7" s="2" t="n">
        <v>89</v>
      </c>
      <c r="L7" s="3" t="n">
        <f aca="false">K7/$L$24</f>
        <v>0.741666666666667</v>
      </c>
      <c r="N7" s="3" t="n">
        <f aca="false">MAX(D7,F7,H7,J7,L7)</f>
        <v>0.955555555555556</v>
      </c>
      <c r="O7" s="3" t="n">
        <f aca="false">MIN(D7,F7,H7,J7,L7)</f>
        <v>0.741666666666667</v>
      </c>
      <c r="P7" s="3" t="n">
        <f aca="false">AVERAGE(D7,F7,H7,J7,L43)</f>
        <v>0.90668793195109</v>
      </c>
    </row>
    <row r="8" customFormat="false" ht="20" hidden="false" customHeight="true" outlineLevel="0" collapsed="false">
      <c r="A8" s="1" t="s">
        <v>15</v>
      </c>
      <c r="C8" s="2" t="n">
        <v>87</v>
      </c>
      <c r="D8" s="3" t="n">
        <f aca="false">C8/$D$24</f>
        <v>0.87</v>
      </c>
      <c r="E8" s="2" t="n">
        <v>89</v>
      </c>
      <c r="F8" s="3" t="n">
        <f aca="false">E8/$F$24</f>
        <v>0.809090909090909</v>
      </c>
      <c r="G8" s="2" t="n">
        <v>80</v>
      </c>
      <c r="H8" s="3" t="n">
        <f aca="false">G8/$H$24</f>
        <v>0.888888888888889</v>
      </c>
      <c r="I8" s="2" t="n">
        <v>81</v>
      </c>
      <c r="J8" s="3" t="n">
        <f aca="false">I8/$J$24</f>
        <v>0.852631578947368</v>
      </c>
      <c r="K8" s="2" t="n">
        <v>99</v>
      </c>
      <c r="L8" s="3" t="n">
        <f aca="false">K8/$L$24</f>
        <v>0.825</v>
      </c>
      <c r="N8" s="3" t="n">
        <f aca="false">MAX(D8,F8,H8,J8,L8)</f>
        <v>0.888888888888889</v>
      </c>
      <c r="O8" s="3" t="n">
        <f aca="false">MIN(D8,F8,H8,J8,L8)</f>
        <v>0.809090909090909</v>
      </c>
      <c r="P8" s="3" t="n">
        <f aca="false">AVERAGE(D8,F8,H8,J8,L44)</f>
        <v>0.855152844231792</v>
      </c>
    </row>
    <row r="9" customFormat="false" ht="20" hidden="false" customHeight="true" outlineLevel="0" collapsed="false">
      <c r="A9" s="1" t="s">
        <v>16</v>
      </c>
      <c r="C9" s="2" t="n">
        <v>82</v>
      </c>
      <c r="D9" s="3" t="n">
        <f aca="false">C9/$D$24</f>
        <v>0.82</v>
      </c>
      <c r="E9" s="2" t="n">
        <v>87</v>
      </c>
      <c r="F9" s="3" t="n">
        <f aca="false">E9/$F$24</f>
        <v>0.790909090909091</v>
      </c>
      <c r="G9" s="2" t="n">
        <v>79</v>
      </c>
      <c r="H9" s="3" t="n">
        <f aca="false">G9/$H$24</f>
        <v>0.877777777777778</v>
      </c>
      <c r="I9" s="2" t="n">
        <v>79</v>
      </c>
      <c r="J9" s="3" t="n">
        <f aca="false">I9/$J$24</f>
        <v>0.831578947368421</v>
      </c>
      <c r="K9" s="2" t="n">
        <v>91</v>
      </c>
      <c r="L9" s="3" t="n">
        <f aca="false">K9/$L$24</f>
        <v>0.758333333333333</v>
      </c>
      <c r="N9" s="3" t="n">
        <f aca="false">MAX(D9,F9,H9,J9,L9)</f>
        <v>0.877777777777778</v>
      </c>
      <c r="O9" s="3" t="n">
        <f aca="false">MIN(D9,F9,H9,J9,L9)</f>
        <v>0.758333333333333</v>
      </c>
      <c r="P9" s="3" t="n">
        <f aca="false">AVERAGE(D9,F9,H9,J9,L45)</f>
        <v>0.830066454013822</v>
      </c>
    </row>
    <row r="10" customFormat="false" ht="20" hidden="false" customHeight="true" outlineLevel="0" collapsed="false">
      <c r="A10" s="1" t="s">
        <v>18</v>
      </c>
      <c r="C10" s="2" t="n">
        <v>80</v>
      </c>
      <c r="D10" s="3" t="n">
        <f aca="false">C10/$D$24</f>
        <v>0.8</v>
      </c>
      <c r="E10" s="2" t="n">
        <v>83</v>
      </c>
      <c r="F10" s="3" t="n">
        <f aca="false">E10/$F$24</f>
        <v>0.754545454545455</v>
      </c>
      <c r="G10" s="2" t="n">
        <v>75</v>
      </c>
      <c r="H10" s="3" t="n">
        <f aca="false">G10/$H$24</f>
        <v>0.833333333333333</v>
      </c>
      <c r="I10" s="2" t="n">
        <v>77</v>
      </c>
      <c r="J10" s="3" t="n">
        <f aca="false">I10/$J$24</f>
        <v>0.810526315789474</v>
      </c>
      <c r="K10" s="2" t="n">
        <v>108</v>
      </c>
      <c r="L10" s="3" t="n">
        <f aca="false">K10/$L$24</f>
        <v>0.9</v>
      </c>
      <c r="N10" s="3" t="n">
        <f aca="false">MAX(D10,F10,H10,J10,L10)</f>
        <v>0.9</v>
      </c>
      <c r="O10" s="3" t="n">
        <f aca="false">MIN(D10,F10,H10,J10,L10)</f>
        <v>0.754545454545455</v>
      </c>
      <c r="P10" s="3" t="n">
        <f aca="false">AVERAGE(D10,F10,H10,J10,L46)</f>
        <v>0.799601275917065</v>
      </c>
    </row>
    <row r="11" customFormat="false" ht="20" hidden="false" customHeight="true" outlineLevel="0" collapsed="false">
      <c r="A11" s="1" t="s">
        <v>20</v>
      </c>
      <c r="C11" s="2" t="n">
        <v>72</v>
      </c>
      <c r="D11" s="3" t="n">
        <f aca="false">C11/$D$24</f>
        <v>0.72</v>
      </c>
      <c r="E11" s="2" t="n">
        <v>78</v>
      </c>
      <c r="F11" s="3" t="n">
        <f aca="false">E11/$F$24</f>
        <v>0.709090909090909</v>
      </c>
      <c r="G11" s="2" t="n">
        <v>63</v>
      </c>
      <c r="H11" s="3" t="n">
        <f aca="false">G11/$H$24</f>
        <v>0.7</v>
      </c>
      <c r="I11" s="2" t="n">
        <v>66</v>
      </c>
      <c r="J11" s="3" t="n">
        <f aca="false">I11/$J$24</f>
        <v>0.694736842105263</v>
      </c>
      <c r="K11" s="2" t="n">
        <v>82</v>
      </c>
      <c r="L11" s="3" t="n">
        <f aca="false">K11/$L$24</f>
        <v>0.683333333333333</v>
      </c>
      <c r="N11" s="3" t="n">
        <f aca="false">MAX(D11,F11,H11,J11,L11)</f>
        <v>0.72</v>
      </c>
      <c r="O11" s="3" t="n">
        <f aca="false">MIN(D11,F11,H11,J11,L11)</f>
        <v>0.683333333333333</v>
      </c>
      <c r="P11" s="3" t="n">
        <f aca="false">AVERAGE(D11,F11,H11,J11,L47)</f>
        <v>0.705956937799043</v>
      </c>
    </row>
    <row r="12" customFormat="false" ht="20" hidden="false" customHeight="true" outlineLevel="0" collapsed="false">
      <c r="A12" s="1" t="s">
        <v>22</v>
      </c>
      <c r="C12" s="2" t="n">
        <v>86</v>
      </c>
      <c r="D12" s="3" t="n">
        <f aca="false">C12/$D$24</f>
        <v>0.86</v>
      </c>
      <c r="E12" s="2" t="n">
        <v>99</v>
      </c>
      <c r="F12" s="3" t="n">
        <f aca="false">E12/$F$24</f>
        <v>0.9</v>
      </c>
      <c r="G12" s="2" t="n">
        <v>80</v>
      </c>
      <c r="H12" s="3" t="n">
        <f aca="false">G12/$H$24</f>
        <v>0.888888888888889</v>
      </c>
      <c r="I12" s="2" t="n">
        <v>78</v>
      </c>
      <c r="J12" s="3" t="n">
        <f aca="false">I12/$J$24</f>
        <v>0.821052631578947</v>
      </c>
      <c r="K12" s="2" t="n">
        <v>102</v>
      </c>
      <c r="L12" s="3" t="n">
        <f aca="false">K12/$L$24</f>
        <v>0.85</v>
      </c>
      <c r="N12" s="3" t="n">
        <f aca="false">MAX(D12,F12,H12,J12,L12)</f>
        <v>0.9</v>
      </c>
      <c r="O12" s="3" t="n">
        <f aca="false">MIN(D12,F12,H12,J12,L12)</f>
        <v>0.821052631578947</v>
      </c>
      <c r="P12" s="3" t="n">
        <f aca="false">AVERAGE(D12,F12,H12,J12,L48)</f>
        <v>0.867485380116959</v>
      </c>
    </row>
    <row r="13" customFormat="false" ht="20" hidden="false" customHeight="true" outlineLevel="0" collapsed="false">
      <c r="A13" s="1" t="s">
        <v>24</v>
      </c>
      <c r="C13" s="2" t="n">
        <v>90</v>
      </c>
      <c r="D13" s="3" t="n">
        <f aca="false">C13/$D$24</f>
        <v>0.9</v>
      </c>
      <c r="E13" s="2" t="n">
        <v>95</v>
      </c>
      <c r="F13" s="3" t="n">
        <f aca="false">E13/$F$24</f>
        <v>0.863636363636364</v>
      </c>
      <c r="G13" s="2" t="n">
        <v>75</v>
      </c>
      <c r="H13" s="3" t="n">
        <f aca="false">G13/$H$24</f>
        <v>0.833333333333333</v>
      </c>
      <c r="I13" s="2" t="n">
        <v>76</v>
      </c>
      <c r="J13" s="3" t="n">
        <f aca="false">I13/$J$24</f>
        <v>0.8</v>
      </c>
      <c r="K13" s="2" t="n">
        <v>96</v>
      </c>
      <c r="L13" s="3" t="n">
        <f aca="false">K13/$L$24</f>
        <v>0.8</v>
      </c>
      <c r="N13" s="3" t="n">
        <f aca="false">MAX(D13,F13,H13,J13,L13)</f>
        <v>0.9</v>
      </c>
      <c r="O13" s="3" t="n">
        <f aca="false">MIN(D13,F13,H13,J13,L13)</f>
        <v>0.8</v>
      </c>
      <c r="P13" s="3" t="n">
        <f aca="false">AVERAGE(D13,F13,H13,J13,L49)</f>
        <v>0.849242424242424</v>
      </c>
    </row>
    <row r="14" customFormat="false" ht="20" hidden="false" customHeight="true" outlineLevel="0" collapsed="false">
      <c r="A14" s="1" t="s">
        <v>26</v>
      </c>
      <c r="C14" s="2" t="n">
        <v>91</v>
      </c>
      <c r="D14" s="3" t="n">
        <f aca="false">C14/$D$24</f>
        <v>0.91</v>
      </c>
      <c r="E14" s="2" t="n">
        <v>101</v>
      </c>
      <c r="F14" s="3" t="n">
        <f aca="false">510/$F$24</f>
        <v>4.63636363636364</v>
      </c>
      <c r="G14" s="2" t="n">
        <v>70</v>
      </c>
      <c r="H14" s="3" t="n">
        <f aca="false">G14/$H$24</f>
        <v>0.777777777777778</v>
      </c>
      <c r="I14" s="2" t="n">
        <v>75</v>
      </c>
      <c r="J14" s="3" t="n">
        <f aca="false">I14/$J$24</f>
        <v>0.789473684210526</v>
      </c>
      <c r="K14" s="2" t="n">
        <v>85</v>
      </c>
      <c r="L14" s="3" t="n">
        <f aca="false">K14/$L$24</f>
        <v>0.708333333333333</v>
      </c>
      <c r="N14" s="3" t="n">
        <f aca="false">MAX(D14,F14,H14,J14,L14)</f>
        <v>4.63636363636364</v>
      </c>
      <c r="O14" s="3" t="n">
        <f aca="false">MIN(D14,F14,H14,J14,L14)</f>
        <v>0.708333333333333</v>
      </c>
      <c r="P14" s="3" t="n">
        <f aca="false">AVERAGE(D14,F14,H14,J14,L50)</f>
        <v>1.77840377458799</v>
      </c>
    </row>
    <row r="15" customFormat="false" ht="20" hidden="false" customHeight="true" outlineLevel="0" collapsed="false">
      <c r="A15" s="1" t="s">
        <v>28</v>
      </c>
      <c r="C15" s="2" t="n">
        <v>89</v>
      </c>
      <c r="D15" s="3" t="n">
        <f aca="false">C15/$D$24</f>
        <v>0.89</v>
      </c>
      <c r="E15" s="2" t="n">
        <v>86</v>
      </c>
      <c r="F15" s="3" t="n">
        <f aca="false">E15/$F$24</f>
        <v>0.781818181818182</v>
      </c>
      <c r="G15" s="2" t="n">
        <v>82</v>
      </c>
      <c r="H15" s="3" t="n">
        <f aca="false">G15/$H$24</f>
        <v>0.911111111111111</v>
      </c>
      <c r="I15" s="2" t="n">
        <v>84</v>
      </c>
      <c r="J15" s="3" t="n">
        <f aca="false">I15/$J$24</f>
        <v>0.884210526315789</v>
      </c>
      <c r="K15" s="2" t="n">
        <v>94</v>
      </c>
      <c r="L15" s="3" t="n">
        <f aca="false">K15/$L$24</f>
        <v>0.783333333333333</v>
      </c>
      <c r="N15" s="3" t="n">
        <f aca="false">MAX(D15,F15,H15,J15,L15)</f>
        <v>0.911111111111111</v>
      </c>
      <c r="O15" s="3" t="n">
        <f aca="false">MIN(D15,F15,H15,J15,L15)</f>
        <v>0.781818181818182</v>
      </c>
      <c r="P15" s="3" t="n">
        <f aca="false">AVERAGE(D15,F15,H15,J15,L51)</f>
        <v>0.866784954811271</v>
      </c>
    </row>
    <row r="16" customFormat="false" ht="20" hidden="false" customHeight="true" outlineLevel="0" collapsed="false">
      <c r="A16" s="1" t="s">
        <v>30</v>
      </c>
      <c r="C16" s="2" t="n">
        <v>85</v>
      </c>
      <c r="D16" s="3" t="n">
        <f aca="false">C16/$D$24</f>
        <v>0.85</v>
      </c>
      <c r="E16" s="2" t="n">
        <v>93</v>
      </c>
      <c r="F16" s="3" t="n">
        <f aca="false">E16/$F$24</f>
        <v>0.845454545454545</v>
      </c>
      <c r="G16" s="2" t="n">
        <v>76</v>
      </c>
      <c r="H16" s="3" t="n">
        <f aca="false">G16/$H$24</f>
        <v>0.844444444444444</v>
      </c>
      <c r="I16" s="2" t="n">
        <v>82</v>
      </c>
      <c r="J16" s="3" t="n">
        <f aca="false">I16/$J$24</f>
        <v>0.863157894736842</v>
      </c>
      <c r="K16" s="2" t="n">
        <v>86</v>
      </c>
      <c r="L16" s="3" t="n">
        <f aca="false">K16/$L$24</f>
        <v>0.716666666666667</v>
      </c>
      <c r="N16" s="3" t="n">
        <f aca="false">MAX(D16,F16,H16,J16,L16)</f>
        <v>0.863157894736842</v>
      </c>
      <c r="O16" s="3" t="n">
        <f aca="false">MIN(D16,F16,H16,J16,L16)</f>
        <v>0.716666666666667</v>
      </c>
      <c r="P16" s="3" t="n">
        <f aca="false">AVERAGE(D16,F16,H16,J16,L52)</f>
        <v>0.850764221158958</v>
      </c>
    </row>
    <row r="17" customFormat="false" ht="20" hidden="false" customHeight="true" outlineLevel="0" collapsed="false">
      <c r="A17" s="1" t="s">
        <v>32</v>
      </c>
      <c r="C17" s="2" t="n">
        <v>88</v>
      </c>
      <c r="D17" s="3" t="n">
        <f aca="false">C17/$D$24</f>
        <v>0.88</v>
      </c>
      <c r="E17" s="2" t="n">
        <v>93</v>
      </c>
      <c r="F17" s="3" t="n">
        <f aca="false">E17/$F$24</f>
        <v>0.845454545454545</v>
      </c>
      <c r="G17" s="2" t="n">
        <v>80</v>
      </c>
      <c r="H17" s="3" t="n">
        <f aca="false">G17/$H$24</f>
        <v>0.888888888888889</v>
      </c>
      <c r="I17" s="2" t="n">
        <v>79</v>
      </c>
      <c r="J17" s="3" t="n">
        <f aca="false">I17/$J$24</f>
        <v>0.831578947368421</v>
      </c>
      <c r="K17" s="2" t="n">
        <v>100</v>
      </c>
      <c r="L17" s="3" t="n">
        <f aca="false">K17/$L$24</f>
        <v>0.833333333333333</v>
      </c>
      <c r="N17" s="3" t="n">
        <f aca="false">MAX(D17,F17,H17,J17,L17)</f>
        <v>0.888888888888889</v>
      </c>
      <c r="O17" s="3" t="n">
        <f aca="false">MIN(D17,F17,H17,J17,L17)</f>
        <v>0.831578947368421</v>
      </c>
      <c r="P17" s="3" t="n">
        <f aca="false">AVERAGE(D17,F17,H17,J17,L53)</f>
        <v>0.861480595427964</v>
      </c>
    </row>
    <row r="18" customFormat="false" ht="20" hidden="false" customHeight="true" outlineLevel="0" collapsed="false">
      <c r="A18" s="1" t="s">
        <v>34</v>
      </c>
      <c r="C18" s="2" t="n">
        <v>96</v>
      </c>
      <c r="D18" s="3" t="n">
        <f aca="false">C18/$D$24</f>
        <v>0.96</v>
      </c>
      <c r="E18" s="2" t="n">
        <v>105</v>
      </c>
      <c r="F18" s="3" t="n">
        <f aca="false">E18/$F$24</f>
        <v>0.954545454545455</v>
      </c>
      <c r="G18" s="2" t="n">
        <v>89</v>
      </c>
      <c r="H18" s="3" t="n">
        <f aca="false">G18/$H$24</f>
        <v>0.988888888888889</v>
      </c>
      <c r="I18" s="2" t="n">
        <v>93</v>
      </c>
      <c r="J18" s="3" t="n">
        <f aca="false">I18/$J$24</f>
        <v>0.978947368421053</v>
      </c>
      <c r="K18" s="2" t="n">
        <v>115</v>
      </c>
      <c r="L18" s="3" t="n">
        <f aca="false">K18/$L$24</f>
        <v>0.958333333333333</v>
      </c>
      <c r="N18" s="3" t="n">
        <f aca="false">MAX(D18,F18,H18,J18,L18)</f>
        <v>0.988888888888889</v>
      </c>
      <c r="O18" s="3" t="n">
        <f aca="false">MIN(D18,F18,H18,J18,L18)</f>
        <v>0.954545454545455</v>
      </c>
      <c r="P18" s="3" t="n">
        <f aca="false">AVERAGE(D18,F18,H18,J18,L54)</f>
        <v>0.970595427963849</v>
      </c>
    </row>
    <row r="20" customFormat="false" ht="20" hidden="false" customHeight="true" outlineLevel="0" collapsed="false">
      <c r="A20" s="1" t="s">
        <v>54</v>
      </c>
      <c r="C20" s="2" t="n">
        <f aca="false">MAX(C4:C18)</f>
        <v>96</v>
      </c>
      <c r="D20" s="3" t="n">
        <f aca="false">MAX(D4:D18)</f>
        <v>0.96</v>
      </c>
      <c r="E20" s="2" t="n">
        <f aca="false">MAX(E4:E18)</f>
        <v>105</v>
      </c>
      <c r="F20" s="3" t="n">
        <f aca="false">MAX(F4:F18)</f>
        <v>4.63636363636364</v>
      </c>
      <c r="G20" s="2" t="n">
        <f aca="false">MAX(G4:G18)</f>
        <v>89</v>
      </c>
      <c r="H20" s="3" t="n">
        <f aca="false">MAX(H4:H18)</f>
        <v>0.988888888888889</v>
      </c>
      <c r="I20" s="2" t="n">
        <f aca="false">MAX(I4:I18)</f>
        <v>93</v>
      </c>
      <c r="J20" s="3" t="n">
        <f aca="false">MAX(J4:J18)</f>
        <v>0.978947368421053</v>
      </c>
      <c r="K20" s="2" t="n">
        <f aca="false">MAX(K4:K18)</f>
        <v>115</v>
      </c>
      <c r="L20" s="3" t="n">
        <f aca="false">MAX(L4:L18)</f>
        <v>0.958333333333333</v>
      </c>
    </row>
    <row r="21" customFormat="false" ht="20" hidden="false" customHeight="true" outlineLevel="0" collapsed="false">
      <c r="A21" s="1" t="s">
        <v>55</v>
      </c>
      <c r="C21" s="2" t="n">
        <f aca="false">MIN(C4:C18)</f>
        <v>72</v>
      </c>
      <c r="D21" s="3" t="n">
        <f aca="false">MIN(D4:D18)</f>
        <v>0.72</v>
      </c>
      <c r="E21" s="2" t="n">
        <f aca="false">MIN(E4:E18)</f>
        <v>78</v>
      </c>
      <c r="F21" s="3" t="n">
        <f aca="false">MIN(F4:F18)</f>
        <v>0.709090909090909</v>
      </c>
      <c r="G21" s="2" t="n">
        <f aca="false">MIN(G4:G18)</f>
        <v>63</v>
      </c>
      <c r="H21" s="3" t="n">
        <f aca="false">MIN(H4:H18)</f>
        <v>0.7</v>
      </c>
      <c r="I21" s="2" t="n">
        <f aca="false">MIN(I4:I18)</f>
        <v>66</v>
      </c>
      <c r="J21" s="3" t="n">
        <f aca="false">MIN(J4:J18)</f>
        <v>0.694736842105263</v>
      </c>
      <c r="K21" s="2" t="n">
        <f aca="false">MIN(K4:K18)</f>
        <v>82</v>
      </c>
      <c r="L21" s="3" t="n">
        <f aca="false">MIN(L4:L18)</f>
        <v>0.683333333333333</v>
      </c>
    </row>
    <row r="22" customFormat="false" ht="20" hidden="false" customHeight="true" outlineLevel="0" collapsed="false">
      <c r="A22" s="1" t="s">
        <v>38</v>
      </c>
      <c r="C22" s="2" t="n">
        <f aca="false">AVERAGE(C4:C18)</f>
        <v>86.7333333333333</v>
      </c>
      <c r="D22" s="3" t="n">
        <f aca="false">AVERAGE(D4:D18)</f>
        <v>0.867333333333333</v>
      </c>
      <c r="E22" s="2" t="n">
        <f aca="false">AVERAGE(E4:E18)</f>
        <v>92.7333333333333</v>
      </c>
      <c r="F22" s="3" t="n">
        <f aca="false">AVERAGE(F4:F18)</f>
        <v>1.09090909090909</v>
      </c>
      <c r="G22" s="2" t="n">
        <f aca="false">AVERAGE(G4:G18)</f>
        <v>78.2666666666667</v>
      </c>
      <c r="H22" s="3" t="n">
        <f aca="false">AVERAGE(H4:H18)</f>
        <v>0.86962962962963</v>
      </c>
      <c r="I22" s="2" t="n">
        <f aca="false">AVERAGE(I4:I18)</f>
        <v>79.4666666666667</v>
      </c>
      <c r="J22" s="3" t="n">
        <f aca="false">AVERAGE(J4:J18)</f>
        <v>0.836491228070175</v>
      </c>
      <c r="K22" s="2" t="n">
        <f aca="false">AVERAGE(K4:K18)</f>
        <v>96</v>
      </c>
      <c r="L22" s="3" t="n">
        <f aca="false">AVERAGE(L4:L18)</f>
        <v>0.8</v>
      </c>
    </row>
    <row r="24" customFormat="false" ht="20" hidden="false" customHeight="true" outlineLevel="0" collapsed="false">
      <c r="A24" s="1" t="s">
        <v>68</v>
      </c>
      <c r="D24" s="1" t="n">
        <v>100</v>
      </c>
      <c r="F24" s="1" t="n">
        <v>110</v>
      </c>
      <c r="H24" s="1" t="n">
        <v>90</v>
      </c>
      <c r="J24" s="1" t="n">
        <v>95</v>
      </c>
      <c r="L24" s="1" t="n">
        <v>120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2001-04-09T22:08:42Z</dcterms:created>
  <dc:creator>Ithaca College</dc:creator>
  <dc:description/>
  <dc:language>en-US</dc:language>
  <cp:lastModifiedBy>Ithaca College</cp:lastModifiedBy>
  <cp:revision>0</cp:revision>
  <dc:subject/>
  <dc:title/>
</cp:coreProperties>
</file>