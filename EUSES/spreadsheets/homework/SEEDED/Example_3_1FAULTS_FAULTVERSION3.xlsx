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45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Q4 Homework" sheetId="1" state="visible" r:id="rId2"/>
    <sheet name="Q4 Summary" sheetId="2" state="visible" r:id="rId3"/>
    <sheet name="Year Summary" sheetId="3" state="visible" r:id="rId4"/>
    <sheet name="Quarter Grades-Graph" sheetId="4" state="visible" r:id="rId5"/>
  </sheets>
  <definedNames>
    <definedName function="false" hidden="false" localSheetId="0" name="Excel_BuiltIn__FilterDatabase" vbProcedure="false">'Q4 Homework'!$A$1:$H$1</definedName>
    <definedName function="false" hidden="false" localSheetId="1" name="Excel_BuiltIn__FilterDatabase" vbProcedure="false">'Q4 Summary'!$A$1:$G$12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<sst xmlns="http://schemas.openxmlformats.org/spreadsheetml/2006/main" count="64" uniqueCount="45">
  <si>
    <t xml:space="preserve">Assignment</t>
  </si>
  <si>
    <t xml:space="preserve">Conservation Essay</t>
  </si>
  <si>
    <t xml:space="preserve">Ch. 8 Questions </t>
  </si>
  <si>
    <t xml:space="preserve">Ch. 9 Summary</t>
  </si>
  <si>
    <t xml:space="preserve">Problems #2-20</t>
  </si>
  <si>
    <t xml:space="preserve">Collage</t>
  </si>
  <si>
    <t xml:space="preserve">Personal Shield </t>
  </si>
  <si>
    <t xml:space="preserve">Total</t>
  </si>
  <si>
    <t xml:space="preserve">Points Possible</t>
  </si>
  <si>
    <t xml:space="preserve">Brantley</t>
  </si>
  <si>
    <t xml:space="preserve">Catalini</t>
  </si>
  <si>
    <t xml:space="preserve">Evans</t>
  </si>
  <si>
    <t xml:space="preserve">Garcia</t>
  </si>
  <si>
    <t xml:space="preserve">Handleman</t>
  </si>
  <si>
    <t xml:space="preserve">Jones</t>
  </si>
  <si>
    <t xml:space="preserve">Seaborne</t>
  </si>
  <si>
    <t xml:space="preserve">Summers</t>
  </si>
  <si>
    <t xml:space="preserve">Tierney</t>
  </si>
  <si>
    <t xml:space="preserve">Category</t>
  </si>
  <si>
    <t xml:space="preserve">Tests</t>
  </si>
  <si>
    <t xml:space="preserve">Quizzes</t>
  </si>
  <si>
    <t xml:space="preserve">Projects</t>
  </si>
  <si>
    <t xml:space="preserve">Homework</t>
  </si>
  <si>
    <t xml:space="preserve">Weighted Score</t>
  </si>
  <si>
    <t xml:space="preserve">Weighted Ave</t>
  </si>
  <si>
    <t xml:space="preserve">Value</t>
  </si>
  <si>
    <t xml:space="preserve">Last</t>
  </si>
  <si>
    <t xml:space="preserve">First</t>
  </si>
  <si>
    <t xml:space="preserve">SSN</t>
  </si>
  <si>
    <t xml:space="preserve">Q1</t>
  </si>
  <si>
    <t xml:space="preserve">Q2</t>
  </si>
  <si>
    <t xml:space="preserve">Q3</t>
  </si>
  <si>
    <t xml:space="preserve">Q4</t>
  </si>
  <si>
    <t xml:space="preserve">Final Average</t>
  </si>
  <si>
    <t xml:space="preserve">Final Grade</t>
  </si>
  <si>
    <t xml:space="preserve">Ellie</t>
  </si>
  <si>
    <t xml:space="preserve">Dayna</t>
  </si>
  <si>
    <t xml:space="preserve">Robert</t>
  </si>
  <si>
    <t xml:space="preserve">James</t>
  </si>
  <si>
    <t xml:space="preserve">Skippy</t>
  </si>
  <si>
    <t xml:space="preserve">Dorothy</t>
  </si>
  <si>
    <t xml:space="preserve">Lisa</t>
  </si>
  <si>
    <t xml:space="preserve">Kathleen</t>
  </si>
  <si>
    <t xml:space="preserve">Gavin</t>
  </si>
  <si>
    <t xml:space="preserve">Class Average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</si>
</sst>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00\-00\-0000"/>
  </numFmts>
  <fonts count="10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00FF"/>
      <name val="Arial"/>
      <family val="0"/>
    </font>
    <font>
      <sz val="10"/>
      <name val="Arial"/>
      <family val="2"/>
    </font>
    <font>
      <b val="true"/>
      <sz val="10"/>
      <color rgb="FFFF00FF"/>
      <name val="Arial"/>
      <family val="2"/>
    </font>
    <font>
      <b val="true"/>
      <sz val="12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double"/>
      <right style="double"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Arial"/>
              </a:defRPr>
            </a:pPr>
            <a:r>
              <a:rPr b="1" sz="1200" spc="-1" strike="noStrike">
                <a:solidFill>
                  <a:srgbClr val="000000"/>
                </a:solidFill>
                <a:latin typeface="Arial"/>
              </a:rPr>
              <a:t>Quarter Grades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"1St Quarter"</c:f>
              <c:strCache>
                <c:ptCount val="1"/>
                <c:pt idx="0">
                  <c:v>1St Quarter</c:v>
                </c:pt>
              </c:strCache>
            </c:strRef>
          </c:tx>
          <c:spPr>
            <a:solidFill>
              <a:srgbClr val="ff99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Summary'!$D$2:$D$10</c:f>
              <c:numCache>
                <c:formatCode>General</c:formatCode>
                <c:ptCount val="9"/>
                <c:pt idx="0">
                  <c:v>87</c:v>
                </c:pt>
                <c:pt idx="1">
                  <c:v>90</c:v>
                </c:pt>
                <c:pt idx="2">
                  <c:v>82</c:v>
                </c:pt>
                <c:pt idx="3">
                  <c:v>88</c:v>
                </c:pt>
                <c:pt idx="4">
                  <c:v>79</c:v>
                </c:pt>
                <c:pt idx="5">
                  <c:v>95</c:v>
                </c:pt>
                <c:pt idx="6">
                  <c:v>80</c:v>
                </c:pt>
                <c:pt idx="7">
                  <c:v>92</c:v>
                </c:pt>
                <c:pt idx="8">
                  <c:v>88</c:v>
                </c:pt>
              </c:numCache>
            </c:numRef>
          </c:val>
        </c:ser>
        <c:ser>
          <c:idx val="1"/>
          <c:order val="1"/>
          <c:tx>
            <c:strRef>
              <c:f>"2nd Quarter"</c:f>
              <c:strCache>
                <c:ptCount val="1"/>
                <c:pt idx="0">
                  <c:v>2nd Quarter</c:v>
                </c:pt>
              </c:strCache>
            </c:strRef>
          </c:tx>
          <c:spPr>
            <a:solidFill>
              <a:srgbClr val="ffff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Summary'!$E$2:$E$10</c:f>
              <c:numCache>
                <c:formatCode>General</c:formatCode>
                <c:ptCount val="9"/>
                <c:pt idx="0">
                  <c:v>94</c:v>
                </c:pt>
                <c:pt idx="1">
                  <c:v>89</c:v>
                </c:pt>
                <c:pt idx="2">
                  <c:v>79</c:v>
                </c:pt>
                <c:pt idx="3">
                  <c:v>92</c:v>
                </c:pt>
                <c:pt idx="4">
                  <c:v>80</c:v>
                </c:pt>
                <c:pt idx="5">
                  <c:v>100</c:v>
                </c:pt>
                <c:pt idx="6">
                  <c:v>79</c:v>
                </c:pt>
                <c:pt idx="7">
                  <c:v>89</c:v>
                </c:pt>
                <c:pt idx="8">
                  <c:v>89</c:v>
                </c:pt>
              </c:numCache>
            </c:numRef>
          </c:val>
        </c:ser>
        <c:ser>
          <c:idx val="2"/>
          <c:order val="2"/>
          <c:tx>
            <c:strRef>
              <c:f>"3rd Quarter"</c:f>
              <c:strCache>
                <c:ptCount val="1"/>
                <c:pt idx="0">
                  <c:v>3rd Quarter</c:v>
                </c:pt>
              </c:strCache>
            </c:strRef>
          </c:tx>
          <c:spPr>
            <a:solidFill>
              <a:srgbClr val="ccff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Summary'!$F$2:$F$10</c:f>
              <c:numCache>
                <c:formatCode>General</c:formatCode>
                <c:ptCount val="9"/>
                <c:pt idx="0">
                  <c:v>90</c:v>
                </c:pt>
                <c:pt idx="1">
                  <c:v>93</c:v>
                </c:pt>
                <c:pt idx="2">
                  <c:v>80</c:v>
                </c:pt>
                <c:pt idx="3">
                  <c:v>90</c:v>
                </c:pt>
                <c:pt idx="4">
                  <c:v>84</c:v>
                </c:pt>
                <c:pt idx="5">
                  <c:v>100</c:v>
                </c:pt>
                <c:pt idx="6">
                  <c:v>74</c:v>
                </c:pt>
                <c:pt idx="7">
                  <c:v>85</c:v>
                </c:pt>
                <c:pt idx="8">
                  <c:v>88</c:v>
                </c:pt>
              </c:numCache>
            </c:numRef>
          </c:val>
        </c:ser>
        <c:ser>
          <c:idx val="3"/>
          <c:order val="3"/>
          <c:tx>
            <c:strRef>
              <c:f>"4th Quarter"</c:f>
              <c:strCache>
                <c:ptCount val="1"/>
                <c:pt idx="0">
                  <c:v>4th Quarter</c:v>
                </c:pt>
              </c:strCache>
            </c:strRef>
          </c:tx>
          <c:spPr>
            <a:solidFill>
              <a:srgbClr val="99cc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Summary'!$G$2:$G$10</c:f>
              <c:numCache>
                <c:formatCode>General</c:formatCode>
                <c:ptCount val="9"/>
                <c:pt idx="0">
                  <c:v>99.1666666666667</c:v>
                </c:pt>
                <c:pt idx="1">
                  <c:v>96.5</c:v>
                </c:pt>
                <c:pt idx="2">
                  <c:v>84.7333333333333</c:v>
                </c:pt>
                <c:pt idx="3">
                  <c:v>97.8333333333334</c:v>
                </c:pt>
                <c:pt idx="4">
                  <c:v>91.4</c:v>
                </c:pt>
                <c:pt idx="5">
                  <c:v>98.6666666666667</c:v>
                </c:pt>
                <c:pt idx="6">
                  <c:v>81.6</c:v>
                </c:pt>
                <c:pt idx="7">
                  <c:v>99.3333333333333</c:v>
                </c:pt>
                <c:pt idx="8">
                  <c:v>94.8333333333333</c:v>
                </c:pt>
              </c:numCache>
            </c:numRef>
          </c:val>
        </c:ser>
        <c:gapWidth val="150"/>
        <c:overlap val="0"/>
        <c:axId val="40300399"/>
        <c:axId val="33662432"/>
      </c:barChart>
      <c:catAx>
        <c:axId val="403003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Student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3662432"/>
        <c:crossesAt val="0"/>
        <c:auto val="1"/>
        <c:lblAlgn val="ctr"/>
        <c:lblOffset val="100"/>
        <c:noMultiLvlLbl val="0"/>
      </c:catAx>
      <c:valAx>
        <c:axId val="33662432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0300399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noFill/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0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8.84765625" defaultRowHeight="12.75" zeroHeight="false" outlineLevelRow="0" outlineLevelCol="0"/>
  <cols>
    <col collapsed="false" customWidth="true" hidden="false" outlineLevel="0" max="1" min="1" style="0" width="14.12"/>
    <col collapsed="false" customWidth="true" hidden="false" outlineLevel="0" max="2" min="2" style="0" width="18.68"/>
    <col collapsed="false" customWidth="true" hidden="false" outlineLevel="0" max="3" min="3" style="0" width="15.68"/>
    <col collapsed="false" customWidth="true" hidden="false" outlineLevel="0" max="4" min="4" style="0" width="14.97"/>
    <col collapsed="false" customWidth="true" hidden="false" outlineLevel="0" max="5" min="5" style="0" width="14.83"/>
    <col collapsed="false" customWidth="true" hidden="false" outlineLevel="0" max="6" min="6" style="0" width="7.98"/>
    <col collapsed="false" customWidth="true" hidden="false" outlineLevel="0" max="7" min="7" style="0" width="16.12"/>
    <col collapsed="false" customWidth="true" hidden="false" outlineLevel="0" max="8" min="8" style="0" width="5.55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customFormat="false" ht="14.25" hidden="false" customHeight="false" outlineLevel="0" collapsed="false">
      <c r="A2" s="4" t="s">
        <v>8</v>
      </c>
      <c r="B2" s="4" t="n">
        <v>100</v>
      </c>
      <c r="C2" s="4" t="n">
        <v>25</v>
      </c>
      <c r="D2" s="4" t="n">
        <v>25</v>
      </c>
      <c r="E2" s="4" t="n">
        <v>25</v>
      </c>
      <c r="F2" s="4" t="n">
        <v>50</v>
      </c>
      <c r="G2" s="4" t="n">
        <v>75</v>
      </c>
      <c r="H2" s="4" t="n">
        <f aca="false">SUM(B2:G2)</f>
        <v>300</v>
      </c>
    </row>
    <row r="3" customFormat="false" ht="14.25" hidden="false" customHeight="false" outlineLevel="0" collapsed="false">
      <c r="A3" s="4" t="s">
        <v>9</v>
      </c>
      <c r="B3" s="4" t="n">
        <v>95</v>
      </c>
      <c r="C3" s="4" t="n">
        <v>23</v>
      </c>
      <c r="D3" s="4" t="n">
        <v>25</v>
      </c>
      <c r="E3" s="4" t="n">
        <v>20</v>
      </c>
      <c r="F3" s="4" t="n">
        <v>50</v>
      </c>
      <c r="G3" s="4" t="n">
        <v>75</v>
      </c>
      <c r="H3" s="4" t="n">
        <f aca="false">SUM(B3:G3)</f>
        <v>288</v>
      </c>
      <c r="I3" s="5"/>
    </row>
    <row r="4" customFormat="false" ht="14.25" hidden="false" customHeight="false" outlineLevel="0" collapsed="false">
      <c r="A4" s="4" t="s">
        <v>10</v>
      </c>
      <c r="B4" s="4" t="n">
        <v>84</v>
      </c>
      <c r="C4" s="4" t="n">
        <v>23</v>
      </c>
      <c r="D4" s="4" t="n">
        <v>25</v>
      </c>
      <c r="E4" s="4" t="n">
        <v>23</v>
      </c>
      <c r="F4" s="4" t="n">
        <v>45</v>
      </c>
      <c r="G4" s="4" t="n">
        <v>69</v>
      </c>
      <c r="H4" s="4" t="n">
        <f aca="false">SUM(B4:G4)</f>
        <v>269</v>
      </c>
    </row>
    <row r="5" customFormat="false" ht="14.25" hidden="false" customHeight="false" outlineLevel="0" collapsed="false">
      <c r="A5" s="4" t="s">
        <v>11</v>
      </c>
      <c r="B5" s="4" t="n">
        <v>81</v>
      </c>
      <c r="C5" s="4" t="n">
        <v>21</v>
      </c>
      <c r="D5" s="4" t="n">
        <v>25</v>
      </c>
      <c r="E5" s="4" t="n">
        <v>25</v>
      </c>
      <c r="F5" s="4" t="n">
        <v>50</v>
      </c>
      <c r="G5" s="4" t="n">
        <v>71</v>
      </c>
      <c r="H5" s="4" t="n">
        <f aca="false">SUM(B5:F5)</f>
        <v>202</v>
      </c>
    </row>
    <row r="6" customFormat="false" ht="14.25" hidden="false" customHeight="false" outlineLevel="0" collapsed="false">
      <c r="A6" s="4" t="s">
        <v>12</v>
      </c>
      <c r="B6" s="4" t="n">
        <v>89</v>
      </c>
      <c r="C6" s="4" t="n">
        <v>24</v>
      </c>
      <c r="D6" s="4" t="n">
        <v>25</v>
      </c>
      <c r="E6" s="4" t="n">
        <v>19</v>
      </c>
      <c r="F6" s="4" t="n">
        <v>49</v>
      </c>
      <c r="G6" s="4" t="n">
        <v>75</v>
      </c>
      <c r="H6" s="4" t="n">
        <f aca="false">SUM(B6:G6)</f>
        <v>281</v>
      </c>
    </row>
    <row r="7" customFormat="false" ht="14.25" hidden="false" customHeight="false" outlineLevel="0" collapsed="false">
      <c r="A7" s="4" t="s">
        <v>13</v>
      </c>
      <c r="B7" s="4" t="n">
        <v>78</v>
      </c>
      <c r="C7" s="4" t="n">
        <v>22</v>
      </c>
      <c r="D7" s="4" t="n">
        <v>21</v>
      </c>
      <c r="E7" s="4" t="n">
        <v>20</v>
      </c>
      <c r="F7" s="4" t="n">
        <v>40</v>
      </c>
      <c r="G7" s="4" t="n">
        <v>73</v>
      </c>
      <c r="H7" s="4" t="n">
        <f aca="false">SUM(B7:G7)</f>
        <v>254</v>
      </c>
    </row>
    <row r="8" customFormat="false" ht="14.25" hidden="false" customHeight="false" outlineLevel="0" collapsed="false">
      <c r="A8" s="4" t="s">
        <v>14</v>
      </c>
      <c r="B8" s="4" t="n">
        <v>87</v>
      </c>
      <c r="C8" s="4" t="n">
        <v>25</v>
      </c>
      <c r="D8" s="4" t="n">
        <v>25</v>
      </c>
      <c r="E8" s="4" t="n">
        <v>20</v>
      </c>
      <c r="F8" s="4" t="n">
        <v>50</v>
      </c>
      <c r="G8" s="4" t="n">
        <v>70</v>
      </c>
      <c r="H8" s="4" t="n">
        <f aca="false">SUM(B8:G8)</f>
        <v>277</v>
      </c>
    </row>
    <row r="9" customFormat="false" ht="14.25" hidden="false" customHeight="false" outlineLevel="0" collapsed="false">
      <c r="A9" s="4" t="s">
        <v>15</v>
      </c>
      <c r="B9" s="4" t="n">
        <v>80</v>
      </c>
      <c r="C9" s="4" t="n">
        <v>21</v>
      </c>
      <c r="D9" s="4" t="n">
        <v>23</v>
      </c>
      <c r="E9" s="4" t="n">
        <v>20</v>
      </c>
      <c r="F9" s="4" t="n">
        <v>42</v>
      </c>
      <c r="G9" s="4" t="n">
        <v>65</v>
      </c>
      <c r="H9" s="4" t="n">
        <f aca="false">SUM(B9:G9)</f>
        <v>251</v>
      </c>
    </row>
    <row r="10" customFormat="false" ht="14.25" hidden="false" customHeight="false" outlineLevel="0" collapsed="false">
      <c r="A10" s="4" t="s">
        <v>16</v>
      </c>
      <c r="B10" s="4" t="n">
        <v>94</v>
      </c>
      <c r="C10" s="4" t="n">
        <v>25</v>
      </c>
      <c r="D10" s="4" t="n">
        <v>25</v>
      </c>
      <c r="E10" s="4" t="n">
        <v>25</v>
      </c>
      <c r="F10" s="4" t="n">
        <v>50</v>
      </c>
      <c r="G10" s="4" t="n">
        <v>72</v>
      </c>
      <c r="H10" s="4" t="n">
        <f aca="false">SUM(B10:G10)</f>
        <v>291</v>
      </c>
    </row>
    <row r="11" customFormat="false" ht="14.25" hidden="false" customHeight="false" outlineLevel="0" collapsed="false">
      <c r="A11" s="4" t="s">
        <v>17</v>
      </c>
      <c r="B11" s="4" t="n">
        <v>80</v>
      </c>
      <c r="C11" s="4" t="n">
        <v>23</v>
      </c>
      <c r="D11" s="4" t="n">
        <v>20</v>
      </c>
      <c r="E11" s="4" t="n">
        <v>25</v>
      </c>
      <c r="F11" s="4" t="n">
        <v>48</v>
      </c>
      <c r="G11" s="4" t="n">
        <v>73</v>
      </c>
      <c r="H11" s="4" t="n">
        <f aca="false">SUM(B11:G11)</f>
        <v>269</v>
      </c>
    </row>
    <row r="12" customFormat="false" ht="13.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84765625" defaultRowHeight="12.75" zeroHeight="false" outlineLevelRow="0" outlineLevelCol="0"/>
  <cols>
    <col collapsed="false" customWidth="true" hidden="false" outlineLevel="0" max="1" min="1" style="0" width="14.12"/>
    <col collapsed="false" customWidth="true" hidden="false" outlineLevel="0" max="2" min="2" style="0" width="5.55"/>
    <col collapsed="false" customWidth="true" hidden="false" outlineLevel="0" max="3" min="3" style="0" width="8.13"/>
    <col collapsed="false" customWidth="true" hidden="false" outlineLevel="0" max="4" min="4" style="0" width="8.27"/>
    <col collapsed="false" customWidth="true" hidden="false" outlineLevel="0" max="5" min="5" style="0" width="10.69"/>
    <col collapsed="false" customWidth="true" hidden="false" outlineLevel="0" max="6" min="6" style="0" width="15.68"/>
    <col collapsed="false" customWidth="true" hidden="false" outlineLevel="0" max="7" min="7" style="0" width="13.83"/>
  </cols>
  <sheetData>
    <row r="1" customFormat="false" ht="14.25" hidden="false" customHeight="false" outlineLevel="0" collapsed="false">
      <c r="A1" s="6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8" t="s">
        <v>24</v>
      </c>
    </row>
    <row r="2" customFormat="false" ht="14.25" hidden="false" customHeight="false" outlineLevel="0" collapsed="false">
      <c r="A2" s="4" t="s">
        <v>25</v>
      </c>
      <c r="B2" s="4" t="n">
        <v>0.3</v>
      </c>
      <c r="C2" s="4" t="n">
        <v>0.1</v>
      </c>
      <c r="D2" s="4" t="n">
        <v>0.4</v>
      </c>
      <c r="E2" s="4" t="n">
        <v>0.2</v>
      </c>
      <c r="F2" s="4" t="n">
        <f aca="false">SUM(B2:E2)</f>
        <v>1</v>
      </c>
      <c r="G2" s="4"/>
    </row>
    <row r="3" customFormat="false" ht="14.25" hidden="false" customHeight="false" outlineLevel="0" collapsed="false">
      <c r="A3" s="4" t="s">
        <v>8</v>
      </c>
      <c r="B3" s="4" t="n">
        <v>300</v>
      </c>
      <c r="C3" s="4" t="n">
        <v>300</v>
      </c>
      <c r="D3" s="4" t="n">
        <v>300</v>
      </c>
      <c r="E3" s="4" t="n">
        <f aca="false">'Q4 Homework'!H2</f>
        <v>300</v>
      </c>
      <c r="F3" s="4" t="n">
        <f aca="false">B3*0.3+C3*0.1+D3*0.4+D3*0.2</f>
        <v>300</v>
      </c>
      <c r="G3" s="4"/>
    </row>
    <row r="4" customFormat="false" ht="14.25" hidden="false" customHeight="false" outlineLevel="0" collapsed="false">
      <c r="A4" s="4" t="s">
        <v>9</v>
      </c>
      <c r="B4" s="4" t="n">
        <v>300</v>
      </c>
      <c r="C4" s="4" t="n">
        <v>275</v>
      </c>
      <c r="D4" s="4" t="n">
        <v>300</v>
      </c>
      <c r="E4" s="4" t="n">
        <f aca="false">'Q4 Homework'!H3</f>
        <v>288</v>
      </c>
      <c r="F4" s="4" t="n">
        <f aca="false">B4*0.3+C4*0.1+D4*0.4+D4*0.2</f>
        <v>297.5</v>
      </c>
      <c r="G4" s="9" t="n">
        <f aca="false">(F4/300)*100</f>
        <v>99.1666666666667</v>
      </c>
    </row>
    <row r="5" customFormat="false" ht="14.25" hidden="false" customHeight="false" outlineLevel="0" collapsed="false">
      <c r="A5" s="4" t="s">
        <v>10</v>
      </c>
      <c r="B5" s="4" t="n">
        <v>280</v>
      </c>
      <c r="C5" s="4" t="n">
        <v>285</v>
      </c>
      <c r="D5" s="4" t="n">
        <v>295</v>
      </c>
      <c r="E5" s="4" t="n">
        <f aca="false">'Q4 Homework'!H4</f>
        <v>269</v>
      </c>
      <c r="F5" s="4" t="n">
        <f aca="false">B5*0.3+C5*0.1+D5*0.4+D5*0.2</f>
        <v>289.5</v>
      </c>
      <c r="G5" s="9" t="n">
        <f aca="false">(F5/300)*100</f>
        <v>96.5</v>
      </c>
    </row>
    <row r="6" customFormat="false" ht="14.25" hidden="false" customHeight="false" outlineLevel="0" collapsed="false">
      <c r="A6" s="4" t="s">
        <v>11</v>
      </c>
      <c r="B6" s="4" t="n">
        <v>200</v>
      </c>
      <c r="C6" s="4" t="n">
        <v>268</v>
      </c>
      <c r="D6" s="4" t="n">
        <v>279</v>
      </c>
      <c r="E6" s="4" t="n">
        <f aca="false">'Q4 Homework'!H5</f>
        <v>202</v>
      </c>
      <c r="F6" s="4" t="n">
        <f aca="false">B6*0.3+C6*0.1+D6*0.4+D6*0.2</f>
        <v>254.2</v>
      </c>
      <c r="G6" s="9" t="n">
        <f aca="false">(F6/300)*100</f>
        <v>84.7333333333333</v>
      </c>
    </row>
    <row r="7" customFormat="false" ht="14.25" hidden="false" customHeight="false" outlineLevel="0" collapsed="false">
      <c r="A7" s="4" t="s">
        <v>12</v>
      </c>
      <c r="B7" s="4" t="n">
        <v>280</v>
      </c>
      <c r="C7" s="4" t="n">
        <v>295</v>
      </c>
      <c r="D7" s="4" t="n">
        <v>300</v>
      </c>
      <c r="E7" s="4" t="n">
        <f aca="false">'Q4 Homework'!H6</f>
        <v>281</v>
      </c>
      <c r="F7" s="4" t="n">
        <f aca="false">B7*0.3+C7*0.1+D7*0.4+D7*0.2</f>
        <v>293.5</v>
      </c>
      <c r="G7" s="9" t="n">
        <f aca="false">(F7/300)*100</f>
        <v>97.8333333333334</v>
      </c>
    </row>
    <row r="8" customFormat="false" ht="14.25" hidden="false" customHeight="false" outlineLevel="0" collapsed="false">
      <c r="A8" s="4" t="s">
        <v>13</v>
      </c>
      <c r="B8" s="4" t="n">
        <v>285</v>
      </c>
      <c r="C8" s="4" t="n">
        <v>285</v>
      </c>
      <c r="D8" s="4" t="n">
        <v>267</v>
      </c>
      <c r="E8" s="4" t="n">
        <f aca="false">'Q4 Homework'!H7</f>
        <v>254</v>
      </c>
      <c r="F8" s="4" t="n">
        <f aca="false">B8*0.3+C8*0.1+D8*0.4+D8*0.2</f>
        <v>274.2</v>
      </c>
      <c r="G8" s="9" t="n">
        <f aca="false">(F8/300)*100</f>
        <v>91.4</v>
      </c>
    </row>
    <row r="9" customFormat="false" ht="14.25" hidden="false" customHeight="false" outlineLevel="0" collapsed="false">
      <c r="A9" s="4" t="s">
        <v>14</v>
      </c>
      <c r="B9" s="4" t="n">
        <v>290</v>
      </c>
      <c r="C9" s="4" t="n">
        <v>290</v>
      </c>
      <c r="D9" s="4" t="n">
        <v>300</v>
      </c>
      <c r="E9" s="4" t="n">
        <f aca="false">'Q4 Homework'!H8</f>
        <v>277</v>
      </c>
      <c r="F9" s="4" t="n">
        <f aca="false">B9*0.3+C9*0.1+D9*0.4+D9*0.2</f>
        <v>296</v>
      </c>
      <c r="G9" s="9" t="n">
        <f aca="false">(F9/300)*100</f>
        <v>98.6666666666667</v>
      </c>
    </row>
    <row r="10" customFormat="false" ht="14.25" hidden="false" customHeight="false" outlineLevel="0" collapsed="false">
      <c r="A10" s="4" t="s">
        <v>15</v>
      </c>
      <c r="B10" s="4" t="n">
        <v>245</v>
      </c>
      <c r="C10" s="4" t="n">
        <v>273</v>
      </c>
      <c r="D10" s="4" t="n">
        <v>240</v>
      </c>
      <c r="E10" s="4" t="n">
        <f aca="false">'Q4 Homework'!H9</f>
        <v>251</v>
      </c>
      <c r="F10" s="4" t="n">
        <f aca="false">B10*0.3+C10*0.1+D10*0.4+D10*0.2</f>
        <v>244.8</v>
      </c>
      <c r="G10" s="9" t="n">
        <f aca="false">(F10/300)*100</f>
        <v>81.6</v>
      </c>
    </row>
    <row r="11" customFormat="false" ht="14.25" hidden="false" customHeight="false" outlineLevel="0" collapsed="false">
      <c r="A11" s="4" t="s">
        <v>16</v>
      </c>
      <c r="B11" s="4" t="n">
        <v>295</v>
      </c>
      <c r="C11" s="4" t="n">
        <v>295</v>
      </c>
      <c r="D11" s="4" t="n">
        <v>300</v>
      </c>
      <c r="E11" s="4" t="n">
        <f aca="false">'Q4 Homework'!H10</f>
        <v>291</v>
      </c>
      <c r="F11" s="4" t="n">
        <f aca="false">B11*0.3+C11*0.1+D11*0.4+D11*0.2</f>
        <v>298</v>
      </c>
      <c r="G11" s="9" t="n">
        <f aca="false">(F11/300)*100</f>
        <v>99.3333333333333</v>
      </c>
    </row>
    <row r="12" customFormat="false" ht="14.25" hidden="false" customHeight="false" outlineLevel="0" collapsed="false">
      <c r="A12" s="4" t="s">
        <v>17</v>
      </c>
      <c r="B12" s="4" t="n">
        <v>275</v>
      </c>
      <c r="C12" s="4" t="n">
        <v>280</v>
      </c>
      <c r="D12" s="4" t="n">
        <v>290</v>
      </c>
      <c r="E12" s="4" t="n">
        <f aca="false">'Q4 Homework'!H11</f>
        <v>269</v>
      </c>
      <c r="F12" s="4" t="n">
        <f aca="false">B12*0.3+C12*0.1+D12*0.4+D12*0.2</f>
        <v>284.5</v>
      </c>
      <c r="G12" s="9" t="n">
        <f aca="false">(F12/300)*100</f>
        <v>94.8333333333333</v>
      </c>
    </row>
    <row r="13" customFormat="false" ht="13.5" hidden="false" customHeight="false" outlineLevel="0" collapsed="false"/>
    <row r="18" customFormat="false" ht="12.75" hidden="false" customHeight="false" outlineLevel="0" collapsed="false">
      <c r="D18" s="10"/>
    </row>
    <row r="19" customFormat="false" ht="12.75" hidden="false" customHeight="false" outlineLevel="0" collapsed="false">
      <c r="D19" s="10"/>
    </row>
    <row r="22" customFormat="false" ht="12.75" hidden="false" customHeight="false" outlineLevel="0" collapsed="false">
      <c r="F22" s="10"/>
    </row>
    <row r="24" customFormat="false" ht="12.75" hidden="false" customHeight="false" outlineLevel="0" collapsed="false">
      <c r="G24" s="1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ColWidth="8.84765625" defaultRowHeight="12.75" zeroHeight="false" outlineLevelRow="0" outlineLevelCol="0"/>
  <cols>
    <col collapsed="false" customWidth="true" hidden="false" outlineLevel="0" max="1" min="1" style="0" width="10.27"/>
    <col collapsed="false" customWidth="true" hidden="false" outlineLevel="0" max="2" min="2" style="0" width="8.27"/>
    <col collapsed="false" customWidth="true" hidden="false" outlineLevel="0" max="3" min="3" style="0" width="13.97"/>
    <col collapsed="false" customWidth="true" hidden="false" outlineLevel="0" max="4" min="4" style="0" width="4.56"/>
    <col collapsed="false" customWidth="true" hidden="false" outlineLevel="0" max="6" min="5" style="0" width="5.55"/>
    <col collapsed="false" customWidth="true" hidden="false" outlineLevel="0" max="7" min="7" style="0" width="4.56"/>
    <col collapsed="false" customWidth="true" hidden="false" outlineLevel="0" max="8" min="8" style="0" width="13.83"/>
    <col collapsed="false" customWidth="true" hidden="false" outlineLevel="0" max="9" min="9" style="0" width="11.69"/>
  </cols>
  <sheetData>
    <row r="1" customFormat="false" ht="13.5" hidden="false" customHeight="false" outlineLevel="0" collapsed="false">
      <c r="A1" s="11" t="s">
        <v>26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31</v>
      </c>
      <c r="G1" s="12" t="s">
        <v>32</v>
      </c>
      <c r="H1" s="12" t="s">
        <v>33</v>
      </c>
      <c r="I1" s="13" t="s">
        <v>34</v>
      </c>
    </row>
    <row r="2" customFormat="false" ht="13.5" hidden="false" customHeight="false" outlineLevel="0" collapsed="false">
      <c r="A2" s="14" t="s">
        <v>9</v>
      </c>
      <c r="B2" s="14" t="s">
        <v>35</v>
      </c>
      <c r="C2" s="15" t="n">
        <v>522098786</v>
      </c>
      <c r="D2" s="16" t="n">
        <v>87</v>
      </c>
      <c r="E2" s="17" t="n">
        <v>94</v>
      </c>
      <c r="F2" s="18" t="n">
        <v>90</v>
      </c>
      <c r="G2" s="19" t="n">
        <f aca="false">'Q4 Summary'!G4</f>
        <v>99.1666666666667</v>
      </c>
      <c r="H2" s="20" t="n">
        <f aca="false">AVERAGE(D2:G2)</f>
        <v>92.5416666666667</v>
      </c>
      <c r="I2" s="14" t="str">
        <f aca="false">IF(H2&lt;60,"F",IF(H2&lt;70,"D",IF(H2&lt;80,"C",IF(H2&lt;90,"B",IF(H2&lt;101,"A")))))</f>
        <v>A</v>
      </c>
    </row>
    <row r="3" customFormat="false" ht="14.25" hidden="false" customHeight="false" outlineLevel="0" collapsed="false">
      <c r="A3" s="21" t="s">
        <v>10</v>
      </c>
      <c r="B3" s="21" t="s">
        <v>36</v>
      </c>
      <c r="C3" s="22" t="n">
        <v>152845367</v>
      </c>
      <c r="D3" s="23" t="n">
        <v>90</v>
      </c>
      <c r="E3" s="24" t="n">
        <v>89</v>
      </c>
      <c r="F3" s="25" t="n">
        <v>93</v>
      </c>
      <c r="G3" s="26" t="n">
        <f aca="false">'Q4 Summary'!G5</f>
        <v>96.5</v>
      </c>
      <c r="H3" s="27" t="n">
        <f aca="false">AVERAGE(D3:G3)</f>
        <v>92.125</v>
      </c>
      <c r="I3" s="21" t="str">
        <f aca="false">IF(H3&lt;60,"F",IF(H3&lt;70,"D",IF(H3&lt;80,"C",IF(H3&lt;90,"B",IF(H3&lt;101,"A")))))</f>
        <v>A</v>
      </c>
    </row>
    <row r="4" customFormat="false" ht="14.25" hidden="false" customHeight="false" outlineLevel="0" collapsed="false">
      <c r="A4" s="21" t="s">
        <v>11</v>
      </c>
      <c r="B4" s="21" t="s">
        <v>37</v>
      </c>
      <c r="C4" s="22" t="n">
        <v>459809125</v>
      </c>
      <c r="D4" s="23" t="n">
        <v>82</v>
      </c>
      <c r="E4" s="24" t="n">
        <v>79</v>
      </c>
      <c r="F4" s="25" t="n">
        <v>80</v>
      </c>
      <c r="G4" s="26" t="n">
        <f aca="false">'Q4 Summary'!G6</f>
        <v>84.7333333333333</v>
      </c>
      <c r="H4" s="27" t="n">
        <f aca="false">AVERAGE(D4:G4)</f>
        <v>81.4333333333333</v>
      </c>
      <c r="I4" s="21" t="str">
        <f aca="false">IF(H4&lt;60,"F",IF(H4&lt;70,"D",IF(H4&lt;80,"C",IF(H4&lt;90,"B",IF(H4&lt;101,"A")))))</f>
        <v>B</v>
      </c>
    </row>
    <row r="5" customFormat="false" ht="14.25" hidden="false" customHeight="false" outlineLevel="0" collapsed="false">
      <c r="A5" s="21" t="s">
        <v>12</v>
      </c>
      <c r="B5" s="21" t="s">
        <v>38</v>
      </c>
      <c r="C5" s="22" t="n">
        <v>548712349</v>
      </c>
      <c r="D5" s="23" t="n">
        <v>88</v>
      </c>
      <c r="E5" s="24" t="n">
        <v>92</v>
      </c>
      <c r="F5" s="25" t="n">
        <v>90</v>
      </c>
      <c r="G5" s="26" t="n">
        <f aca="false">'Q4 Summary'!G7</f>
        <v>97.8333333333334</v>
      </c>
      <c r="H5" s="27" t="n">
        <f aca="false">AVERAGE(D5:G5)</f>
        <v>91.9583333333333</v>
      </c>
      <c r="I5" s="21" t="str">
        <f aca="false">IF(H5&lt;60,"F",IF(H5&lt;70,"D",IF(H5&lt;80,"C",IF(H5&lt;90,"B",IF(H5&lt;101,"A")))))</f>
        <v>A</v>
      </c>
    </row>
    <row r="6" customFormat="false" ht="14.25" hidden="false" customHeight="false" outlineLevel="0" collapsed="false">
      <c r="A6" s="21" t="s">
        <v>13</v>
      </c>
      <c r="B6" s="21" t="s">
        <v>39</v>
      </c>
      <c r="C6" s="22" t="n">
        <v>330260064</v>
      </c>
      <c r="D6" s="23" t="n">
        <v>79</v>
      </c>
      <c r="E6" s="24" t="n">
        <v>80</v>
      </c>
      <c r="F6" s="25" t="n">
        <v>84</v>
      </c>
      <c r="G6" s="26" t="n">
        <f aca="false">'Q4 Summary'!G8</f>
        <v>91.4</v>
      </c>
      <c r="H6" s="27" t="n">
        <f aca="false">AVERAGE(D6:G6)</f>
        <v>83.6</v>
      </c>
      <c r="I6" s="21" t="str">
        <f aca="false">IF(H6&lt;60,"F",IF(H6&lt;70,"D",IF(H6&lt;80,"C",IF(H6&lt;90,"B",IF(H6&lt;101,"A")))))</f>
        <v>B</v>
      </c>
    </row>
    <row r="7" customFormat="false" ht="14.25" hidden="false" customHeight="false" outlineLevel="0" collapsed="false">
      <c r="A7" s="21" t="s">
        <v>14</v>
      </c>
      <c r="B7" s="21" t="s">
        <v>40</v>
      </c>
      <c r="C7" s="22" t="n">
        <v>127659820</v>
      </c>
      <c r="D7" s="23" t="n">
        <v>95</v>
      </c>
      <c r="E7" s="24" t="n">
        <v>100</v>
      </c>
      <c r="F7" s="25" t="n">
        <v>100</v>
      </c>
      <c r="G7" s="26" t="n">
        <f aca="false">'Q4 Summary'!G9</f>
        <v>98.6666666666667</v>
      </c>
      <c r="H7" s="27" t="n">
        <f aca="false">AVERAGE(D7:G7)</f>
        <v>98.4166666666667</v>
      </c>
      <c r="I7" s="21" t="str">
        <f aca="false">IF(H7&lt;60,"F",IF(H7&lt;70,"D",IF(H7&lt;80,"C",IF(H7&lt;90,"B",IF(H7&lt;101,"A")))))</f>
        <v>A</v>
      </c>
    </row>
    <row r="8" customFormat="false" ht="14.25" hidden="false" customHeight="false" outlineLevel="0" collapsed="false">
      <c r="A8" s="21" t="s">
        <v>15</v>
      </c>
      <c r="B8" s="21" t="s">
        <v>41</v>
      </c>
      <c r="C8" s="22" t="n">
        <v>231452839</v>
      </c>
      <c r="D8" s="23" t="n">
        <v>80</v>
      </c>
      <c r="E8" s="24" t="n">
        <v>79</v>
      </c>
      <c r="F8" s="25" t="n">
        <v>74</v>
      </c>
      <c r="G8" s="26" t="n">
        <f aca="false">'Q4 Summary'!G10</f>
        <v>81.6</v>
      </c>
      <c r="H8" s="27" t="n">
        <f aca="false">AVERAGE(D8:G8)</f>
        <v>78.65</v>
      </c>
      <c r="I8" s="21" t="str">
        <f aca="false">IF(H8&lt;60,"F",IF(H8&lt;70,"D",IF(H8&lt;80,"C",IF(H8&lt;90,"B",IF(H8&lt;101,"A")))))</f>
        <v>C</v>
      </c>
    </row>
    <row r="9" customFormat="false" ht="14.25" hidden="false" customHeight="false" outlineLevel="0" collapsed="false">
      <c r="A9" s="21" t="s">
        <v>16</v>
      </c>
      <c r="B9" s="21" t="s">
        <v>42</v>
      </c>
      <c r="C9" s="22" t="n">
        <v>837493585</v>
      </c>
      <c r="D9" s="23" t="n">
        <v>92</v>
      </c>
      <c r="E9" s="24" t="n">
        <v>89</v>
      </c>
      <c r="F9" s="25" t="n">
        <v>85</v>
      </c>
      <c r="G9" s="26" t="n">
        <f aca="false">'Q4 Summary'!G11</f>
        <v>99.3333333333333</v>
      </c>
      <c r="H9" s="27" t="n">
        <f aca="false">AVERAGE(D9:G9)</f>
        <v>91.3333333333333</v>
      </c>
      <c r="I9" s="21" t="str">
        <f aca="false">IF(H9&lt;60,"F",IF(H9&lt;70,"D",IF(H9&lt;80,"C",IF(H9&lt;90,"B",IF(H9&lt;101,"A")))))</f>
        <v>A</v>
      </c>
    </row>
    <row r="10" customFormat="false" ht="14.25" hidden="false" customHeight="false" outlineLevel="0" collapsed="false">
      <c r="A10" s="21" t="s">
        <v>17</v>
      </c>
      <c r="B10" s="21" t="s">
        <v>43</v>
      </c>
      <c r="C10" s="22" t="n">
        <v>716228068</v>
      </c>
      <c r="D10" s="23" t="n">
        <v>88</v>
      </c>
      <c r="E10" s="24" t="n">
        <v>89</v>
      </c>
      <c r="F10" s="25" t="n">
        <v>88</v>
      </c>
      <c r="G10" s="26" t="n">
        <f aca="false">'Q4 Summary'!G12</f>
        <v>94.8333333333333</v>
      </c>
      <c r="H10" s="27" t="n">
        <f aca="false">AVERAGE(D10:G10)</f>
        <v>89.9583333333333</v>
      </c>
      <c r="I10" s="21" t="str">
        <f aca="false">IF(H10&lt;60,"F",IF(H10&lt;70,"D",IF(H10&lt;80,"C",IF(H10&lt;90,"B",IF(H10&lt;101,"A")))))</f>
        <v>B</v>
      </c>
    </row>
    <row r="11" customFormat="false" ht="14.25" hidden="false" customHeight="false" outlineLevel="0" collapsed="false">
      <c r="A11" s="28"/>
      <c r="B11" s="28"/>
      <c r="C11" s="29" t="s">
        <v>44</v>
      </c>
      <c r="D11" s="23" t="n">
        <f aca="false">AVERAGE(D2:D10)</f>
        <v>86.7777777777778</v>
      </c>
      <c r="E11" s="24" t="n">
        <f aca="false">AVERAGE(E2:E10)</f>
        <v>87.8888888888889</v>
      </c>
      <c r="F11" s="25" t="n">
        <f aca="false">AVERAGE(F2:F10)</f>
        <v>87.1111111111111</v>
      </c>
      <c r="G11" s="26" t="n">
        <f aca="false">AVERAGE(G2:G10)</f>
        <v>93.7851851851852</v>
      </c>
      <c r="H11" s="28"/>
      <c r="I11" s="28"/>
    </row>
    <row r="12" customFormat="false" ht="13.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2002-09-18T20:59:59Z</dcterms:created>
  <dc:creator>Icet12</dc:creator>
  <dc:description/>
  <dc:language>en-US</dc:language>
  <cp:lastModifiedBy>devlab1</cp:lastModifiedBy>
  <dcterms:modified xsi:type="dcterms:W3CDTF">2002-10-01T00:46:10Z</dcterms:modified>
  <cp:revision>0</cp:revision>
  <dc:subject/>
  <dc:title/>
</cp:coreProperties>
</file>