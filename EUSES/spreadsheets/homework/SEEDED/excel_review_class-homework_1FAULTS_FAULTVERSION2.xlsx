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3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'back" sheetId="1" state="visible" r:id="rId2"/>
    <sheet name="drug bust" sheetId="2" state="visible" r:id="rId3"/>
    <sheet name="lookup" sheetId="3" state="visible" r:id="rId4"/>
  </sheets>
  <calcPr iterateCount="50" refMode="A1" iterate="tru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3" authorId="0">
      <text>
        <r>
          <rPr>
            <b val="true"/>
            <sz val="10"/>
            <color rgb="FF000000"/>
            <rFont val="Verdana"/>
            <family val="2"/>
          </rPr>
          <t xml:space="preserve">Quarterback Efficiency
</t>
        </r>
        <r>
          <rPr>
            <sz val="10"/>
            <color rgb="FF000000"/>
            <rFont val="Verdana"/>
            <family val="2"/>
          </rPr>
          <t xml:space="preserve">Formula 1: Points = (yards per attempt * 8.4) + (completion percentage) +
(touchdown percentage * 3.3) - (interception percentage * 2) where
Formula 2: completion % = (completions/attempts) * 100,
Formula 3: touchdown % = (TD/attempts) * 100, and
Formula 4: interception % = (interceptions/attempts) * 100.
1) Enter the formula (#2) to calculate completion % in H5 and copy down to H11
Hint: completion percentage = (D5 / C5) * 100 
2) Enter the formula (#3) to calculate Touchdown % in I5 and copy down to I11. 
3) Enter formula (#4) to calculate Interception % in the appropriate place and copy to the other cells.
4) Insert a new column at K and type in the title "Yards / Attempt" in row 4 
5) Enter the formula to calculate yards / attempt (ie yards / attempts, F4/C4) in K4 and copy to the rest of the column.
6) Now enter the formula (#1) to calculate points in L4 using the four values you have just derived.
7) Sort the rows on the Points column. Start at L4 highlight to A10. Select Data -&gt; Sort. 
Answer the following questions:
a) Who was the third most efficient quarterback?
ANS:</t>
        </r>
        <r>
          <rPr>
            <b val="true"/>
            <sz val="10"/>
            <color rgb="FF000000"/>
            <rFont val="Verdana"/>
            <family val="2"/>
          </rPr>
          <t xml:space="preserve">durant
</t>
        </r>
        <r>
          <rPr>
            <sz val="10"/>
            <color rgb="FF000000"/>
            <rFont val="Verdana"/>
            <family val="2"/>
          </rPr>
          <t xml:space="preserve">
b) What is the points gap between first and last quarterback?
ANS:</t>
        </r>
        <r>
          <rPr>
            <b val="true"/>
            <sz val="10"/>
            <color rgb="FF000000"/>
            <rFont val="Verdana"/>
            <family val="2"/>
          </rPr>
          <t xml:space="preserve">46
</t>
        </r>
        <r>
          <rPr>
            <sz val="10"/>
            <color rgb="FF000000"/>
            <rFont val="Verdana"/>
            <family val="2"/>
          </rPr>
          <t xml:space="preserve">
8) Create a histogram (bar) chart of points for schools. 
Hint: a) Highlight ranges B4:B11 and L4:L11 and select the chart wizzard
       b) Choose the bar chart and type in chart title and labels for X (school) and Y (points) axes
       c) Place the chart in the spreadsheet
9) Format the chart 
    a) remove gridlines
    b) remove plot area border and background ("area")
    c) scale Y axis with a minimum of 80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13</xdr:colOff>
                <xdr:row>12</xdr:row>
                <xdr:rowOff>4</xdr:rowOff>
              </xdr:from>
              <xdr:to>
                <xdr:col>10</xdr:col>
                <xdr:colOff>36</xdr:colOff>
                <xdr:row>52</xdr:row>
                <xdr:rowOff>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E12" authorId="0">
      <text>
        <r>
          <rPr>
            <b val="true"/>
            <sz val="10"/>
            <color rgb="FF000000"/>
            <rFont val="Verdana"/>
            <family val="2"/>
          </rPr>
          <t xml:space="preserve">CHARTING
</t>
        </r>
        <r>
          <rPr>
            <sz val="10"/>
            <color rgb="FF000000"/>
            <rFont val="Verdana"/>
            <family val="2"/>
          </rPr>
          <t xml:space="preserve">Compare histogram or bar charts with line chart
Bar chart
1) Select range A2:C33 (include titles)
2) Use chart wizard and select simple bar chart.
3) Remove gridlines and place the legend at the bottom
4) type in Titles for the chart and X and Y axes.
5) Place chart in current sheet
Line chart
6) Repeat selection from step #1
7) Now choose the simple line option for chart type
8) Remove gridlines and place the legend at the bottom as before
9) type in Titles for the chart and X and Y axes.
10) Place chart in current sheet
11) Format Plot Area: remove border and area colour
12) Change the Y axis number to read "thousands", so instead of 1,600,000 you would have 1,600 and the caption "thousands"
Hint: Format Axis: Scale - Display Units
13) Change the colour and thickness of the data lines on the chart.
14) On the X axis, align the year number so that it's 90 to the axis (ie vertical rather than slanted).
Hint: Right-click on Axis and choose format. Select Alignment -&gt; Orientation: move Text 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74</xdr:colOff>
                <xdr:row>11</xdr:row>
                <xdr:rowOff>1</xdr:rowOff>
              </xdr:from>
              <xdr:to>
                <xdr:col>11</xdr:col>
                <xdr:colOff>55</xdr:colOff>
                <xdr:row>34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9" authorId="0">
      <text>
        <r>
          <rPr>
            <sz val="10"/>
            <color rgb="FF000000"/>
            <rFont val="Verdana"/>
            <family val="2"/>
          </rPr>
          <t xml:space="preserve">1) Sum the totals for all 4 courses in range F4:F9.
2) Calculate the average for each in G4:G9 (ie F4/4 etc)
3) Use the VLOOKUP function to assign letter grades in H4:H9
Note:
Remember to use absolute cell references for the lookup table
Range lookup find closest match, so TRUE should be entered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9</xdr:colOff>
                <xdr:row>17</xdr:row>
                <xdr:rowOff>1</xdr:rowOff>
              </xdr:from>
              <xdr:to>
                <xdr:col>5</xdr:col>
                <xdr:colOff>3</xdr:colOff>
                <xdr:row>24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<sst xmlns="http://schemas.openxmlformats.org/spreadsheetml/2006/main" count="60" uniqueCount="57">
  <si>
    <t xml:space="preserve">Quarterback Efficiency</t>
  </si>
  <si>
    <t xml:space="preserve">Quarterback</t>
  </si>
  <si>
    <t xml:space="preserve">School</t>
  </si>
  <si>
    <t xml:space="preserve">Attempts</t>
  </si>
  <si>
    <t xml:space="preserve">Completions</t>
  </si>
  <si>
    <t xml:space="preserve">Interceptions</t>
  </si>
  <si>
    <t xml:space="preserve">Yards</t>
  </si>
  <si>
    <t xml:space="preserve"> TD</t>
  </si>
  <si>
    <t xml:space="preserve">Completion %</t>
  </si>
  <si>
    <t xml:space="preserve">Touchdown %</t>
  </si>
  <si>
    <t xml:space="preserve">Interception %</t>
  </si>
  <si>
    <t xml:space="preserve">Yards/Attempt</t>
  </si>
  <si>
    <t xml:space="preserve">Points</t>
  </si>
  <si>
    <t xml:space="preserve">Bryant</t>
  </si>
  <si>
    <t xml:space="preserve">DU</t>
  </si>
  <si>
    <t xml:space="preserve">Burchette</t>
  </si>
  <si>
    <t xml:space="preserve">WFU</t>
  </si>
  <si>
    <t xml:space="preserve">Durant</t>
  </si>
  <si>
    <t xml:space="preserve">ASU</t>
  </si>
  <si>
    <t xml:space="preserve">Gaither</t>
  </si>
  <si>
    <t xml:space="preserve">WCU</t>
  </si>
  <si>
    <t xml:space="preserve">Garrard</t>
  </si>
  <si>
    <t xml:space="preserve">ECU</t>
  </si>
  <si>
    <t xml:space="preserve">MacPherson</t>
  </si>
  <si>
    <t xml:space="preserve">NCSU</t>
  </si>
  <si>
    <t xml:space="preserve">Rivers</t>
  </si>
  <si>
    <t xml:space="preserve">UNC</t>
  </si>
  <si>
    <t xml:space="preserve">ADULT</t>
  </si>
  <si>
    <t xml:space="preserve">JUVENILE</t>
  </si>
  <si>
    <t xml:space="preserve">Bureau of Justice Statistics</t>
  </si>
  <si>
    <t xml:space="preserve">filename:  drug.wk1</t>
  </si>
  <si>
    <t xml:space="preserve">data source(s):  Crime in the United States 2000</t>
  </si>
  <si>
    <t xml:space="preserve">author:  Tina Dorsey and Marianne Zawitz</t>
  </si>
  <si>
    <t xml:space="preserve">refer questions to:  askbjs@ojp.usdoj.gov (202) 307-0765</t>
  </si>
  <si>
    <t xml:space="preserve">date of version:  10/19/01</t>
  </si>
  <si>
    <t xml:space="preserve">Estimated arrests for drug abuse violations</t>
  </si>
  <si>
    <t xml:space="preserve">by age group, 1970-2000</t>
  </si>
  <si>
    <t xml:space="preserve">Student</t>
  </si>
  <si>
    <t xml:space="preserve">Child Management 101</t>
  </si>
  <si>
    <t xml:space="preserve">Psychology of seniors</t>
  </si>
  <si>
    <t xml:space="preserve">Brewing Science</t>
  </si>
  <si>
    <t xml:space="preserve">Taxidermy 200</t>
  </si>
  <si>
    <t xml:space="preserve">Total /400</t>
  </si>
  <si>
    <t xml:space="preserve">Average / 100</t>
  </si>
  <si>
    <t xml:space="preserve">Letter Grade</t>
  </si>
  <si>
    <t xml:space="preserve">Spiggy Topes</t>
  </si>
  <si>
    <t xml:space="preserve">John Lennon</t>
  </si>
  <si>
    <t xml:space="preserve">Bob Dylan</t>
  </si>
  <si>
    <t xml:space="preserve">Polly Syrene</t>
  </si>
  <si>
    <t xml:space="preserve">Eric Clapton</t>
  </si>
  <si>
    <t xml:space="preserve">Jennifer Lopez</t>
  </si>
  <si>
    <t xml:space="preserve">Letter</t>
  </si>
  <si>
    <t xml:space="preserve">F</t>
  </si>
  <si>
    <t xml:space="preserve">D</t>
  </si>
  <si>
    <t xml:space="preserve">C</t>
  </si>
  <si>
    <t xml:space="preserve">B</t>
  </si>
  <si>
    <t xml:space="preserve">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</si>
</sst>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_)"/>
    <numFmt numFmtId="167" formatCode="[$-409]#,##0_);\(#,##0\)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</font>
    <font>
      <b val="true"/>
      <sz val="10"/>
      <name val="Arial"/>
      <family val="2"/>
    </font>
    <font>
      <b val="true"/>
      <sz val="10"/>
      <color rgb="FF000000"/>
      <name val="Verdana"/>
      <family val="2"/>
    </font>
    <font>
      <sz val="10"/>
      <color rgb="FF000000"/>
      <name val="Verdana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0"/>
      <color rgb="FFFFFF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33339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rug_busts_class" xfId="20"/>
    <cellStyle name="Normal_excel_review_class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QB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'Q''back'!$B$5</c:f>
              <c:strCache>
                <c:ptCount val="1"/>
                <c:pt idx="0">
                  <c:v>DU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'Q''back'!$C$5:$L$5</c:f>
              <c:numCache>
                <c:formatCode>General</c:formatCode>
                <c:ptCount val="10"/>
                <c:pt idx="0">
                  <c:v>384</c:v>
                </c:pt>
                <c:pt idx="1">
                  <c:v>187</c:v>
                </c:pt>
                <c:pt idx="2">
                  <c:v>17</c:v>
                </c:pt>
                <c:pt idx="3">
                  <c:v>2454</c:v>
                </c:pt>
                <c:pt idx="4">
                  <c:v>11</c:v>
                </c:pt>
                <c:pt idx="5">
                  <c:v>87.65625</c:v>
                </c:pt>
                <c:pt idx="6">
                  <c:v>2.86458333333333</c:v>
                </c:pt>
                <c:pt idx="7">
                  <c:v>4.42708333333333</c:v>
                </c:pt>
                <c:pt idx="8">
                  <c:v>6.390625</c:v>
                </c:pt>
                <c:pt idx="9">
                  <c:v>141.936458333333</c:v>
                </c:pt>
              </c:numCache>
            </c:numRef>
          </c:val>
        </c:ser>
        <c:ser>
          <c:idx val="1"/>
          <c:order val="1"/>
          <c:tx>
            <c:strRef>
              <c:f>'Q''back'!$B$6</c:f>
              <c:strCache>
                <c:ptCount val="1"/>
                <c:pt idx="0">
                  <c:v>WFU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'Q''back'!$C$6:$L$6</c:f>
              <c:numCache>
                <c:formatCode>General</c:formatCode>
                <c:ptCount val="10"/>
                <c:pt idx="0">
                  <c:v>208</c:v>
                </c:pt>
                <c:pt idx="1">
                  <c:v>112</c:v>
                </c:pt>
                <c:pt idx="2">
                  <c:v>11</c:v>
                </c:pt>
                <c:pt idx="3">
                  <c:v>1539</c:v>
                </c:pt>
                <c:pt idx="4">
                  <c:v>5</c:v>
                </c:pt>
                <c:pt idx="5">
                  <c:v>53.8461538461539</c:v>
                </c:pt>
                <c:pt idx="6">
                  <c:v>2.40384615384615</c:v>
                </c:pt>
                <c:pt idx="7">
                  <c:v>5.28846153846154</c:v>
                </c:pt>
                <c:pt idx="8">
                  <c:v>7.39903846153846</c:v>
                </c:pt>
                <c:pt idx="9">
                  <c:v>113.353846153846</c:v>
                </c:pt>
              </c:numCache>
            </c:numRef>
          </c:val>
        </c:ser>
        <c:ser>
          <c:idx val="2"/>
          <c:order val="2"/>
          <c:tx>
            <c:strRef>
              <c:f>'Q''back'!$B$7</c:f>
              <c:strCache>
                <c:ptCount val="1"/>
                <c:pt idx="0">
                  <c:v>ASU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'Q''back'!$C$7:$L$7</c:f>
              <c:numCache>
                <c:formatCode>General</c:formatCode>
                <c:ptCount val="10"/>
                <c:pt idx="0">
                  <c:v>339</c:v>
                </c:pt>
                <c:pt idx="1">
                  <c:v>184</c:v>
                </c:pt>
                <c:pt idx="2">
                  <c:v>15</c:v>
                </c:pt>
                <c:pt idx="3">
                  <c:v>2254</c:v>
                </c:pt>
                <c:pt idx="4">
                  <c:v>16</c:v>
                </c:pt>
                <c:pt idx="5">
                  <c:v>54.2772861356932</c:v>
                </c:pt>
                <c:pt idx="6">
                  <c:v>4.71976401179941</c:v>
                </c:pt>
                <c:pt idx="7">
                  <c:v>4.42477876106195</c:v>
                </c:pt>
                <c:pt idx="8">
                  <c:v>6.64896755162242</c:v>
                </c:pt>
                <c:pt idx="9">
                  <c:v>116.854277286136</c:v>
                </c:pt>
              </c:numCache>
            </c:numRef>
          </c:val>
        </c:ser>
        <c:ser>
          <c:idx val="3"/>
          <c:order val="3"/>
          <c:tx>
            <c:strRef>
              <c:f>'Q''back'!$B$8</c:f>
              <c:strCache>
                <c:ptCount val="1"/>
                <c:pt idx="0">
                  <c:v>WCU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'Q''back'!$C$8:$L$8</c:f>
              <c:numCache>
                <c:formatCode>General</c:formatCode>
                <c:ptCount val="10"/>
                <c:pt idx="0">
                  <c:v>199</c:v>
                </c:pt>
                <c:pt idx="1">
                  <c:v>107</c:v>
                </c:pt>
                <c:pt idx="2">
                  <c:v>7</c:v>
                </c:pt>
                <c:pt idx="3">
                  <c:v>1393</c:v>
                </c:pt>
                <c:pt idx="4">
                  <c:v>8</c:v>
                </c:pt>
                <c:pt idx="5">
                  <c:v>53.7688442211055</c:v>
                </c:pt>
                <c:pt idx="6">
                  <c:v>4.02010050251256</c:v>
                </c:pt>
                <c:pt idx="7">
                  <c:v>3.51758793969849</c:v>
                </c:pt>
                <c:pt idx="8">
                  <c:v>7</c:v>
                </c:pt>
                <c:pt idx="9">
                  <c:v>118.8</c:v>
                </c:pt>
              </c:numCache>
            </c:numRef>
          </c:val>
        </c:ser>
        <c:ser>
          <c:idx val="4"/>
          <c:order val="4"/>
          <c:tx>
            <c:strRef>
              <c:f>'Q''back'!$B$9</c:f>
              <c:strCache>
                <c:ptCount val="1"/>
                <c:pt idx="0">
                  <c:v>ECU</c:v>
                </c:pt>
              </c:strCache>
            </c:strRef>
          </c:tx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'Q''back'!$C$9:$L$9</c:f>
              <c:numCache>
                <c:formatCode>General</c:formatCode>
                <c:ptCount val="10"/>
                <c:pt idx="0">
                  <c:v>290</c:v>
                </c:pt>
                <c:pt idx="1">
                  <c:v>164</c:v>
                </c:pt>
                <c:pt idx="2">
                  <c:v>9</c:v>
                </c:pt>
                <c:pt idx="3">
                  <c:v>2247</c:v>
                </c:pt>
                <c:pt idx="4">
                  <c:v>13</c:v>
                </c:pt>
                <c:pt idx="5">
                  <c:v>56.551724137931</c:v>
                </c:pt>
                <c:pt idx="6">
                  <c:v>4.48275862068966</c:v>
                </c:pt>
                <c:pt idx="7">
                  <c:v>3.10344827586207</c:v>
                </c:pt>
                <c:pt idx="8">
                  <c:v>7.74827586206897</c:v>
                </c:pt>
                <c:pt idx="9">
                  <c:v>130.223448275862</c:v>
                </c:pt>
              </c:numCache>
            </c:numRef>
          </c:val>
        </c:ser>
        <c:ser>
          <c:idx val="5"/>
          <c:order val="5"/>
          <c:tx>
            <c:strRef>
              <c:f>'Q''back'!$B$10</c:f>
              <c:strCache>
                <c:ptCount val="1"/>
                <c:pt idx="0">
                  <c:v>NCSU</c:v>
                </c:pt>
              </c:strCache>
            </c:strRef>
          </c:tx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'Q''back'!$C$10:$L$10</c:f>
              <c:numCache>
                <c:formatCode>General</c:formatCode>
                <c:ptCount val="10"/>
                <c:pt idx="0">
                  <c:v>369</c:v>
                </c:pt>
                <c:pt idx="1">
                  <c:v>240</c:v>
                </c:pt>
                <c:pt idx="2">
                  <c:v>7</c:v>
                </c:pt>
                <c:pt idx="3">
                  <c:v>2586</c:v>
                </c:pt>
                <c:pt idx="4">
                  <c:v>16</c:v>
                </c:pt>
                <c:pt idx="5">
                  <c:v>65.0406504065041</c:v>
                </c:pt>
                <c:pt idx="6">
                  <c:v>4.3360433604336</c:v>
                </c:pt>
                <c:pt idx="7">
                  <c:v>1.8970189701897</c:v>
                </c:pt>
                <c:pt idx="8">
                  <c:v>7.00813008130081</c:v>
                </c:pt>
                <c:pt idx="9">
                  <c:v>134.423848238482</c:v>
                </c:pt>
              </c:numCache>
            </c:numRef>
          </c:val>
        </c:ser>
        <c:ser>
          <c:idx val="6"/>
          <c:order val="6"/>
          <c:tx>
            <c:strRef>
              <c:f>'Q''back'!$B$11</c:f>
              <c:strCache>
                <c:ptCount val="1"/>
                <c:pt idx="0">
                  <c:v>UNC</c:v>
                </c:pt>
              </c:strCache>
            </c:strRef>
          </c:tx>
          <c:spPr>
            <a:solidFill>
              <a:srgbClr val="0066cc"/>
            </a:solidFill>
            <a:ln w="378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'Q''back'!$C$11:$L$11</c:f>
              <c:numCache>
                <c:formatCode>General</c:formatCode>
                <c:ptCount val="10"/>
                <c:pt idx="0">
                  <c:v>223</c:v>
                </c:pt>
                <c:pt idx="1">
                  <c:v>142</c:v>
                </c:pt>
                <c:pt idx="2">
                  <c:v>10</c:v>
                </c:pt>
                <c:pt idx="3">
                  <c:v>1843</c:v>
                </c:pt>
                <c:pt idx="4">
                  <c:v>17</c:v>
                </c:pt>
                <c:pt idx="5">
                  <c:v>63.677130044843</c:v>
                </c:pt>
                <c:pt idx="6">
                  <c:v>7.62331838565022</c:v>
                </c:pt>
                <c:pt idx="7">
                  <c:v>4.48430493273543</c:v>
                </c:pt>
                <c:pt idx="8">
                  <c:v>8.26457399103139</c:v>
                </c:pt>
                <c:pt idx="9">
                  <c:v>149.287892376682</c:v>
                </c:pt>
              </c:numCache>
            </c:numRef>
          </c:val>
        </c:ser>
        <c:gapWidth val="150"/>
        <c:overlap val="0"/>
        <c:axId val="68714371"/>
        <c:axId val="38512295"/>
      </c:barChart>
      <c:catAx>
        <c:axId val="687143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SCHOOL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780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512295"/>
        <c:crossesAt val="0"/>
        <c:auto val="1"/>
        <c:lblAlgn val="ctr"/>
        <c:lblOffset val="100"/>
        <c:noMultiLvlLbl val="0"/>
      </c:catAx>
      <c:valAx>
        <c:axId val="38512295"/>
        <c:scaling>
          <c:orientation val="minMax"/>
          <c:min val="8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8714371"/>
        <c:crossesAt val="1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794880</xdr:colOff>
      <xdr:row>23</xdr:row>
      <xdr:rowOff>142920</xdr:rowOff>
    </xdr:from>
    <xdr:to>
      <xdr:col>9</xdr:col>
      <xdr:colOff>755640</xdr:colOff>
      <xdr:row>41</xdr:row>
      <xdr:rowOff>86040</xdr:rowOff>
    </xdr:to>
    <xdr:graphicFrame>
      <xdr:nvGraphicFramePr>
        <xdr:cNvPr id="0" name="Chart 3"/>
        <xdr:cNvGraphicFramePr/>
      </xdr:nvGraphicFramePr>
      <xdr:xfrm>
        <a:off x="3696840" y="3867120"/>
        <a:ext cx="4929480" cy="28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true" showOutlineSymbols="true" defaultGridColor="true" view="normal" topLeftCell="B25" colorId="64" zoomScale="100" zoomScaleNormal="100" zoomScalePageLayoutView="100" workbookViewId="0">
      <selection pane="topLeft" activeCell="B4" activeCellId="0" sqref="B4:L1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54"/>
    <col collapsed="false" customWidth="true" hidden="false" outlineLevel="0" max="2" min="2" style="0" width="14.54"/>
    <col collapsed="false" customWidth="true" hidden="false" outlineLevel="0" max="4" min="4" style="0" width="12.98"/>
    <col collapsed="false" customWidth="true" hidden="false" outlineLevel="0" max="5" min="5" style="0" width="11.98"/>
    <col collapsed="false" customWidth="true" hidden="false" outlineLevel="0" max="8" min="8" style="0" width="13.83"/>
    <col collapsed="false" customWidth="true" hidden="false" outlineLevel="0" max="9" min="9" style="0" width="13.55"/>
    <col collapsed="false" customWidth="true" hidden="false" outlineLevel="0" max="11" min="10" style="0" width="12.98"/>
    <col collapsed="false" customWidth="true" hidden="false" outlineLevel="0" max="12" min="12" style="0" width="11.98"/>
  </cols>
  <sheetData>
    <row r="2" customFormat="false" ht="12.75" hidden="false" customHeight="false" outlineLevel="0" collapsed="false">
      <c r="B2" s="1" t="s">
        <v>0</v>
      </c>
    </row>
    <row r="4" customFormat="false" ht="12.7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customFormat="false" ht="12.75" hidden="false" customHeight="false" outlineLevel="0" collapsed="false">
      <c r="A5" s="0" t="s">
        <v>13</v>
      </c>
      <c r="B5" s="0" t="s">
        <v>14</v>
      </c>
      <c r="C5" s="3" t="n">
        <v>384</v>
      </c>
      <c r="D5" s="3" t="n">
        <v>187</v>
      </c>
      <c r="E5" s="3" t="n">
        <v>17</v>
      </c>
      <c r="F5" s="3" t="n">
        <v>2454</v>
      </c>
      <c r="G5" s="3" t="n">
        <v>11</v>
      </c>
      <c r="H5" s="3" t="n">
        <f aca="false">D5/C5*180</f>
        <v>87.65625</v>
      </c>
      <c r="I5" s="3" t="n">
        <f aca="false">G5/C5*100</f>
        <v>2.86458333333333</v>
      </c>
      <c r="J5" s="3" t="n">
        <f aca="false">E5/C5*100</f>
        <v>4.42708333333333</v>
      </c>
      <c r="K5" s="3" t="n">
        <f aca="false">F5/C5</f>
        <v>6.390625</v>
      </c>
      <c r="L5" s="3" t="n">
        <f aca="false">K5*8.4+H5+I5*3.3-J5*2</f>
        <v>141.936458333333</v>
      </c>
    </row>
    <row r="6" customFormat="false" ht="12.75" hidden="false" customHeight="false" outlineLevel="0" collapsed="false">
      <c r="A6" s="0" t="s">
        <v>15</v>
      </c>
      <c r="B6" s="0" t="s">
        <v>16</v>
      </c>
      <c r="C6" s="3" t="n">
        <v>208</v>
      </c>
      <c r="D6" s="3" t="n">
        <v>112</v>
      </c>
      <c r="E6" s="3" t="n">
        <v>11</v>
      </c>
      <c r="F6" s="3" t="n">
        <v>1539</v>
      </c>
      <c r="G6" s="3" t="n">
        <v>5</v>
      </c>
      <c r="H6" s="3" t="n">
        <f aca="false">D6/C6*100</f>
        <v>53.8461538461539</v>
      </c>
      <c r="I6" s="3" t="n">
        <f aca="false">G6/C6*100</f>
        <v>2.40384615384615</v>
      </c>
      <c r="J6" s="3" t="n">
        <f aca="false">E6/C6*100</f>
        <v>5.28846153846154</v>
      </c>
      <c r="K6" s="3" t="n">
        <f aca="false">F6/C6</f>
        <v>7.39903846153846</v>
      </c>
      <c r="L6" s="3" t="n">
        <f aca="false">K6*8.4+H6+I6*3.3-J6*2</f>
        <v>113.353846153846</v>
      </c>
    </row>
    <row r="7" customFormat="false" ht="12.75" hidden="false" customHeight="false" outlineLevel="0" collapsed="false">
      <c r="A7" s="0" t="s">
        <v>17</v>
      </c>
      <c r="B7" s="0" t="s">
        <v>18</v>
      </c>
      <c r="C7" s="3" t="n">
        <v>339</v>
      </c>
      <c r="D7" s="3" t="n">
        <v>184</v>
      </c>
      <c r="E7" s="3" t="n">
        <v>15</v>
      </c>
      <c r="F7" s="3" t="n">
        <v>2254</v>
      </c>
      <c r="G7" s="3" t="n">
        <v>16</v>
      </c>
      <c r="H7" s="3" t="n">
        <f aca="false">D7/C7*100</f>
        <v>54.2772861356932</v>
      </c>
      <c r="I7" s="3" t="n">
        <f aca="false">G7/C7*100</f>
        <v>4.71976401179941</v>
      </c>
      <c r="J7" s="3" t="n">
        <f aca="false">E7/C7*100</f>
        <v>4.42477876106195</v>
      </c>
      <c r="K7" s="3" t="n">
        <f aca="false">F7/C7</f>
        <v>6.64896755162242</v>
      </c>
      <c r="L7" s="3" t="n">
        <f aca="false">K7*8.4+H7+I7*3.3-J7*2</f>
        <v>116.854277286136</v>
      </c>
    </row>
    <row r="8" customFormat="false" ht="12.75" hidden="false" customHeight="false" outlineLevel="0" collapsed="false">
      <c r="A8" s="0" t="s">
        <v>19</v>
      </c>
      <c r="B8" s="0" t="s">
        <v>20</v>
      </c>
      <c r="C8" s="3" t="n">
        <v>199</v>
      </c>
      <c r="D8" s="3" t="n">
        <v>107</v>
      </c>
      <c r="E8" s="3" t="n">
        <v>7</v>
      </c>
      <c r="F8" s="3" t="n">
        <v>1393</v>
      </c>
      <c r="G8" s="3" t="n">
        <v>8</v>
      </c>
      <c r="H8" s="3" t="n">
        <f aca="false">D8/C8*100</f>
        <v>53.7688442211055</v>
      </c>
      <c r="I8" s="3" t="n">
        <f aca="false">G8/C8*100</f>
        <v>4.02010050251256</v>
      </c>
      <c r="J8" s="3" t="n">
        <f aca="false">E8/C8*100</f>
        <v>3.51758793969849</v>
      </c>
      <c r="K8" s="3" t="n">
        <f aca="false">F8/C8</f>
        <v>7</v>
      </c>
      <c r="L8" s="3" t="n">
        <f aca="false">K8*8.4+H8+I8*3.3-J8*2</f>
        <v>118.8</v>
      </c>
    </row>
    <row r="9" customFormat="false" ht="12.75" hidden="false" customHeight="false" outlineLevel="0" collapsed="false">
      <c r="A9" s="0" t="s">
        <v>21</v>
      </c>
      <c r="B9" s="0" t="s">
        <v>22</v>
      </c>
      <c r="C9" s="3" t="n">
        <v>290</v>
      </c>
      <c r="D9" s="3" t="n">
        <v>164</v>
      </c>
      <c r="E9" s="3" t="n">
        <v>9</v>
      </c>
      <c r="F9" s="3" t="n">
        <v>2247</v>
      </c>
      <c r="G9" s="3" t="n">
        <v>13</v>
      </c>
      <c r="H9" s="3" t="n">
        <f aca="false">D9/C9*100</f>
        <v>56.551724137931</v>
      </c>
      <c r="I9" s="3" t="n">
        <f aca="false">G9/C9*100</f>
        <v>4.48275862068966</v>
      </c>
      <c r="J9" s="3" t="n">
        <f aca="false">E9/C9*100</f>
        <v>3.10344827586207</v>
      </c>
      <c r="K9" s="3" t="n">
        <f aca="false">F9/C9</f>
        <v>7.74827586206897</v>
      </c>
      <c r="L9" s="3" t="n">
        <f aca="false">K9*8.4+H9+I9*3.3-J9*2</f>
        <v>130.223448275862</v>
      </c>
    </row>
    <row r="10" customFormat="false" ht="12.75" hidden="false" customHeight="false" outlineLevel="0" collapsed="false">
      <c r="A10" s="0" t="s">
        <v>23</v>
      </c>
      <c r="B10" s="0" t="s">
        <v>24</v>
      </c>
      <c r="C10" s="3" t="n">
        <v>369</v>
      </c>
      <c r="D10" s="3" t="n">
        <v>240</v>
      </c>
      <c r="E10" s="3" t="n">
        <v>7</v>
      </c>
      <c r="F10" s="3" t="n">
        <v>2586</v>
      </c>
      <c r="G10" s="3" t="n">
        <v>16</v>
      </c>
      <c r="H10" s="3" t="n">
        <f aca="false">D10/C10*100</f>
        <v>65.0406504065041</v>
      </c>
      <c r="I10" s="3" t="n">
        <f aca="false">G10/C10*100</f>
        <v>4.3360433604336</v>
      </c>
      <c r="J10" s="3" t="n">
        <f aca="false">E10/C10*100</f>
        <v>1.8970189701897</v>
      </c>
      <c r="K10" s="3" t="n">
        <f aca="false">F10/C10</f>
        <v>7.00813008130081</v>
      </c>
      <c r="L10" s="3" t="n">
        <f aca="false">K10*8.4+H10+I10*3.3-J10*2</f>
        <v>134.423848238482</v>
      </c>
    </row>
    <row r="11" customFormat="false" ht="12.75" hidden="false" customHeight="false" outlineLevel="0" collapsed="false">
      <c r="A11" s="0" t="s">
        <v>25</v>
      </c>
      <c r="B11" s="0" t="s">
        <v>26</v>
      </c>
      <c r="C11" s="3" t="n">
        <v>223</v>
      </c>
      <c r="D11" s="3" t="n">
        <v>142</v>
      </c>
      <c r="E11" s="3" t="n">
        <v>10</v>
      </c>
      <c r="F11" s="3" t="n">
        <v>1843</v>
      </c>
      <c r="G11" s="3" t="n">
        <v>17</v>
      </c>
      <c r="H11" s="3" t="n">
        <f aca="false">D11/C11*100</f>
        <v>63.677130044843</v>
      </c>
      <c r="I11" s="3" t="n">
        <f aca="false">G11/C11*100</f>
        <v>7.62331838565022</v>
      </c>
      <c r="J11" s="3" t="n">
        <f aca="false">E11/C11*100</f>
        <v>4.48430493273543</v>
      </c>
      <c r="K11" s="3" t="n">
        <f aca="false">F11/C11</f>
        <v>8.26457399103139</v>
      </c>
      <c r="L11" s="3" t="n">
        <f aca="false">K11*8.4+H11+I11*3.3-J11*2</f>
        <v>149.287892376682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33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2" activeCellId="0" sqref="B2"/>
    </sheetView>
  </sheetViews>
  <sheetFormatPr defaultColWidth="10.28125" defaultRowHeight="12.75" zeroHeight="false" outlineLevelRow="0" outlineLevelCol="0"/>
  <cols>
    <col collapsed="false" customWidth="false" hidden="false" outlineLevel="0" max="1" min="1" style="4" width="10.27"/>
    <col collapsed="false" customWidth="true" hidden="false" outlineLevel="0" max="2" min="2" style="4" width="14.12"/>
    <col collapsed="false" customWidth="true" hidden="false" outlineLevel="0" max="3" min="3" style="4" width="13.69"/>
    <col collapsed="false" customWidth="false" hidden="false" outlineLevel="0" max="257" min="4" style="4" width="10.27"/>
  </cols>
  <sheetData>
    <row r="2" customFormat="false" ht="12.75" hidden="false" customHeight="false" outlineLevel="0" collapsed="false">
      <c r="A2" s="5"/>
      <c r="B2" s="6" t="s">
        <v>27</v>
      </c>
      <c r="C2" s="6" t="s">
        <v>28</v>
      </c>
      <c r="E2" s="6" t="s">
        <v>29</v>
      </c>
    </row>
    <row r="3" customFormat="false" ht="12.75" hidden="false" customHeight="false" outlineLevel="0" collapsed="false">
      <c r="A3" s="7" t="n">
        <v>1970</v>
      </c>
      <c r="B3" s="8" t="n">
        <v>322300</v>
      </c>
      <c r="C3" s="8" t="n">
        <v>93300</v>
      </c>
      <c r="E3" s="6" t="s">
        <v>30</v>
      </c>
    </row>
    <row r="4" customFormat="false" ht="12.75" hidden="false" customHeight="false" outlineLevel="0" collapsed="false">
      <c r="A4" s="7" t="n">
        <v>1971</v>
      </c>
      <c r="B4" s="8" t="n">
        <v>383900</v>
      </c>
      <c r="C4" s="8" t="n">
        <v>108100</v>
      </c>
      <c r="E4" s="6" t="s">
        <v>31</v>
      </c>
    </row>
    <row r="5" customFormat="false" ht="12.75" hidden="false" customHeight="false" outlineLevel="0" collapsed="false">
      <c r="A5" s="7" t="n">
        <v>1972</v>
      </c>
      <c r="B5" s="8" t="n">
        <v>407300</v>
      </c>
      <c r="C5" s="8" t="n">
        <v>120100</v>
      </c>
      <c r="E5" s="6" t="s">
        <v>32</v>
      </c>
    </row>
    <row r="6" customFormat="false" ht="12.75" hidden="false" customHeight="false" outlineLevel="0" collapsed="false">
      <c r="A6" s="7" t="n">
        <v>1973</v>
      </c>
      <c r="B6" s="8" t="n">
        <v>463600</v>
      </c>
      <c r="C6" s="8" t="n">
        <v>165300</v>
      </c>
      <c r="E6" s="6" t="s">
        <v>33</v>
      </c>
    </row>
    <row r="7" customFormat="false" ht="12.75" hidden="false" customHeight="false" outlineLevel="0" collapsed="false">
      <c r="A7" s="7" t="n">
        <v>1974</v>
      </c>
      <c r="B7" s="8" t="n">
        <v>474900</v>
      </c>
      <c r="C7" s="8" t="n">
        <v>167200</v>
      </c>
      <c r="E7" s="6" t="s">
        <v>34</v>
      </c>
    </row>
    <row r="8" customFormat="false" ht="12.75" hidden="false" customHeight="false" outlineLevel="0" collapsed="false">
      <c r="A8" s="7" t="n">
        <v>1975</v>
      </c>
      <c r="B8" s="8" t="n">
        <v>456000</v>
      </c>
      <c r="C8" s="8" t="n">
        <v>145400</v>
      </c>
    </row>
    <row r="9" customFormat="false" ht="12.75" hidden="false" customHeight="false" outlineLevel="0" collapsed="false">
      <c r="A9" s="7" t="n">
        <v>1976</v>
      </c>
      <c r="B9" s="8" t="n">
        <v>464100</v>
      </c>
      <c r="C9" s="8" t="n">
        <v>145400</v>
      </c>
      <c r="E9" s="6" t="s">
        <v>35</v>
      </c>
    </row>
    <row r="10" customFormat="false" ht="12.75" hidden="false" customHeight="false" outlineLevel="0" collapsed="false">
      <c r="A10" s="7" t="n">
        <v>1977</v>
      </c>
      <c r="B10" s="8" t="n">
        <v>493300</v>
      </c>
      <c r="C10" s="8" t="n">
        <v>149400</v>
      </c>
      <c r="E10" s="6" t="s">
        <v>36</v>
      </c>
    </row>
    <row r="11" customFormat="false" ht="12.75" hidden="false" customHeight="false" outlineLevel="0" collapsed="false">
      <c r="A11" s="7" t="n">
        <v>1978</v>
      </c>
      <c r="B11" s="8" t="n">
        <v>480000</v>
      </c>
      <c r="C11" s="8" t="n">
        <v>148700</v>
      </c>
    </row>
    <row r="12" customFormat="false" ht="12.75" hidden="false" customHeight="false" outlineLevel="0" collapsed="false">
      <c r="A12" s="7" t="n">
        <v>1979</v>
      </c>
      <c r="B12" s="8" t="n">
        <v>435600</v>
      </c>
      <c r="C12" s="8" t="n">
        <v>123000</v>
      </c>
    </row>
    <row r="13" customFormat="false" ht="12.75" hidden="false" customHeight="false" outlineLevel="0" collapsed="false">
      <c r="A13" s="7" t="n">
        <v>1980</v>
      </c>
      <c r="B13" s="8" t="n">
        <v>471200</v>
      </c>
      <c r="C13" s="8" t="n">
        <v>109700</v>
      </c>
    </row>
    <row r="14" customFormat="false" ht="12.75" hidden="false" customHeight="false" outlineLevel="0" collapsed="false">
      <c r="A14" s="7" t="n">
        <v>1981</v>
      </c>
      <c r="B14" s="8" t="n">
        <v>468100</v>
      </c>
      <c r="C14" s="8" t="n">
        <v>91800</v>
      </c>
    </row>
    <row r="15" customFormat="false" ht="12.75" hidden="false" customHeight="false" outlineLevel="0" collapsed="false">
      <c r="A15" s="7" t="n">
        <v>1982</v>
      </c>
      <c r="B15" s="8" t="n">
        <v>584900</v>
      </c>
      <c r="C15" s="8" t="n">
        <v>91200</v>
      </c>
    </row>
    <row r="16" customFormat="false" ht="12.75" hidden="false" customHeight="false" outlineLevel="0" collapsed="false">
      <c r="A16" s="7" t="n">
        <v>1983</v>
      </c>
      <c r="B16" s="8" t="n">
        <v>583500</v>
      </c>
      <c r="C16" s="8" t="n">
        <v>77900</v>
      </c>
    </row>
    <row r="17" customFormat="false" ht="12.75" hidden="false" customHeight="false" outlineLevel="0" collapsed="false">
      <c r="A17" s="7" t="n">
        <v>1984</v>
      </c>
      <c r="B17" s="8" t="n">
        <v>623700</v>
      </c>
      <c r="C17" s="8" t="n">
        <v>84700</v>
      </c>
    </row>
    <row r="18" customFormat="false" ht="12.75" hidden="false" customHeight="false" outlineLevel="0" collapsed="false">
      <c r="A18" s="7" t="n">
        <v>1985</v>
      </c>
      <c r="B18" s="8" t="n">
        <v>718600</v>
      </c>
      <c r="C18" s="8" t="n">
        <v>92800</v>
      </c>
    </row>
    <row r="19" customFormat="false" ht="12.75" hidden="false" customHeight="false" outlineLevel="0" collapsed="false">
      <c r="A19" s="7" t="n">
        <v>1986</v>
      </c>
      <c r="B19" s="8" t="n">
        <v>742700</v>
      </c>
      <c r="C19" s="8" t="n">
        <v>81400</v>
      </c>
    </row>
    <row r="20" customFormat="false" ht="12.75" hidden="false" customHeight="false" outlineLevel="0" collapsed="false">
      <c r="A20" s="7" t="n">
        <v>1987</v>
      </c>
      <c r="B20" s="8" t="n">
        <v>849500</v>
      </c>
      <c r="C20" s="8" t="n">
        <v>87900</v>
      </c>
    </row>
    <row r="21" customFormat="false" ht="12.75" hidden="false" customHeight="false" outlineLevel="0" collapsed="false">
      <c r="A21" s="7" t="n">
        <v>1988</v>
      </c>
      <c r="B21" s="8" t="n">
        <v>1050600</v>
      </c>
      <c r="C21" s="8" t="n">
        <v>104600</v>
      </c>
    </row>
    <row r="22" customFormat="false" ht="12.75" hidden="false" customHeight="false" outlineLevel="0" collapsed="false">
      <c r="A22" s="7" t="n">
        <v>1989</v>
      </c>
      <c r="B22" s="8" t="n">
        <v>1247800</v>
      </c>
      <c r="C22" s="8" t="n">
        <v>113900</v>
      </c>
    </row>
    <row r="23" customFormat="false" ht="12.75" hidden="false" customHeight="false" outlineLevel="0" collapsed="false">
      <c r="A23" s="7" t="n">
        <v>1990</v>
      </c>
      <c r="B23" s="8" t="n">
        <v>1008300</v>
      </c>
      <c r="C23" s="8" t="n">
        <v>81200</v>
      </c>
    </row>
    <row r="24" customFormat="false" ht="12.75" hidden="false" customHeight="false" outlineLevel="0" collapsed="false">
      <c r="A24" s="7" t="n">
        <v>1991</v>
      </c>
      <c r="B24" s="8" t="n">
        <v>931900</v>
      </c>
      <c r="C24" s="8" t="n">
        <v>78100</v>
      </c>
    </row>
    <row r="25" customFormat="false" ht="12.75" hidden="false" customHeight="false" outlineLevel="0" collapsed="false">
      <c r="A25" s="7" t="n">
        <v>1992</v>
      </c>
      <c r="B25" s="8" t="n">
        <v>980700</v>
      </c>
      <c r="C25" s="8" t="n">
        <v>85700</v>
      </c>
    </row>
    <row r="26" customFormat="false" ht="12.75" hidden="false" customHeight="false" outlineLevel="0" collapsed="false">
      <c r="A26" s="7" t="n">
        <v>1993</v>
      </c>
      <c r="B26" s="8" t="n">
        <v>1017800</v>
      </c>
      <c r="C26" s="8" t="n">
        <v>108500</v>
      </c>
    </row>
    <row r="27" customFormat="false" ht="12.75" hidden="false" customHeight="false" outlineLevel="0" collapsed="false">
      <c r="A27" s="7" t="n">
        <v>1994</v>
      </c>
      <c r="B27" s="8" t="n">
        <v>1192800</v>
      </c>
      <c r="C27" s="8" t="n">
        <v>158600</v>
      </c>
    </row>
    <row r="28" customFormat="false" ht="12.75" hidden="false" customHeight="false" outlineLevel="0" collapsed="false">
      <c r="A28" s="7" t="n">
        <v>1995</v>
      </c>
      <c r="B28" s="8" t="n">
        <v>1285700</v>
      </c>
      <c r="C28" s="8" t="n">
        <v>190400</v>
      </c>
    </row>
    <row r="29" customFormat="false" ht="12.75" hidden="false" customHeight="false" outlineLevel="0" collapsed="false">
      <c r="A29" s="7" t="n">
        <v>1996</v>
      </c>
      <c r="B29" s="8" t="n">
        <v>1295100</v>
      </c>
      <c r="C29" s="8" t="n">
        <v>211100</v>
      </c>
    </row>
    <row r="30" customFormat="false" ht="12.75" hidden="false" customHeight="false" outlineLevel="0" collapsed="false">
      <c r="A30" s="7" t="n">
        <v>1997</v>
      </c>
      <c r="B30" s="8" t="n">
        <v>1370400</v>
      </c>
      <c r="C30" s="8" t="n">
        <v>213200</v>
      </c>
    </row>
    <row r="31" customFormat="false" ht="12.75" hidden="false" customHeight="false" outlineLevel="0" collapsed="false">
      <c r="A31" s="7" t="n">
        <v>1998</v>
      </c>
      <c r="B31" s="8" t="n">
        <v>1360600</v>
      </c>
      <c r="C31" s="8" t="n">
        <v>198500</v>
      </c>
    </row>
    <row r="32" customFormat="false" ht="12.75" hidden="false" customHeight="false" outlineLevel="0" collapsed="false">
      <c r="A32" s="7" t="n">
        <v>1999</v>
      </c>
      <c r="B32" s="8" t="n">
        <v>1365100</v>
      </c>
      <c r="C32" s="8" t="n">
        <v>192000</v>
      </c>
    </row>
    <row r="33" customFormat="false" ht="12.75" hidden="false" customHeight="false" outlineLevel="0" collapsed="false">
      <c r="A33" s="5" t="n">
        <v>2000</v>
      </c>
      <c r="B33" s="8" t="n">
        <v>1375600</v>
      </c>
      <c r="C33" s="8" t="n">
        <v>203900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9" width="15.83"/>
    <col collapsed="false" customWidth="true" hidden="false" outlineLevel="0" max="2" min="2" style="9" width="16.68"/>
    <col collapsed="false" customWidth="true" hidden="false" outlineLevel="0" max="3" min="3" style="9" width="12.4"/>
    <col collapsed="false" customWidth="true" hidden="false" outlineLevel="0" max="4" min="4" style="9" width="11.55"/>
    <col collapsed="false" customWidth="true" hidden="false" outlineLevel="0" max="5" min="5" style="9" width="12.12"/>
    <col collapsed="false" customWidth="true" hidden="false" outlineLevel="0" max="7" min="6" style="9" width="11.84"/>
    <col collapsed="false" customWidth="true" hidden="false" outlineLevel="0" max="8" min="8" style="9" width="10.55"/>
    <col collapsed="false" customWidth="false" hidden="false" outlineLevel="0" max="257" min="9" style="9" width="9.13"/>
  </cols>
  <sheetData>
    <row r="1" customFormat="false" ht="12.75" hidden="false" customHeight="false" outlineLevel="0" collapsed="false">
      <c r="A1" s="10"/>
      <c r="B1" s="10"/>
    </row>
    <row r="3" customFormat="false" ht="26.25" hidden="false" customHeight="true" outlineLevel="0" collapsed="false">
      <c r="A3" s="11" t="s">
        <v>37</v>
      </c>
      <c r="B3" s="11" t="s">
        <v>38</v>
      </c>
      <c r="C3" s="11" t="s">
        <v>39</v>
      </c>
      <c r="D3" s="11" t="s">
        <v>40</v>
      </c>
      <c r="E3" s="11" t="s">
        <v>41</v>
      </c>
      <c r="F3" s="11" t="s">
        <v>42</v>
      </c>
      <c r="G3" s="11" t="s">
        <v>43</v>
      </c>
      <c r="H3" s="11" t="s">
        <v>44</v>
      </c>
    </row>
    <row r="4" customFormat="false" ht="12.75" hidden="false" customHeight="false" outlineLevel="0" collapsed="false">
      <c r="A4" s="12" t="s">
        <v>45</v>
      </c>
      <c r="B4" s="9" t="n">
        <v>20</v>
      </c>
      <c r="C4" s="9" t="n">
        <v>35</v>
      </c>
      <c r="D4" s="9" t="n">
        <v>80</v>
      </c>
      <c r="E4" s="9" t="n">
        <v>60</v>
      </c>
    </row>
    <row r="5" customFormat="false" ht="12.75" hidden="false" customHeight="false" outlineLevel="0" collapsed="false">
      <c r="A5" s="12" t="s">
        <v>46</v>
      </c>
      <c r="B5" s="9" t="n">
        <v>75</v>
      </c>
      <c r="C5" s="9" t="n">
        <v>45</v>
      </c>
      <c r="D5" s="9" t="n">
        <v>70</v>
      </c>
      <c r="E5" s="9" t="n">
        <v>60</v>
      </c>
    </row>
    <row r="6" customFormat="false" ht="12.75" hidden="false" customHeight="false" outlineLevel="0" collapsed="false">
      <c r="A6" s="12" t="s">
        <v>47</v>
      </c>
      <c r="B6" s="9" t="n">
        <v>65</v>
      </c>
      <c r="C6" s="9" t="n">
        <v>50</v>
      </c>
      <c r="D6" s="9" t="n">
        <v>75</v>
      </c>
      <c r="E6" s="9" t="n">
        <v>80</v>
      </c>
    </row>
    <row r="7" customFormat="false" ht="12.75" hidden="false" customHeight="false" outlineLevel="0" collapsed="false">
      <c r="A7" s="12" t="s">
        <v>48</v>
      </c>
      <c r="B7" s="9" t="n">
        <v>35</v>
      </c>
      <c r="C7" s="9" t="n">
        <v>65</v>
      </c>
      <c r="D7" s="9" t="n">
        <v>70</v>
      </c>
      <c r="E7" s="9" t="n">
        <v>50</v>
      </c>
    </row>
    <row r="8" customFormat="false" ht="12.75" hidden="false" customHeight="false" outlineLevel="0" collapsed="false">
      <c r="A8" s="12" t="s">
        <v>49</v>
      </c>
      <c r="B8" s="9" t="n">
        <v>85</v>
      </c>
      <c r="C8" s="9" t="n">
        <v>40</v>
      </c>
      <c r="D8" s="9" t="n">
        <v>65</v>
      </c>
      <c r="E8" s="9" t="n">
        <v>70</v>
      </c>
    </row>
    <row r="9" customFormat="false" ht="12.75" hidden="false" customHeight="false" outlineLevel="0" collapsed="false">
      <c r="A9" s="12" t="s">
        <v>50</v>
      </c>
      <c r="B9" s="9" t="n">
        <v>70</v>
      </c>
      <c r="C9" s="9" t="n">
        <v>80</v>
      </c>
      <c r="D9" s="9" t="n">
        <v>60</v>
      </c>
      <c r="E9" s="9" t="n">
        <v>80</v>
      </c>
    </row>
    <row r="11" customFormat="false" ht="12.75" hidden="false" customHeight="false" outlineLevel="0" collapsed="false">
      <c r="F11" s="11" t="s">
        <v>12</v>
      </c>
      <c r="G11" s="11" t="s">
        <v>51</v>
      </c>
    </row>
    <row r="12" customFormat="false" ht="12.75" hidden="false" customHeight="false" outlineLevel="0" collapsed="false">
      <c r="F12" s="9" t="n">
        <v>45</v>
      </c>
      <c r="G12" s="9" t="s">
        <v>52</v>
      </c>
    </row>
    <row r="13" customFormat="false" ht="12.75" hidden="false" customHeight="false" outlineLevel="0" collapsed="false">
      <c r="F13" s="9" t="n">
        <v>50</v>
      </c>
      <c r="G13" s="9" t="s">
        <v>52</v>
      </c>
    </row>
    <row r="14" customFormat="false" ht="12.75" hidden="false" customHeight="false" outlineLevel="0" collapsed="false">
      <c r="F14" s="9" t="n">
        <v>55</v>
      </c>
      <c r="G14" s="9" t="s">
        <v>53</v>
      </c>
    </row>
    <row r="15" customFormat="false" ht="12.75" hidden="false" customHeight="false" outlineLevel="0" collapsed="false">
      <c r="F15" s="9" t="n">
        <v>60</v>
      </c>
      <c r="G15" s="9" t="s">
        <v>54</v>
      </c>
    </row>
    <row r="16" customFormat="false" ht="12.75" hidden="false" customHeight="false" outlineLevel="0" collapsed="false">
      <c r="F16" s="9" t="n">
        <v>65</v>
      </c>
      <c r="G16" s="9" t="s">
        <v>55</v>
      </c>
    </row>
    <row r="17" customFormat="false" ht="12.75" hidden="false" customHeight="false" outlineLevel="0" collapsed="false">
      <c r="F17" s="9" t="n">
        <v>70</v>
      </c>
      <c r="G17" s="9" t="s">
        <v>56</v>
      </c>
    </row>
    <row r="18" customFormat="false" ht="12.75" hidden="false" customHeight="false" outlineLevel="0" collapsed="false">
      <c r="F18" s="9" t="n">
        <v>75</v>
      </c>
      <c r="G18" s="9" t="s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2002-04-10T21:55:03Z</dcterms:created>
  <dc:creator>John Newman</dc:creator>
  <dc:description/>
  <dc:language>en-US</dc:language>
  <cp:lastModifiedBy>ECS Lab</cp:lastModifiedBy>
  <dcterms:modified xsi:type="dcterms:W3CDTF">2003-12-07T19:02:05Z</dcterms:modified>
  <cp:revision>0</cp:revision>
  <dc:subject/>
  <dc:title/>
</cp:coreProperties>
</file>