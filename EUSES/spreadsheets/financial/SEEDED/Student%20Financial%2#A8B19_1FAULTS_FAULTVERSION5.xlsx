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9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ution and Fees" sheetId="1" state="visible" r:id="rId2"/>
    <sheet name="Financial Aid" sheetId="2" state="visible" r:id="rId3"/>
    <sheet name="Financial Aid 2" sheetId="3" state="visible" r:id="rId4"/>
  </sheets>
  <definedNames>
    <definedName function="false" hidden="false" localSheetId="1" name="_xlnm.Print_Area" vbProcedure="false">'Financial Aid'!$A$1:$H$49</definedName>
    <definedName function="false" hidden="false" localSheetId="2" name="_xlnm.Print_Area" vbProcedure="false">'Financial Aid 2'!$A$1:$M$41</definedName>
    <definedName function="false" hidden="false" localSheetId="0" name="_xlnm.Print_Area" vbProcedure="false">'Tution and Fees'!$A$1:$K$64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<sst xmlns="http://schemas.openxmlformats.org/spreadsheetml/2006/main" count="220" uniqueCount="130">
  <si>
    <t xml:space="preserve">Annual Expenses</t>
  </si>
  <si>
    <t xml:space="preserve">Overview</t>
  </si>
  <si>
    <t xml:space="preserve">2003-2004*</t>
  </si>
  <si>
    <t xml:space="preserve">2002-2003</t>
  </si>
  <si>
    <t xml:space="preserve">2001-2002</t>
  </si>
  <si>
    <t xml:space="preserve">2000-2001</t>
  </si>
  <si>
    <t xml:space="preserve">In-State Tuition</t>
  </si>
  <si>
    <t xml:space="preserve">Out-of-State Tuition</t>
  </si>
  <si>
    <t xml:space="preserve">Required Fees</t>
  </si>
  <si>
    <t xml:space="preserve">Room and Board On-Campus</t>
  </si>
  <si>
    <t xml:space="preserve">Room Only</t>
  </si>
  <si>
    <t xml:space="preserve">Board Only</t>
  </si>
  <si>
    <t xml:space="preserve">Comprehensive tuition/room/board/fees In-State</t>
  </si>
  <si>
    <t xml:space="preserve">Comprehensive tuition/room/board/fees Out-of-State</t>
  </si>
  <si>
    <t xml:space="preserve">*Anticpated Cgarges:  Tuition and Fees subject to change</t>
  </si>
  <si>
    <t xml:space="preserve">Fee Schedule Breakdown for Undergraduates for Fall Semester</t>
  </si>
  <si>
    <t xml:space="preserve">2003-2004</t>
  </si>
  <si>
    <t xml:space="preserve">IN-STATE RESIDENT</t>
  </si>
  <si>
    <t xml:space="preserve">1-5 Hrs</t>
  </si>
  <si>
    <t xml:space="preserve">6-8 Hrs</t>
  </si>
  <si>
    <t xml:space="preserve">9-11 Hrs</t>
  </si>
  <si>
    <t xml:space="preserve">12 &amp; Above</t>
  </si>
  <si>
    <t xml:space="preserve">TUTION</t>
  </si>
  <si>
    <t xml:space="preserve">REQUIRED FEES</t>
  </si>
  <si>
    <t xml:space="preserve">Health </t>
  </si>
  <si>
    <t xml:space="preserve">Insurance</t>
  </si>
  <si>
    <t xml:space="preserve">Student Activities</t>
  </si>
  <si>
    <t xml:space="preserve">Athletic</t>
  </si>
  <si>
    <t xml:space="preserve">Campus Center</t>
  </si>
  <si>
    <t xml:space="preserve">Educational and Technology</t>
  </si>
  <si>
    <t xml:space="preserve">Technology Enhancements</t>
  </si>
  <si>
    <t xml:space="preserve">ID Card Fee</t>
  </si>
  <si>
    <t xml:space="preserve">Assoc. of Student Gov.</t>
  </si>
  <si>
    <t xml:space="preserve">Total NC Resident</t>
  </si>
  <si>
    <t xml:space="preserve">OUT-OF-STATE RESIDENT</t>
  </si>
  <si>
    <t xml:space="preserve">TUITION</t>
  </si>
  <si>
    <t xml:space="preserve">Same as In-State</t>
  </si>
  <si>
    <t xml:space="preserve">Total Out-of-State Resident</t>
  </si>
  <si>
    <t xml:space="preserve">BOARDING FEES</t>
  </si>
  <si>
    <t xml:space="preserve">Traditional</t>
  </si>
  <si>
    <t xml:space="preserve">Suites</t>
  </si>
  <si>
    <t xml:space="preserve">Apartments</t>
  </si>
  <si>
    <t xml:space="preserve">Room</t>
  </si>
  <si>
    <t xml:space="preserve">Board</t>
  </si>
  <si>
    <t xml:space="preserve">Total </t>
  </si>
  <si>
    <t xml:space="preserve">Page 38</t>
  </si>
  <si>
    <t xml:space="preserve">Tuition and Fees</t>
  </si>
  <si>
    <t xml:space="preserve">for Fall</t>
  </si>
  <si>
    <t xml:space="preserve">In-State</t>
  </si>
  <si>
    <t xml:space="preserve">Out-of-State</t>
  </si>
  <si>
    <t xml:space="preserve">Year</t>
  </si>
  <si>
    <t xml:space="preserve">2001-02</t>
  </si>
  <si>
    <t xml:space="preserve">2000-01</t>
  </si>
  <si>
    <t xml:space="preserve">Financial Aid</t>
  </si>
  <si>
    <t xml:space="preserve">Need Based Aid Fall 2002</t>
  </si>
  <si>
    <t xml:space="preserve">First-time</t>
  </si>
  <si>
    <t xml:space="preserve">Full-time</t>
  </si>
  <si>
    <t xml:space="preserve">Part-time</t>
  </si>
  <si>
    <t xml:space="preserve">Undergraduate</t>
  </si>
  <si>
    <t xml:space="preserve"># degree-seeking</t>
  </si>
  <si>
    <t xml:space="preserve"># of degree-seeking who applied for financial aid</t>
  </si>
  <si>
    <t xml:space="preserve"># determined to have need</t>
  </si>
  <si>
    <t xml:space="preserve"># who received aid</t>
  </si>
  <si>
    <t xml:space="preserve"># who received any need based gift aid</t>
  </si>
  <si>
    <t xml:space="preserve"># who received any need based self-help aid</t>
  </si>
  <si>
    <t xml:space="preserve"># who received any non-need based gift aid</t>
  </si>
  <si>
    <t xml:space="preserve"># whose need was full met</t>
  </si>
  <si>
    <t xml:space="preserve">Average percentage of need that was met</t>
  </si>
  <si>
    <t xml:space="preserve">Average financial aid package of need based aid</t>
  </si>
  <si>
    <t xml:space="preserve">Average need based gift</t>
  </si>
  <si>
    <t xml:space="preserve">Average need based self-help award</t>
  </si>
  <si>
    <t xml:space="preserve">Average need based loan</t>
  </si>
  <si>
    <t xml:space="preserve">Non-Need Based Awards</t>
  </si>
  <si>
    <t xml:space="preserve"># degree-seeking who had no financial need and who </t>
  </si>
  <si>
    <t xml:space="preserve">     received non-need-based gift aid (exclude athletics)</t>
  </si>
  <si>
    <t xml:space="preserve">Average of non-need-based gift aid </t>
  </si>
  <si>
    <t xml:space="preserve"># who received a non-need-based athletic grant</t>
  </si>
  <si>
    <t xml:space="preserve">Average of non-need-based athletic grants </t>
  </si>
  <si>
    <t xml:space="preserve">Loans</t>
  </si>
  <si>
    <t xml:space="preserve">Percent of 2001 graduating undergraduate class who have borrowed   </t>
  </si>
  <si>
    <t xml:space="preserve">     through any loan programs while at the institution.</t>
  </si>
  <si>
    <t xml:space="preserve">Average per-borrower cumulative undergraduate indebtedness </t>
  </si>
  <si>
    <t xml:space="preserve">2001 - 2002 Aid Awarded to In-State and Out-of-State Undergraduates</t>
  </si>
  <si>
    <t xml:space="preserve">Out-of State</t>
  </si>
  <si>
    <t xml:space="preserve">%</t>
  </si>
  <si>
    <t xml:space="preserve">Average Pkg.</t>
  </si>
  <si>
    <t xml:space="preserve">First-time, First-year Students</t>
  </si>
  <si>
    <t xml:space="preserve">Need-based Aid</t>
  </si>
  <si>
    <t xml:space="preserve">Need-based Gift Aid</t>
  </si>
  <si>
    <t xml:space="preserve">Need-based Self-help Aid</t>
  </si>
  <si>
    <t xml:space="preserve">Need-based Loans</t>
  </si>
  <si>
    <t xml:space="preserve">Non-need-based Gift Aid</t>
  </si>
  <si>
    <t xml:space="preserve">All Degree-seeking Undergraduates</t>
  </si>
  <si>
    <t xml:space="preserve">Page 39</t>
  </si>
  <si>
    <t xml:space="preserve">Grants and ScholarshipsProvided to Undergraduate Students</t>
  </si>
  <si>
    <t xml:space="preserve">                PELL GRANTS</t>
  </si>
  <si>
    <t xml:space="preserve">                      SEOG</t>
  </si>
  <si>
    <t xml:space="preserve">              Student Incentive</t>
  </si>
  <si>
    <t xml:space="preserve">        Amount Received</t>
  </si>
  <si>
    <t xml:space="preserve">         Amount Received</t>
  </si>
  <si>
    <t xml:space="preserve"># Recipients</t>
  </si>
  <si>
    <t xml:space="preserve">Total</t>
  </si>
  <si>
    <t xml:space="preserve">Av. /Recp. </t>
  </si>
  <si>
    <t xml:space="preserve">             Athletic Grant in Aid</t>
  </si>
  <si>
    <t xml:space="preserve">    Other Grants and Scholarships</t>
  </si>
  <si>
    <t xml:space="preserve">TOTAL</t>
  </si>
  <si>
    <t xml:space="preserve">GRANTS</t>
  </si>
  <si>
    <t xml:space="preserve">Provided</t>
  </si>
  <si>
    <t xml:space="preserve">Guaranteed Loan Programs</t>
  </si>
  <si>
    <t xml:space="preserve">Total Grants Provided </t>
  </si>
  <si>
    <t xml:space="preserve">2000=10,003,772</t>
  </si>
  <si>
    <t xml:space="preserve">1999=5,356,023</t>
  </si>
  <si>
    <t xml:space="preserve">          FFELP - Subsidized</t>
  </si>
  <si>
    <t xml:space="preserve">  FFELP-Unsubsidized</t>
  </si>
  <si>
    <t xml:space="preserve">                 FFELP - Plus</t>
  </si>
  <si>
    <t xml:space="preserve">Total Amt.</t>
  </si>
  <si>
    <t xml:space="preserve">Other Loan and Work Programs </t>
  </si>
  <si>
    <t xml:space="preserve">        Work Study (FWS)</t>
  </si>
  <si>
    <t xml:space="preserve">           Perkins Loan</t>
  </si>
  <si>
    <t xml:space="preserve">       Institutional Loans</t>
  </si>
  <si>
    <t xml:space="preserve">                 Other Loans</t>
  </si>
  <si>
    <t xml:space="preserve">Non- </t>
  </si>
  <si>
    <t xml:space="preserve">Guaranteed</t>
  </si>
  <si>
    <t xml:space="preserve">Scholarships/Loans </t>
  </si>
  <si>
    <t xml:space="preserve">                      ROTC</t>
  </si>
  <si>
    <t xml:space="preserve">          NC Teaching Fellows</t>
  </si>
  <si>
    <t xml:space="preserve">              Nurse Education</t>
  </si>
  <si>
    <t xml:space="preserve">             Nurse Scholars</t>
  </si>
  <si>
    <t xml:space="preserve">    Amount Received</t>
  </si>
  <si>
    <t xml:space="preserve">Page 40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</si>
</sst>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;[RED]#,##0"/>
    <numFmt numFmtId="167" formatCode="#,##0"/>
    <numFmt numFmtId="168" formatCode="_(* #,##0.00_);_(* \(#,##0.00\);_(* \-??_);_(@_)"/>
    <numFmt numFmtId="169" formatCode="#,##0.00"/>
    <numFmt numFmtId="170" formatCode="0.00"/>
    <numFmt numFmtId="171" formatCode="0%"/>
    <numFmt numFmtId="172" formatCode="\$#,##0_);[RED]&quot;($&quot;#,##0\)"/>
    <numFmt numFmtId="173" formatCode="_(\$* #,##0.00_);_(\$* \(#,##0.00\);_(\$* \-??_);_(@_)"/>
    <numFmt numFmtId="174" formatCode="_(\$* #,##0_);_(\$* \(#,##0\);_(\$* \-??_);_(@_)"/>
    <numFmt numFmtId="175" formatCode="_(* #,##0_);_(* \(#,##0\);_(* \-??_);_(@_)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lbertus Extra Bold"/>
      <family val="2"/>
    </font>
    <font>
      <sz val="12"/>
      <name val="Albertus Extra Bold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name val="Albertus Extra Bold"/>
      <family val="2"/>
    </font>
    <font>
      <b val="true"/>
      <sz val="9"/>
      <name val="Arial"/>
      <family val="2"/>
    </font>
    <font>
      <b val="true"/>
      <sz val="10"/>
      <name val="Arial"/>
      <family val="0"/>
    </font>
    <font>
      <sz val="10"/>
      <name val="Arial"/>
      <family val="2"/>
    </font>
    <font>
      <b val="true"/>
      <sz val="18"/>
      <color rgb="FF000000"/>
      <name val="Arial"/>
      <family val="2"/>
    </font>
    <font>
      <sz val="16.25"/>
      <color rgb="FF000000"/>
      <name val="Arial"/>
      <family val="2"/>
    </font>
    <font>
      <b val="true"/>
      <sz val="14.25"/>
      <color rgb="FF000000"/>
      <name val="Arial"/>
      <family val="2"/>
    </font>
    <font>
      <sz val="11"/>
      <color rgb="FF000000"/>
      <name val="Times New Roman"/>
      <family val="2"/>
    </font>
    <font>
      <b val="true"/>
      <sz val="14.25"/>
      <color rgb="FF000000"/>
      <name val="Times New Roman"/>
      <family val="2"/>
    </font>
    <font>
      <sz val="9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3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false" applyProtection="false"/>
  </cellStyleXfs>
  <cellXfs count="1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4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4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4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1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4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4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2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2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4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23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</a:rPr>
              <a:t>Tuition and Fees for Academic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277456038749079"/>
          <c:y val="0.167239263803681"/>
          <c:w val="0.735863957039065"/>
          <c:h val="0.753251533742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'Tution and Fees'!$B$75</c:f>
              <c:strCache>
                <c:ptCount val="1"/>
                <c:pt idx="0">
                  <c:v>In-State</c:v>
                </c:pt>
              </c:strCache>
            </c:strRef>
          </c:tx>
          <c:spPr>
            <a:solidFill>
              <a:srgbClr val="3366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Fees'!$C$75:$D$75</c:f>
              <c:numCache>
                <c:formatCode>General</c:formatCode>
                <c:ptCount val="2"/>
                <c:pt idx="0">
                  <c:v>2326</c:v>
                </c:pt>
                <c:pt idx="1">
                  <c:v>2336</c:v>
                </c:pt>
              </c:numCache>
            </c:numRef>
          </c:val>
        </c:ser>
        <c:ser>
          <c:idx val="1"/>
          <c:order val="1"/>
          <c:tx>
            <c:strRef>
              <c:f>'Tution and Fees'!$B$76</c:f>
              <c:strCache>
                <c:ptCount val="1"/>
                <c:pt idx="0">
                  <c:v>Out-of-State</c:v>
                </c:pt>
              </c:strCache>
            </c:strRef>
          </c:tx>
          <c:spPr>
            <a:solidFill>
              <a:srgbClr val="ff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'Tution and Fees'!$C$74:$D$74</c:f>
              <c:strCache>
                <c:ptCount val="2"/>
                <c:pt idx="0">
                  <c:v>2002-2003</c:v>
                </c:pt>
                <c:pt idx="1">
                  <c:v>2003-2004</c:v>
                </c:pt>
              </c:strCache>
            </c:strRef>
          </c:cat>
          <c:val>
            <c:numRef>
              <c:f>'Tution and Fees'!$C$76:$D$76</c:f>
              <c:numCache>
                <c:formatCode>General</c:formatCode>
                <c:ptCount val="2"/>
                <c:pt idx="0">
                  <c:v>10197</c:v>
                </c:pt>
                <c:pt idx="1">
                  <c:v>10207</c:v>
                </c:pt>
              </c:numCache>
            </c:numRef>
          </c:val>
        </c:ser>
        <c:gapWidth val="150"/>
        <c:overlap val="0"/>
        <c:axId val="15493519"/>
        <c:axId val="47985088"/>
      </c:barChart>
      <c:catAx>
        <c:axId val="154935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425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25" spc="-1" strike="noStrike">
                    <a:solidFill>
                      <a:srgbClr val="000000"/>
                    </a:solidFill>
                    <a:latin typeface="Arial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625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7985088"/>
        <c:crossesAt val="0"/>
        <c:auto val="1"/>
        <c:lblAlgn val="ctr"/>
        <c:lblOffset val="100"/>
        <c:noMultiLvlLbl val="0"/>
      </c:catAx>
      <c:valAx>
        <c:axId val="47985088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15493519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92566073496894"/>
          <c:y val="0.39558282208589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1" sz="1425" spc="-1" strike="noStrike">
              <a:solidFill>
                <a:srgbClr val="000000"/>
              </a:solidFill>
              <a:latin typeface="Times New Roman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318960</xdr:colOff>
      <xdr:row>44</xdr:row>
      <xdr:rowOff>19080</xdr:rowOff>
    </xdr:from>
    <xdr:to>
      <xdr:col>10</xdr:col>
      <xdr:colOff>373320</xdr:colOff>
      <xdr:row>62</xdr:row>
      <xdr:rowOff>38160</xdr:rowOff>
    </xdr:to>
    <xdr:graphicFrame>
      <xdr:nvGraphicFramePr>
        <xdr:cNvPr id="0" name="Chart 1"/>
        <xdr:cNvGraphicFramePr/>
      </xdr:nvGraphicFramePr>
      <xdr:xfrm>
        <a:off x="318960" y="7334280"/>
        <a:ext cx="6837480" cy="293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9.0546875" defaultRowHeight="12.75" zeroHeight="false" outlineLevelRow="0" outlineLevelCol="0"/>
  <cols>
    <col collapsed="false" customWidth="true" hidden="false" outlineLevel="0" max="2" min="2" style="0" width="5.55"/>
    <col collapsed="false" customWidth="true" hidden="false" outlineLevel="0" max="3" min="3" style="0" width="10.4"/>
    <col collapsed="false" customWidth="true" hidden="false" outlineLevel="0" max="5" min="5" style="0" width="11.27"/>
    <col collapsed="false" customWidth="true" hidden="false" outlineLevel="0" max="6" min="6" style="0" width="10.12"/>
    <col collapsed="false" customWidth="true" hidden="false" outlineLevel="0" max="7" min="7" style="0" width="10.69"/>
    <col collapsed="false" customWidth="true" hidden="false" outlineLevel="0" max="8" min="8" style="0" width="10.12"/>
    <col collapsed="false" customWidth="true" hidden="false" outlineLevel="0" max="9" min="9" style="0" width="10.84"/>
    <col collapsed="false" customWidth="true" hidden="false" outlineLevel="0" max="11" min="11" style="0" width="11.27"/>
    <col collapsed="false" customWidth="true" hidden="false" outlineLevel="0" max="12" min="12" style="0" width="10.27"/>
  </cols>
  <sheetData>
    <row r="1" customFormat="false" ht="18" hidden="false" customHeight="false" outlineLevel="0" collapsed="false">
      <c r="A1" s="1" t="s">
        <v>0</v>
      </c>
    </row>
    <row r="3" customFormat="false" ht="15.75" hidden="false" customHeight="false" outlineLevel="0" collapsed="false">
      <c r="A3" s="2" t="s">
        <v>1</v>
      </c>
    </row>
    <row r="4" customFormat="false" ht="13.5" hidden="false" customHeight="false" outlineLevel="0" collapsed="false">
      <c r="F4" s="3" t="s">
        <v>2</v>
      </c>
      <c r="G4" s="4" t="s">
        <v>3</v>
      </c>
      <c r="H4" s="4" t="s">
        <v>4</v>
      </c>
      <c r="I4" s="5" t="s">
        <v>5</v>
      </c>
    </row>
    <row r="5" customFormat="false" ht="12.75" hidden="false" customHeight="false" outlineLevel="0" collapsed="false">
      <c r="A5" s="6" t="s">
        <v>6</v>
      </c>
      <c r="B5" s="7"/>
      <c r="C5" s="7"/>
      <c r="D5" s="7"/>
      <c r="E5" s="8"/>
      <c r="F5" s="9" t="n">
        <v>1168</v>
      </c>
      <c r="G5" s="10" t="n">
        <v>1168</v>
      </c>
      <c r="H5" s="10" t="n">
        <v>854</v>
      </c>
      <c r="I5" s="10" t="n">
        <v>822</v>
      </c>
    </row>
    <row r="6" customFormat="false" ht="12.75" hidden="false" customHeight="false" outlineLevel="0" collapsed="false">
      <c r="A6" s="6" t="s">
        <v>7</v>
      </c>
      <c r="B6" s="7"/>
      <c r="C6" s="7"/>
      <c r="D6" s="7"/>
      <c r="E6" s="8"/>
      <c r="F6" s="8" t="n">
        <v>9039</v>
      </c>
      <c r="G6" s="11" t="n">
        <v>9039</v>
      </c>
      <c r="H6" s="11" t="n">
        <v>7273</v>
      </c>
      <c r="I6" s="11" t="n">
        <v>7240</v>
      </c>
    </row>
    <row r="7" customFormat="false" ht="12.75" hidden="false" customHeight="false" outlineLevel="0" collapsed="false">
      <c r="A7" s="6" t="s">
        <v>8</v>
      </c>
      <c r="B7" s="7"/>
      <c r="C7" s="7"/>
      <c r="D7" s="7"/>
      <c r="E7" s="8"/>
      <c r="F7" s="8" t="n">
        <v>1168</v>
      </c>
      <c r="G7" s="11" t="n">
        <v>1158</v>
      </c>
      <c r="H7" s="11" t="n">
        <v>1097</v>
      </c>
      <c r="I7" s="11" t="n">
        <v>1003</v>
      </c>
    </row>
    <row r="8" customFormat="false" ht="12.75" hidden="false" customHeight="false" outlineLevel="0" collapsed="false">
      <c r="A8" s="6" t="s">
        <v>9</v>
      </c>
      <c r="B8" s="7"/>
      <c r="C8" s="7"/>
      <c r="D8" s="7"/>
      <c r="E8" s="8"/>
      <c r="F8" s="8" t="n">
        <v>4892</v>
      </c>
      <c r="G8" s="11" t="n">
        <f aca="false">G9+G10</f>
        <v>4272</v>
      </c>
      <c r="H8" s="11" t="n">
        <f aca="false">H9+H10</f>
        <v>3864</v>
      </c>
      <c r="I8" s="11" t="n">
        <f aca="false">I9+I10</f>
        <v>3630</v>
      </c>
    </row>
    <row r="9" customFormat="false" ht="12.75" hidden="false" customHeight="false" outlineLevel="0" collapsed="false">
      <c r="A9" s="6" t="s">
        <v>10</v>
      </c>
      <c r="B9" s="7"/>
      <c r="C9" s="7"/>
      <c r="D9" s="7"/>
      <c r="E9" s="8"/>
      <c r="F9" s="8" t="n">
        <v>2466</v>
      </c>
      <c r="G9" s="11" t="n">
        <v>2466</v>
      </c>
      <c r="H9" s="11" t="n">
        <v>2058</v>
      </c>
      <c r="I9" s="11" t="n">
        <v>1894</v>
      </c>
    </row>
    <row r="10" customFormat="false" ht="12.75" hidden="false" customHeight="false" outlineLevel="0" collapsed="false">
      <c r="A10" s="6" t="s">
        <v>11</v>
      </c>
      <c r="B10" s="7"/>
      <c r="C10" s="7"/>
      <c r="D10" s="7"/>
      <c r="E10" s="8"/>
      <c r="F10" s="8" t="n">
        <v>1806</v>
      </c>
      <c r="G10" s="11" t="n">
        <v>1806</v>
      </c>
      <c r="H10" s="11" t="n">
        <v>1806</v>
      </c>
      <c r="I10" s="11" t="n">
        <v>1736</v>
      </c>
    </row>
    <row r="11" customFormat="false" ht="12.75" hidden="false" customHeight="false" outlineLevel="0" collapsed="false">
      <c r="A11" s="6" t="s">
        <v>12</v>
      </c>
      <c r="B11" s="7"/>
      <c r="C11" s="7"/>
      <c r="D11" s="7"/>
      <c r="E11" s="8"/>
      <c r="F11" s="12" t="n">
        <v>7228</v>
      </c>
      <c r="G11" s="13" t="n">
        <f aca="false">G5+G8+G7</f>
        <v>6598</v>
      </c>
      <c r="H11" s="13" t="n">
        <f aca="false">H5+H8+H7</f>
        <v>5815</v>
      </c>
      <c r="I11" s="13" t="n">
        <f aca="false">I5+I8+I7</f>
        <v>5455</v>
      </c>
    </row>
    <row r="12" customFormat="false" ht="12.75" hidden="false" customHeight="false" outlineLevel="0" collapsed="false">
      <c r="A12" s="6" t="s">
        <v>13</v>
      </c>
      <c r="B12" s="7"/>
      <c r="C12" s="7"/>
      <c r="D12" s="7"/>
      <c r="E12" s="8"/>
      <c r="F12" s="14" t="n">
        <f aca="false">F6+F7+F8</f>
        <v>15099</v>
      </c>
      <c r="G12" s="15" t="n">
        <f aca="false">SUM(G6,G8,G7)</f>
        <v>14469</v>
      </c>
      <c r="H12" s="15" t="n">
        <f aca="false">SUM(H6,I8,H7)</f>
        <v>12000</v>
      </c>
      <c r="I12" s="15" t="n">
        <f aca="false">SUM(I6,I8,I7)</f>
        <v>11873</v>
      </c>
    </row>
    <row r="13" customFormat="false" ht="12.75" hidden="false" customHeight="false" outlineLevel="0" collapsed="false">
      <c r="A13" s="16" t="s">
        <v>14</v>
      </c>
      <c r="B13" s="17"/>
      <c r="C13" s="17"/>
      <c r="D13" s="17"/>
      <c r="E13" s="17"/>
      <c r="F13" s="18"/>
      <c r="G13" s="18"/>
      <c r="H13" s="18"/>
    </row>
    <row r="14" customFormat="false" ht="15" hidden="false" customHeight="false" outlineLevel="0" collapsed="false">
      <c r="A14" s="2" t="s">
        <v>15</v>
      </c>
    </row>
    <row r="15" customFormat="false" ht="15.75" hidden="false" customHeight="false" outlineLevel="0" collapsed="false">
      <c r="A15" s="2"/>
    </row>
    <row r="16" customFormat="false" ht="12.75" hidden="false" customHeight="false" outlineLevel="0" collapsed="false">
      <c r="A16" s="19"/>
      <c r="B16" s="20"/>
      <c r="C16" s="20"/>
      <c r="D16" s="21" t="s">
        <v>16</v>
      </c>
      <c r="E16" s="20"/>
      <c r="F16" s="20"/>
      <c r="G16" s="22"/>
      <c r="H16" s="21" t="s">
        <v>3</v>
      </c>
      <c r="I16" s="20"/>
      <c r="J16" s="20"/>
      <c r="K16" s="22"/>
    </row>
    <row r="17" customFormat="false" ht="12.75" hidden="false" customHeight="false" outlineLevel="0" collapsed="false">
      <c r="A17" s="23"/>
      <c r="B17" s="17"/>
      <c r="C17" s="17"/>
      <c r="D17" s="24" t="s">
        <v>17</v>
      </c>
      <c r="E17" s="17"/>
      <c r="F17" s="17"/>
      <c r="G17" s="25"/>
      <c r="H17" s="24" t="s">
        <v>17</v>
      </c>
      <c r="I17" s="17"/>
      <c r="J17" s="17"/>
      <c r="K17" s="25"/>
    </row>
    <row r="18" s="31" customFormat="true" ht="12" hidden="false" customHeight="false" outlineLevel="0" collapsed="false">
      <c r="A18" s="26"/>
      <c r="B18" s="27"/>
      <c r="C18" s="27"/>
      <c r="D18" s="28" t="s">
        <v>18</v>
      </c>
      <c r="E18" s="29" t="s">
        <v>19</v>
      </c>
      <c r="F18" s="29" t="s">
        <v>20</v>
      </c>
      <c r="G18" s="30" t="s">
        <v>21</v>
      </c>
      <c r="H18" s="28" t="s">
        <v>18</v>
      </c>
      <c r="I18" s="29" t="s">
        <v>19</v>
      </c>
      <c r="J18" s="29" t="s">
        <v>20</v>
      </c>
      <c r="K18" s="30" t="s">
        <v>21</v>
      </c>
    </row>
    <row r="19" customFormat="false" ht="12.75" hidden="false" customHeight="false" outlineLevel="0" collapsed="false">
      <c r="A19" s="32" t="s">
        <v>22</v>
      </c>
      <c r="B19" s="7"/>
      <c r="C19" s="7"/>
      <c r="D19" s="33" t="n">
        <v>146</v>
      </c>
      <c r="E19" s="34" t="n">
        <v>292</v>
      </c>
      <c r="F19" s="34" t="n">
        <v>438</v>
      </c>
      <c r="G19" s="35" t="n">
        <v>584</v>
      </c>
      <c r="H19" s="33" t="n">
        <v>146</v>
      </c>
      <c r="I19" s="34" t="n">
        <v>292</v>
      </c>
      <c r="J19" s="34" t="n">
        <v>438</v>
      </c>
      <c r="K19" s="35" t="n">
        <v>584</v>
      </c>
    </row>
    <row r="20" customFormat="false" ht="12.75" hidden="false" customHeight="false" outlineLevel="0" collapsed="false">
      <c r="A20" s="32" t="s">
        <v>23</v>
      </c>
      <c r="B20" s="7"/>
      <c r="C20" s="7"/>
      <c r="D20" s="33"/>
      <c r="E20" s="34"/>
      <c r="F20" s="34"/>
      <c r="G20" s="35"/>
      <c r="H20" s="33"/>
      <c r="I20" s="34"/>
      <c r="J20" s="34"/>
      <c r="K20" s="35"/>
    </row>
    <row r="21" customFormat="false" ht="12.75" hidden="false" customHeight="false" outlineLevel="0" collapsed="false">
      <c r="A21" s="32" t="s">
        <v>24</v>
      </c>
      <c r="B21" s="7"/>
      <c r="C21" s="7"/>
      <c r="D21" s="33" t="n">
        <v>20</v>
      </c>
      <c r="E21" s="34" t="n">
        <v>39</v>
      </c>
      <c r="F21" s="34" t="n">
        <v>59</v>
      </c>
      <c r="G21" s="35" t="n">
        <v>78.5</v>
      </c>
      <c r="H21" s="33" t="n">
        <v>20</v>
      </c>
      <c r="I21" s="34" t="n">
        <v>39</v>
      </c>
      <c r="J21" s="34" t="n">
        <v>59</v>
      </c>
      <c r="K21" s="35" t="n">
        <v>78.5</v>
      </c>
    </row>
    <row r="22" customFormat="false" ht="12.75" hidden="false" customHeight="false" outlineLevel="0" collapsed="false">
      <c r="A22" s="32" t="s">
        <v>25</v>
      </c>
      <c r="B22" s="7"/>
      <c r="C22" s="7"/>
      <c r="D22" s="33"/>
      <c r="E22" s="34"/>
      <c r="F22" s="34"/>
      <c r="G22" s="35" t="n">
        <v>35</v>
      </c>
      <c r="H22" s="33"/>
      <c r="I22" s="34"/>
      <c r="J22" s="34"/>
      <c r="K22" s="35" t="n">
        <v>35</v>
      </c>
    </row>
    <row r="23" customFormat="false" ht="12.75" hidden="false" customHeight="false" outlineLevel="0" collapsed="false">
      <c r="A23" s="32" t="s">
        <v>26</v>
      </c>
      <c r="B23" s="7"/>
      <c r="C23" s="7"/>
      <c r="D23" s="33" t="n">
        <v>38.75</v>
      </c>
      <c r="E23" s="34" t="n">
        <v>77.5</v>
      </c>
      <c r="F23" s="34" t="n">
        <v>116.25</v>
      </c>
      <c r="G23" s="35" t="n">
        <v>155</v>
      </c>
      <c r="H23" s="33" t="n">
        <v>38</v>
      </c>
      <c r="I23" s="34" t="n">
        <v>75</v>
      </c>
      <c r="J23" s="34" t="n">
        <v>112</v>
      </c>
      <c r="K23" s="35" t="n">
        <v>150</v>
      </c>
    </row>
    <row r="24" customFormat="false" ht="12.75" hidden="false" customHeight="false" outlineLevel="0" collapsed="false">
      <c r="A24" s="32" t="s">
        <v>27</v>
      </c>
      <c r="B24" s="7"/>
      <c r="C24" s="7"/>
      <c r="D24" s="33" t="n">
        <v>40</v>
      </c>
      <c r="E24" s="34" t="n">
        <v>80</v>
      </c>
      <c r="F24" s="34" t="n">
        <v>120</v>
      </c>
      <c r="G24" s="35" t="n">
        <v>160</v>
      </c>
      <c r="H24" s="33" t="n">
        <v>31</v>
      </c>
      <c r="I24" s="34" t="n">
        <v>62</v>
      </c>
      <c r="J24" s="34" t="n">
        <v>94</v>
      </c>
      <c r="K24" s="35" t="n">
        <v>125</v>
      </c>
    </row>
    <row r="25" customFormat="false" ht="12.75" hidden="false" customHeight="false" outlineLevel="0" collapsed="false">
      <c r="A25" s="32" t="s">
        <v>28</v>
      </c>
      <c r="B25" s="7"/>
      <c r="C25" s="7"/>
      <c r="D25" s="33" t="n">
        <v>14</v>
      </c>
      <c r="E25" s="34" t="n">
        <v>28.75</v>
      </c>
      <c r="F25" s="34" t="n">
        <v>43</v>
      </c>
      <c r="G25" s="35" t="n">
        <v>57.5</v>
      </c>
      <c r="H25" s="33" t="n">
        <v>14</v>
      </c>
      <c r="I25" s="34" t="n">
        <v>28.75</v>
      </c>
      <c r="J25" s="34" t="n">
        <v>43</v>
      </c>
      <c r="K25" s="35" t="n">
        <v>57.5</v>
      </c>
    </row>
    <row r="26" customFormat="false" ht="12.75" hidden="false" customHeight="false" outlineLevel="0" collapsed="false">
      <c r="A26" s="32" t="s">
        <v>29</v>
      </c>
      <c r="B26" s="7"/>
      <c r="C26" s="7"/>
      <c r="D26" s="33" t="n">
        <v>30.63</v>
      </c>
      <c r="E26" s="34" t="n">
        <v>61.25</v>
      </c>
      <c r="F26" s="34" t="n">
        <v>91.88</v>
      </c>
      <c r="G26" s="35" t="n">
        <v>122.5</v>
      </c>
      <c r="H26" s="33" t="n">
        <v>26</v>
      </c>
      <c r="I26" s="34" t="n">
        <v>52</v>
      </c>
      <c r="J26" s="34" t="n">
        <v>79</v>
      </c>
      <c r="K26" s="35" t="n">
        <v>105</v>
      </c>
    </row>
    <row r="27" customFormat="false" ht="12.75" hidden="false" customHeight="false" outlineLevel="0" collapsed="false">
      <c r="A27" s="32" t="s">
        <v>30</v>
      </c>
      <c r="B27" s="7"/>
      <c r="C27" s="7"/>
      <c r="D27" s="33"/>
      <c r="E27" s="34"/>
      <c r="F27" s="34"/>
      <c r="G27" s="35"/>
      <c r="H27" s="33" t="n">
        <v>4</v>
      </c>
      <c r="I27" s="34" t="n">
        <v>9</v>
      </c>
      <c r="J27" s="34" t="n">
        <v>13</v>
      </c>
      <c r="K27" s="35" t="n">
        <v>17.5</v>
      </c>
    </row>
    <row r="28" customFormat="false" ht="12.75" hidden="false" customHeight="false" outlineLevel="0" collapsed="false">
      <c r="A28" s="32" t="s">
        <v>31</v>
      </c>
      <c r="B28" s="7"/>
      <c r="C28" s="7"/>
      <c r="D28" s="33" t="n">
        <v>10</v>
      </c>
      <c r="E28" s="34" t="n">
        <v>10</v>
      </c>
      <c r="F28" s="34" t="n">
        <v>10</v>
      </c>
      <c r="G28" s="35" t="n">
        <v>10</v>
      </c>
      <c r="H28" s="33" t="n">
        <v>10</v>
      </c>
      <c r="I28" s="34" t="n">
        <v>10</v>
      </c>
      <c r="J28" s="34" t="n">
        <v>10</v>
      </c>
      <c r="K28" s="35" t="n">
        <v>10</v>
      </c>
    </row>
    <row r="29" customFormat="false" ht="12.75" hidden="false" customHeight="false" outlineLevel="0" collapsed="false">
      <c r="A29" s="36" t="s">
        <v>32</v>
      </c>
      <c r="B29" s="7"/>
      <c r="C29" s="7"/>
      <c r="D29" s="37" t="n">
        <v>0.13</v>
      </c>
      <c r="E29" s="38" t="n">
        <v>0.25</v>
      </c>
      <c r="F29" s="38" t="n">
        <v>0.38</v>
      </c>
      <c r="G29" s="39" t="n">
        <v>0.5</v>
      </c>
      <c r="H29" s="37" t="n">
        <v>0.13</v>
      </c>
      <c r="I29" s="38" t="n">
        <v>0.25</v>
      </c>
      <c r="J29" s="38" t="n">
        <v>0.38</v>
      </c>
      <c r="K29" s="39" t="n">
        <v>0.5</v>
      </c>
    </row>
    <row r="30" customFormat="false" ht="12.75" hidden="false" customHeight="false" outlineLevel="0" collapsed="false">
      <c r="A30" s="40" t="s">
        <v>33</v>
      </c>
      <c r="B30" s="7"/>
      <c r="C30" s="7"/>
      <c r="D30" s="41" t="n">
        <f aca="false">SUM(D19:D29)</f>
        <v>299.51</v>
      </c>
      <c r="E30" s="42" t="n">
        <f aca="false">SUM(E19:E29)</f>
        <v>588.75</v>
      </c>
      <c r="F30" s="42" t="n">
        <f aca="false">SUM(F19:F29)</f>
        <v>878.51</v>
      </c>
      <c r="G30" s="43" t="n">
        <f aca="false">SUM(G19:G29)</f>
        <v>1203</v>
      </c>
      <c r="H30" s="41" t="n">
        <f aca="false">SUM(H19:H29)</f>
        <v>289.13</v>
      </c>
      <c r="I30" s="42" t="n">
        <f aca="false">SUM(I19:I29)</f>
        <v>568</v>
      </c>
      <c r="J30" s="42" t="n">
        <f aca="false">SUM(J19:J29)</f>
        <v>848.38</v>
      </c>
      <c r="K30" s="43" t="n">
        <f aca="false">SUM(K19:K29)</f>
        <v>1163</v>
      </c>
    </row>
    <row r="31" customFormat="false" ht="13.5" hidden="false" customHeight="false" outlineLevel="0" collapsed="false">
      <c r="A31" s="44"/>
      <c r="B31" s="17"/>
      <c r="C31" s="17"/>
      <c r="D31" s="45"/>
      <c r="E31" s="46"/>
      <c r="F31" s="46"/>
      <c r="G31" s="47"/>
      <c r="H31" s="46"/>
      <c r="I31" s="46"/>
      <c r="J31" s="46"/>
      <c r="K31" s="47"/>
    </row>
    <row r="32" customFormat="false" ht="12.75" hidden="false" customHeight="false" outlineLevel="0" collapsed="false">
      <c r="A32" s="19"/>
      <c r="B32" s="20"/>
      <c r="C32" s="20"/>
      <c r="D32" s="21" t="s">
        <v>34</v>
      </c>
      <c r="E32" s="48"/>
      <c r="F32" s="48"/>
      <c r="G32" s="49"/>
      <c r="H32" s="21" t="s">
        <v>34</v>
      </c>
      <c r="I32" s="48"/>
      <c r="J32" s="48"/>
      <c r="K32" s="49"/>
    </row>
    <row r="33" s="31" customFormat="true" ht="12" hidden="false" customHeight="false" outlineLevel="0" collapsed="false">
      <c r="A33" s="26"/>
      <c r="B33" s="27"/>
      <c r="C33" s="27"/>
      <c r="D33" s="28" t="s">
        <v>18</v>
      </c>
      <c r="E33" s="29" t="s">
        <v>19</v>
      </c>
      <c r="F33" s="29" t="s">
        <v>20</v>
      </c>
      <c r="G33" s="30" t="s">
        <v>21</v>
      </c>
      <c r="H33" s="28" t="s">
        <v>18</v>
      </c>
      <c r="I33" s="29" t="s">
        <v>19</v>
      </c>
      <c r="J33" s="29" t="s">
        <v>20</v>
      </c>
      <c r="K33" s="30" t="s">
        <v>21</v>
      </c>
    </row>
    <row r="34" customFormat="false" ht="12.75" hidden="false" customHeight="false" outlineLevel="0" collapsed="false">
      <c r="A34" s="32" t="s">
        <v>35</v>
      </c>
      <c r="B34" s="7"/>
      <c r="C34" s="7"/>
      <c r="D34" s="50" t="n">
        <v>1130</v>
      </c>
      <c r="E34" s="51" t="n">
        <v>2260</v>
      </c>
      <c r="F34" s="51" t="n">
        <v>3390</v>
      </c>
      <c r="G34" s="52" t="n">
        <v>4519.5</v>
      </c>
      <c r="H34" s="50" t="n">
        <v>1130</v>
      </c>
      <c r="I34" s="51" t="n">
        <v>2260</v>
      </c>
      <c r="J34" s="51" t="n">
        <v>3390</v>
      </c>
      <c r="K34" s="52" t="n">
        <v>4519.5</v>
      </c>
    </row>
    <row r="35" customFormat="false" ht="12.75" hidden="false" customHeight="false" outlineLevel="0" collapsed="false">
      <c r="A35" s="32" t="s">
        <v>23</v>
      </c>
      <c r="B35" s="7"/>
      <c r="C35" s="7"/>
      <c r="D35" s="53"/>
      <c r="E35" s="54"/>
      <c r="F35" s="54"/>
      <c r="G35" s="55"/>
      <c r="H35" s="53"/>
      <c r="I35" s="54"/>
      <c r="J35" s="54"/>
      <c r="K35" s="55"/>
    </row>
    <row r="36" customFormat="false" ht="12.75" hidden="false" customHeight="false" outlineLevel="0" collapsed="false">
      <c r="A36" s="32" t="s">
        <v>36</v>
      </c>
      <c r="B36" s="7"/>
      <c r="C36" s="7"/>
      <c r="D36" s="56" t="n">
        <f aca="false">SUM(D21:D29)</f>
        <v>153.51</v>
      </c>
      <c r="E36" s="57" t="n">
        <f aca="false">SUM(E21:E29)</f>
        <v>296.75</v>
      </c>
      <c r="F36" s="57" t="n">
        <f aca="false">SUM(F21:F29)</f>
        <v>440.51</v>
      </c>
      <c r="G36" s="58" t="n">
        <v>584</v>
      </c>
      <c r="H36" s="56" t="n">
        <f aca="false">SUM(H21:H29)</f>
        <v>143.13</v>
      </c>
      <c r="I36" s="57" t="n">
        <f aca="false">SUM(I21:I29)</f>
        <v>276</v>
      </c>
      <c r="J36" s="57" t="n">
        <f aca="false">SUM(J21:J29)</f>
        <v>410.38</v>
      </c>
      <c r="K36" s="58" t="n">
        <f aca="false">SUM(K21:K29)</f>
        <v>579</v>
      </c>
    </row>
    <row r="37" customFormat="false" ht="13.5" hidden="false" customHeight="false" outlineLevel="0" collapsed="false">
      <c r="A37" s="59" t="s">
        <v>37</v>
      </c>
      <c r="B37" s="60"/>
      <c r="C37" s="60"/>
      <c r="D37" s="61" t="n">
        <f aca="false">SUM(D34:D36)</f>
        <v>1283.51</v>
      </c>
      <c r="E37" s="62" t="n">
        <f aca="false">SUM(E34:E36)</f>
        <v>2556.75</v>
      </c>
      <c r="F37" s="62" t="n">
        <f aca="false">SUM(F34:F36)</f>
        <v>3830.51</v>
      </c>
      <c r="G37" s="63" t="n">
        <f aca="false">SUM(G34:G36)</f>
        <v>5103.5</v>
      </c>
      <c r="H37" s="61" t="n">
        <f aca="false">SUM(H34:H36)</f>
        <v>1273.13</v>
      </c>
      <c r="I37" s="62" t="n">
        <f aca="false">SUM(I34:I36)</f>
        <v>2536</v>
      </c>
      <c r="J37" s="62" t="n">
        <f aca="false">SUM(J34:J36)</f>
        <v>3800.38</v>
      </c>
      <c r="K37" s="63" t="n">
        <f aca="false">SUM(K34:K36)</f>
        <v>5098.5</v>
      </c>
    </row>
    <row r="38" customFormat="false" ht="12.75" hidden="false" customHeight="false" outlineLevel="0" collapsed="false">
      <c r="A38" s="20"/>
      <c r="B38" s="17"/>
      <c r="C38" s="17"/>
      <c r="D38" s="23"/>
      <c r="E38" s="17"/>
      <c r="F38" s="17"/>
      <c r="G38" s="25"/>
      <c r="H38" s="17"/>
      <c r="I38" s="17"/>
      <c r="J38" s="17"/>
      <c r="K38" s="25"/>
      <c r="L38" s="17"/>
      <c r="M38" s="17"/>
    </row>
    <row r="39" customFormat="false" ht="12.75" hidden="false" customHeight="false" outlineLevel="0" collapsed="false">
      <c r="D39" s="24" t="s">
        <v>38</v>
      </c>
      <c r="E39" s="17"/>
      <c r="F39" s="17"/>
      <c r="G39" s="25"/>
      <c r="H39" s="64" t="s">
        <v>38</v>
      </c>
      <c r="I39" s="17"/>
      <c r="J39" s="17"/>
      <c r="K39" s="25"/>
      <c r="L39" s="17"/>
    </row>
    <row r="40" customFormat="false" ht="12.75" hidden="false" customHeight="false" outlineLevel="0" collapsed="false">
      <c r="D40" s="23"/>
      <c r="E40" s="65" t="s">
        <v>39</v>
      </c>
      <c r="F40" s="65" t="s">
        <v>40</v>
      </c>
      <c r="G40" s="66" t="s">
        <v>41</v>
      </c>
      <c r="H40" s="17"/>
      <c r="I40" s="65" t="s">
        <v>39</v>
      </c>
      <c r="J40" s="65" t="s">
        <v>40</v>
      </c>
      <c r="K40" s="66" t="s">
        <v>41</v>
      </c>
    </row>
    <row r="41" customFormat="false" ht="12.75" hidden="false" customHeight="false" outlineLevel="0" collapsed="false">
      <c r="D41" s="23" t="s">
        <v>42</v>
      </c>
      <c r="E41" s="67" t="n">
        <v>1443</v>
      </c>
      <c r="F41" s="68" t="n">
        <v>1340</v>
      </c>
      <c r="G41" s="69" t="n">
        <v>1574</v>
      </c>
      <c r="H41" s="17" t="s">
        <v>42</v>
      </c>
      <c r="I41" s="67" t="n">
        <v>1233</v>
      </c>
      <c r="J41" s="68" t="n">
        <v>1425.5</v>
      </c>
      <c r="K41" s="69" t="n">
        <v>1574</v>
      </c>
    </row>
    <row r="42" customFormat="false" ht="12.75" hidden="false" customHeight="false" outlineLevel="0" collapsed="false">
      <c r="D42" s="23" t="s">
        <v>43</v>
      </c>
      <c r="E42" s="68" t="n">
        <v>1003</v>
      </c>
      <c r="F42" s="68" t="n">
        <v>1003</v>
      </c>
      <c r="G42" s="70" t="n">
        <v>473</v>
      </c>
      <c r="H42" s="17" t="s">
        <v>43</v>
      </c>
      <c r="I42" s="68" t="n">
        <v>903</v>
      </c>
      <c r="J42" s="68" t="n">
        <v>903</v>
      </c>
      <c r="K42" s="70" t="n">
        <v>473</v>
      </c>
    </row>
    <row r="43" customFormat="false" ht="13.5" hidden="false" customHeight="false" outlineLevel="0" collapsed="false">
      <c r="D43" s="71" t="s">
        <v>44</v>
      </c>
      <c r="E43" s="72" t="n">
        <f aca="false">SUM(E41:E42)</f>
        <v>2446</v>
      </c>
      <c r="F43" s="72" t="n">
        <f aca="false">SUM(F41:F42)</f>
        <v>2343</v>
      </c>
      <c r="G43" s="73" t="n">
        <f aca="false">SUM(G41:G42)</f>
        <v>2047</v>
      </c>
      <c r="H43" s="74" t="s">
        <v>44</v>
      </c>
      <c r="I43" s="72" t="n">
        <f aca="false">SUM(I41:I42)</f>
        <v>2136</v>
      </c>
      <c r="J43" s="72" t="n">
        <f aca="false">SUM(J41:J42)</f>
        <v>2328.5</v>
      </c>
      <c r="K43" s="73" t="n">
        <f aca="false">SUM(K41:K42)</f>
        <v>2047</v>
      </c>
    </row>
    <row r="44" customFormat="false" ht="12.75" hidden="false" customHeight="false" outlineLevel="0" collapsed="false">
      <c r="A44" s="75"/>
      <c r="B44" s="17"/>
      <c r="C44" s="17"/>
      <c r="D44" s="17"/>
      <c r="E44" s="17"/>
      <c r="F44" s="17"/>
      <c r="G44" s="17"/>
      <c r="H44" s="75"/>
      <c r="I44" s="17"/>
      <c r="J44" s="17"/>
      <c r="K44" s="17"/>
    </row>
    <row r="64" customFormat="false" ht="12.75" hidden="false" customHeight="false" outlineLevel="0" collapsed="false">
      <c r="G64" s="76" t="s">
        <v>45</v>
      </c>
    </row>
    <row r="67" customFormat="false" ht="12.75" hidden="false" customHeight="false" outlineLevel="0" collapsed="false">
      <c r="A67" s="0" t="s">
        <v>46</v>
      </c>
      <c r="C67" s="0" t="s">
        <v>47</v>
      </c>
    </row>
    <row r="69" customFormat="false" ht="12.75" hidden="false" customHeight="false" outlineLevel="0" collapsed="false">
      <c r="C69" s="0" t="s">
        <v>3</v>
      </c>
      <c r="D69" s="0" t="s">
        <v>4</v>
      </c>
    </row>
    <row r="70" customFormat="false" ht="12.75" hidden="false" customHeight="false" outlineLevel="0" collapsed="false">
      <c r="A70" s="0" t="s">
        <v>48</v>
      </c>
      <c r="C70" s="0" t="n">
        <v>1010.5</v>
      </c>
      <c r="D70" s="0" t="n">
        <v>912.5</v>
      </c>
    </row>
    <row r="71" customFormat="false" ht="12.75" hidden="false" customHeight="false" outlineLevel="0" collapsed="false">
      <c r="A71" s="0" t="s">
        <v>49</v>
      </c>
      <c r="C71" s="0" t="n">
        <v>4129.5</v>
      </c>
      <c r="D71" s="0" t="n">
        <v>4121.5</v>
      </c>
    </row>
    <row r="73" customFormat="false" ht="12.75" hidden="false" customHeight="false" outlineLevel="0" collapsed="false">
      <c r="C73" s="0" t="s">
        <v>50</v>
      </c>
    </row>
    <row r="74" customFormat="false" ht="12.75" hidden="false" customHeight="false" outlineLevel="0" collapsed="false">
      <c r="C74" s="0" t="s">
        <v>3</v>
      </c>
      <c r="D74" s="0" t="s">
        <v>16</v>
      </c>
      <c r="G74" s="0" t="s">
        <v>48</v>
      </c>
      <c r="H74" s="0" t="s">
        <v>49</v>
      </c>
    </row>
    <row r="75" customFormat="false" ht="12.75" hidden="false" customHeight="false" outlineLevel="0" collapsed="false">
      <c r="B75" s="0" t="s">
        <v>48</v>
      </c>
      <c r="C75" s="0" t="n">
        <v>2326</v>
      </c>
      <c r="D75" s="0" t="n">
        <v>2336</v>
      </c>
      <c r="F75" s="0" t="s">
        <v>51</v>
      </c>
      <c r="G75" s="0" t="n">
        <v>2021</v>
      </c>
      <c r="H75" s="0" t="n">
        <v>8259</v>
      </c>
    </row>
    <row r="76" customFormat="false" ht="12.75" hidden="false" customHeight="false" outlineLevel="0" collapsed="false">
      <c r="B76" s="0" t="s">
        <v>49</v>
      </c>
      <c r="C76" s="0" t="n">
        <v>10197</v>
      </c>
      <c r="D76" s="0" t="n">
        <v>10207</v>
      </c>
      <c r="F76" s="0" t="s">
        <v>52</v>
      </c>
      <c r="G76" s="0" t="n">
        <v>1825</v>
      </c>
      <c r="H76" s="0" t="n">
        <v>8243</v>
      </c>
    </row>
  </sheetData>
  <printOptions headings="false" gridLines="false" gridLinesSet="true" horizontalCentered="false" verticalCentered="false"/>
  <pageMargins left="0.747916666666667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42" activeCellId="0" sqref="J42"/>
    </sheetView>
  </sheetViews>
  <sheetFormatPr defaultColWidth="9.0546875" defaultRowHeight="12.75" zeroHeight="false" outlineLevelRow="0" outlineLevelCol="0"/>
  <cols>
    <col collapsed="false" customWidth="true" hidden="false" outlineLevel="0" max="5" min="5" style="0" width="12.4"/>
    <col collapsed="false" customWidth="true" hidden="false" outlineLevel="0" max="8" min="6" style="0" width="12.55"/>
  </cols>
  <sheetData>
    <row r="1" customFormat="false" ht="18" hidden="false" customHeight="false" outlineLevel="0" collapsed="false">
      <c r="A1" s="1" t="s">
        <v>53</v>
      </c>
    </row>
    <row r="2" customFormat="false" ht="13.5" hidden="false" customHeight="false" outlineLevel="0" collapsed="false"/>
    <row r="3" customFormat="false" ht="15" hidden="false" customHeight="true" outlineLevel="0" collapsed="false">
      <c r="A3" s="77" t="s">
        <v>54</v>
      </c>
      <c r="B3" s="20"/>
      <c r="C3" s="20"/>
      <c r="D3" s="20"/>
      <c r="E3" s="20"/>
      <c r="F3" s="78" t="s">
        <v>55</v>
      </c>
      <c r="G3" s="78" t="s">
        <v>56</v>
      </c>
      <c r="H3" s="79" t="s">
        <v>57</v>
      </c>
    </row>
    <row r="4" customFormat="false" ht="15" hidden="false" customHeight="true" outlineLevel="0" collapsed="false">
      <c r="A4" s="80"/>
      <c r="B4" s="17"/>
      <c r="C4" s="17"/>
      <c r="D4" s="17"/>
      <c r="E4" s="17"/>
      <c r="F4" s="81" t="s">
        <v>56</v>
      </c>
      <c r="G4" s="81" t="s">
        <v>58</v>
      </c>
      <c r="H4" s="82" t="s">
        <v>58</v>
      </c>
    </row>
    <row r="5" customFormat="false" ht="15" hidden="false" customHeight="true" outlineLevel="0" collapsed="false">
      <c r="A5" s="32" t="s">
        <v>59</v>
      </c>
      <c r="B5" s="7"/>
      <c r="C5" s="7"/>
      <c r="D5" s="7"/>
      <c r="E5" s="8"/>
      <c r="F5" s="54" t="n">
        <v>664</v>
      </c>
      <c r="G5" s="54" t="n">
        <v>2799</v>
      </c>
      <c r="H5" s="55" t="n">
        <v>696</v>
      </c>
    </row>
    <row r="6" customFormat="false" ht="15" hidden="false" customHeight="true" outlineLevel="0" collapsed="false">
      <c r="A6" s="32" t="s">
        <v>60</v>
      </c>
      <c r="B6" s="7"/>
      <c r="C6" s="7"/>
      <c r="D6" s="7"/>
      <c r="E6" s="8"/>
      <c r="F6" s="54" t="n">
        <v>581</v>
      </c>
      <c r="G6" s="54" t="n">
        <v>2467</v>
      </c>
      <c r="H6" s="55" t="n">
        <v>583</v>
      </c>
    </row>
    <row r="7" customFormat="false" ht="15" hidden="false" customHeight="true" outlineLevel="0" collapsed="false">
      <c r="A7" s="32" t="s">
        <v>61</v>
      </c>
      <c r="B7" s="7"/>
      <c r="C7" s="7"/>
      <c r="D7" s="7"/>
      <c r="E7" s="8"/>
      <c r="F7" s="54" t="n">
        <v>564</v>
      </c>
      <c r="G7" s="54" t="n">
        <v>2346</v>
      </c>
      <c r="H7" s="55" t="n">
        <v>462</v>
      </c>
    </row>
    <row r="8" customFormat="false" ht="15" hidden="false" customHeight="true" outlineLevel="0" collapsed="false">
      <c r="A8" s="32" t="s">
        <v>62</v>
      </c>
      <c r="B8" s="7"/>
      <c r="C8" s="7"/>
      <c r="D8" s="7"/>
      <c r="E8" s="8"/>
      <c r="F8" s="54" t="n">
        <v>412</v>
      </c>
      <c r="G8" s="54" t="n">
        <v>1949</v>
      </c>
      <c r="H8" s="55" t="n">
        <v>339</v>
      </c>
    </row>
    <row r="9" customFormat="false" ht="15" hidden="false" customHeight="true" outlineLevel="0" collapsed="false">
      <c r="A9" s="32" t="s">
        <v>63</v>
      </c>
      <c r="B9" s="7"/>
      <c r="C9" s="7"/>
      <c r="D9" s="7"/>
      <c r="E9" s="8"/>
      <c r="F9" s="54" t="n">
        <v>305</v>
      </c>
      <c r="G9" s="54" t="n">
        <v>1848</v>
      </c>
      <c r="H9" s="55" t="n">
        <v>282</v>
      </c>
      <c r="I9" s="83"/>
      <c r="J9" s="83"/>
      <c r="K9" s="83"/>
    </row>
    <row r="10" customFormat="false" ht="15" hidden="false" customHeight="true" outlineLevel="0" collapsed="false">
      <c r="A10" s="32" t="s">
        <v>64</v>
      </c>
      <c r="B10" s="7"/>
      <c r="C10" s="7"/>
      <c r="D10" s="7"/>
      <c r="E10" s="8"/>
      <c r="F10" s="54" t="n">
        <v>351</v>
      </c>
      <c r="G10" s="54" t="n">
        <v>1741</v>
      </c>
      <c r="H10" s="55" t="n">
        <v>156</v>
      </c>
      <c r="J10" s="83"/>
      <c r="K10" s="83"/>
    </row>
    <row r="11" customFormat="false" ht="15" hidden="false" customHeight="true" outlineLevel="0" collapsed="false">
      <c r="A11" s="32" t="s">
        <v>65</v>
      </c>
      <c r="B11" s="7"/>
      <c r="C11" s="7"/>
      <c r="D11" s="7"/>
      <c r="E11" s="8"/>
      <c r="F11" s="54" t="n">
        <v>75</v>
      </c>
      <c r="G11" s="54" t="n">
        <v>294</v>
      </c>
      <c r="H11" s="55" t="n">
        <v>4</v>
      </c>
    </row>
    <row r="12" customFormat="false" ht="15" hidden="false" customHeight="true" outlineLevel="0" collapsed="false">
      <c r="A12" s="32" t="s">
        <v>66</v>
      </c>
      <c r="B12" s="7"/>
      <c r="C12" s="7"/>
      <c r="D12" s="7"/>
      <c r="E12" s="8"/>
      <c r="F12" s="54" t="n">
        <v>140</v>
      </c>
      <c r="G12" s="54" t="n">
        <v>413</v>
      </c>
      <c r="H12" s="55" t="n">
        <v>0</v>
      </c>
    </row>
    <row r="13" customFormat="false" ht="15" hidden="false" customHeight="true" outlineLevel="0" collapsed="false">
      <c r="A13" s="32" t="s">
        <v>67</v>
      </c>
      <c r="B13" s="7"/>
      <c r="C13" s="7"/>
      <c r="D13" s="7"/>
      <c r="E13" s="8"/>
      <c r="F13" s="84" t="n">
        <v>0.81</v>
      </c>
      <c r="G13" s="84" t="n">
        <v>0.8</v>
      </c>
      <c r="H13" s="85" t="n">
        <v>0</v>
      </c>
    </row>
    <row r="14" customFormat="false" ht="15" hidden="false" customHeight="true" outlineLevel="0" collapsed="false">
      <c r="A14" s="32" t="s">
        <v>68</v>
      </c>
      <c r="B14" s="7"/>
      <c r="C14" s="7"/>
      <c r="D14" s="7"/>
      <c r="E14" s="8"/>
      <c r="F14" s="86" t="n">
        <v>3462</v>
      </c>
      <c r="G14" s="86" t="n">
        <v>3969</v>
      </c>
      <c r="H14" s="87" t="n">
        <v>2184</v>
      </c>
    </row>
    <row r="15" customFormat="false" ht="15" hidden="false" customHeight="true" outlineLevel="0" collapsed="false">
      <c r="A15" s="32" t="s">
        <v>69</v>
      </c>
      <c r="B15" s="7"/>
      <c r="C15" s="7"/>
      <c r="D15" s="7"/>
      <c r="E15" s="8"/>
      <c r="F15" s="86" t="n">
        <v>2381</v>
      </c>
      <c r="G15" s="86" t="n">
        <v>3386</v>
      </c>
      <c r="H15" s="87" t="n">
        <v>1758</v>
      </c>
    </row>
    <row r="16" customFormat="false" ht="15" hidden="false" customHeight="true" outlineLevel="0" collapsed="false">
      <c r="A16" s="32" t="s">
        <v>70</v>
      </c>
      <c r="B16" s="7"/>
      <c r="C16" s="7"/>
      <c r="D16" s="7"/>
      <c r="E16" s="8"/>
      <c r="F16" s="86" t="n">
        <v>1260</v>
      </c>
      <c r="G16" s="86" t="n">
        <v>1339</v>
      </c>
      <c r="H16" s="87" t="n">
        <v>1063</v>
      </c>
    </row>
    <row r="17" customFormat="false" ht="15" hidden="false" customHeight="true" outlineLevel="0" collapsed="false">
      <c r="A17" s="88" t="s">
        <v>71</v>
      </c>
      <c r="B17" s="60"/>
      <c r="C17" s="60"/>
      <c r="D17" s="60"/>
      <c r="E17" s="89"/>
      <c r="F17" s="90" t="n">
        <v>2379</v>
      </c>
      <c r="G17" s="90" t="n">
        <v>3852</v>
      </c>
      <c r="H17" s="91" t="n">
        <v>4020</v>
      </c>
    </row>
    <row r="18" customFormat="false" ht="13.5" hidden="false" customHeight="false" outlineLevel="0" collapsed="false">
      <c r="F18" s="92"/>
      <c r="G18" s="92"/>
      <c r="H18" s="92"/>
    </row>
    <row r="19" customFormat="false" ht="15" hidden="false" customHeight="false" outlineLevel="0" collapsed="false">
      <c r="A19" s="77" t="s">
        <v>72</v>
      </c>
      <c r="B19" s="20"/>
      <c r="C19" s="20"/>
      <c r="D19" s="20"/>
      <c r="E19" s="20"/>
      <c r="F19" s="48"/>
      <c r="G19" s="48"/>
      <c r="H19" s="49"/>
    </row>
    <row r="20" customFormat="false" ht="15" hidden="false" customHeight="false" outlineLevel="0" collapsed="false">
      <c r="A20" s="80"/>
      <c r="B20" s="17"/>
      <c r="C20" s="17"/>
      <c r="D20" s="17"/>
      <c r="E20" s="17"/>
      <c r="F20" s="46"/>
      <c r="G20" s="46"/>
      <c r="H20" s="47"/>
    </row>
    <row r="21" customFormat="false" ht="12.75" hidden="false" customHeight="true" outlineLevel="0" collapsed="false">
      <c r="A21" s="93" t="s">
        <v>73</v>
      </c>
      <c r="B21" s="94"/>
      <c r="C21" s="94"/>
      <c r="D21" s="94"/>
      <c r="E21" s="95"/>
      <c r="F21" s="96"/>
      <c r="G21" s="97"/>
      <c r="H21" s="97"/>
    </row>
    <row r="22" customFormat="false" ht="12.75" hidden="false" customHeight="true" outlineLevel="0" collapsed="false">
      <c r="A22" s="98" t="s">
        <v>74</v>
      </c>
      <c r="B22" s="99"/>
      <c r="C22" s="99"/>
      <c r="D22" s="99"/>
      <c r="E22" s="9"/>
      <c r="F22" s="100" t="n">
        <v>35</v>
      </c>
      <c r="G22" s="100" t="n">
        <v>116</v>
      </c>
      <c r="H22" s="100" t="n">
        <v>4</v>
      </c>
    </row>
    <row r="23" customFormat="false" ht="12.75" hidden="false" customHeight="true" outlineLevel="0" collapsed="false">
      <c r="A23" s="32" t="s">
        <v>75</v>
      </c>
      <c r="B23" s="7"/>
      <c r="C23" s="7"/>
      <c r="D23" s="7"/>
      <c r="E23" s="8"/>
      <c r="F23" s="101" t="n">
        <v>2125</v>
      </c>
      <c r="G23" s="101" t="n">
        <v>3108</v>
      </c>
      <c r="H23" s="102" t="n">
        <v>1038</v>
      </c>
    </row>
    <row r="24" customFormat="false" ht="12.75" hidden="false" customHeight="true" outlineLevel="0" collapsed="false">
      <c r="A24" s="32" t="s">
        <v>76</v>
      </c>
      <c r="B24" s="7"/>
      <c r="C24" s="7"/>
      <c r="D24" s="7"/>
      <c r="E24" s="8"/>
      <c r="F24" s="54" t="n">
        <v>23</v>
      </c>
      <c r="G24" s="54" t="n">
        <v>109</v>
      </c>
      <c r="H24" s="55" t="n">
        <v>0</v>
      </c>
    </row>
    <row r="25" customFormat="false" ht="12.75" hidden="false" customHeight="true" outlineLevel="0" collapsed="false">
      <c r="A25" s="88" t="s">
        <v>77</v>
      </c>
      <c r="B25" s="60"/>
      <c r="C25" s="60"/>
      <c r="D25" s="60"/>
      <c r="E25" s="89"/>
      <c r="F25" s="90" t="n">
        <v>3562</v>
      </c>
      <c r="G25" s="90" t="n">
        <v>2873</v>
      </c>
      <c r="H25" s="91" t="n">
        <v>0</v>
      </c>
    </row>
    <row r="26" customFormat="false" ht="13.5" hidden="false" customHeight="false" outlineLevel="0" collapsed="false">
      <c r="F26" s="92"/>
      <c r="G26" s="92"/>
      <c r="H26" s="92"/>
    </row>
    <row r="27" customFormat="false" ht="15" hidden="false" customHeight="false" outlineLevel="0" collapsed="false">
      <c r="A27" s="77" t="s">
        <v>78</v>
      </c>
      <c r="B27" s="20"/>
      <c r="C27" s="20"/>
      <c r="D27" s="20"/>
      <c r="E27" s="20"/>
      <c r="F27" s="48"/>
      <c r="G27" s="48"/>
      <c r="H27" s="49"/>
    </row>
    <row r="28" customFormat="false" ht="15" hidden="false" customHeight="false" outlineLevel="0" collapsed="false">
      <c r="A28" s="80"/>
      <c r="B28" s="17"/>
      <c r="C28" s="17"/>
      <c r="D28" s="17"/>
      <c r="E28" s="17"/>
      <c r="F28" s="46"/>
      <c r="G28" s="97" t="n">
        <v>2002</v>
      </c>
      <c r="H28" s="97" t="n">
        <v>2001</v>
      </c>
    </row>
    <row r="29" customFormat="false" ht="15" hidden="false" customHeight="true" outlineLevel="0" collapsed="false">
      <c r="A29" s="93" t="s">
        <v>79</v>
      </c>
      <c r="B29" s="94"/>
      <c r="C29" s="94"/>
      <c r="D29" s="94"/>
      <c r="E29" s="94"/>
      <c r="F29" s="103"/>
      <c r="G29" s="11"/>
      <c r="H29" s="11"/>
    </row>
    <row r="30" customFormat="false" ht="15" hidden="false" customHeight="true" outlineLevel="0" collapsed="false">
      <c r="A30" s="98" t="s">
        <v>80</v>
      </c>
      <c r="B30" s="99"/>
      <c r="C30" s="99"/>
      <c r="D30" s="99"/>
      <c r="E30" s="99"/>
      <c r="F30" s="104"/>
      <c r="G30" s="105" t="n">
        <v>0.82</v>
      </c>
      <c r="H30" s="105" t="n">
        <v>0.84</v>
      </c>
    </row>
    <row r="31" customFormat="false" ht="15" hidden="false" customHeight="true" outlineLevel="0" collapsed="false">
      <c r="A31" s="88" t="s">
        <v>81</v>
      </c>
      <c r="B31" s="60"/>
      <c r="C31" s="60"/>
      <c r="D31" s="60"/>
      <c r="E31" s="60"/>
      <c r="F31" s="106"/>
      <c r="G31" s="90" t="n">
        <v>10600</v>
      </c>
      <c r="H31" s="90" t="n">
        <v>10400</v>
      </c>
    </row>
    <row r="32" customFormat="false" ht="13.5" hidden="false" customHeight="false" outlineLevel="0" collapsed="false"/>
    <row r="33" customFormat="false" ht="15" hidden="false" customHeight="false" outlineLevel="0" collapsed="false">
      <c r="A33" s="77" t="s">
        <v>82</v>
      </c>
      <c r="B33" s="20"/>
      <c r="C33" s="20"/>
      <c r="D33" s="20"/>
      <c r="E33" s="20"/>
      <c r="F33" s="20"/>
      <c r="G33" s="20"/>
      <c r="H33" s="22"/>
    </row>
    <row r="34" customFormat="false" ht="12.75" hidden="false" customHeight="false" outlineLevel="0" collapsed="false">
      <c r="A34" s="23"/>
      <c r="B34" s="17"/>
      <c r="C34" s="17"/>
      <c r="D34" s="17"/>
      <c r="E34" s="107" t="s">
        <v>48</v>
      </c>
      <c r="F34" s="108"/>
      <c r="G34" s="107" t="s">
        <v>83</v>
      </c>
      <c r="H34" s="109"/>
    </row>
    <row r="35" customFormat="false" ht="12.75" hidden="false" customHeight="false" outlineLevel="0" collapsed="false">
      <c r="A35" s="23"/>
      <c r="B35" s="17"/>
      <c r="C35" s="17"/>
      <c r="D35" s="17"/>
      <c r="E35" s="110" t="s">
        <v>84</v>
      </c>
      <c r="F35" s="111" t="s">
        <v>85</v>
      </c>
      <c r="G35" s="110" t="s">
        <v>84</v>
      </c>
      <c r="H35" s="112" t="s">
        <v>85</v>
      </c>
    </row>
    <row r="36" customFormat="false" ht="12.75" hidden="false" customHeight="false" outlineLevel="0" collapsed="false">
      <c r="A36" s="24" t="s">
        <v>86</v>
      </c>
      <c r="B36" s="17"/>
      <c r="C36" s="17"/>
      <c r="D36" s="17"/>
      <c r="E36" s="113"/>
      <c r="F36" s="114"/>
      <c r="G36" s="113"/>
      <c r="H36" s="25"/>
    </row>
    <row r="37" customFormat="false" ht="12.75" hidden="false" customHeight="false" outlineLevel="0" collapsed="false">
      <c r="A37" s="32" t="s">
        <v>87</v>
      </c>
      <c r="B37" s="7"/>
      <c r="C37" s="7"/>
      <c r="D37" s="7"/>
      <c r="E37" s="115" t="n">
        <v>0.75</v>
      </c>
      <c r="F37" s="116" t="n">
        <v>3210</v>
      </c>
      <c r="G37" s="115" t="n">
        <v>0.68</v>
      </c>
      <c r="H37" s="117" t="n">
        <v>4211</v>
      </c>
    </row>
    <row r="38" customFormat="false" ht="12.75" hidden="false" customHeight="false" outlineLevel="0" collapsed="false">
      <c r="A38" s="32" t="s">
        <v>88</v>
      </c>
      <c r="B38" s="7"/>
      <c r="C38" s="7"/>
      <c r="D38" s="7"/>
      <c r="E38" s="115" t="n">
        <v>0.61</v>
      </c>
      <c r="F38" s="116" t="n">
        <v>3441</v>
      </c>
      <c r="G38" s="115" t="n">
        <v>0.7</v>
      </c>
      <c r="H38" s="117" t="n">
        <v>4010</v>
      </c>
    </row>
    <row r="39" customFormat="false" ht="12.75" hidden="false" customHeight="false" outlineLevel="0" collapsed="false">
      <c r="A39" s="32" t="s">
        <v>89</v>
      </c>
      <c r="B39" s="7"/>
      <c r="C39" s="7"/>
      <c r="D39" s="7"/>
      <c r="E39" s="115" t="n">
        <v>0.61</v>
      </c>
      <c r="F39" s="116" t="n">
        <v>1968</v>
      </c>
      <c r="G39" s="115" t="n">
        <v>0.35</v>
      </c>
      <c r="H39" s="117" t="n">
        <v>1498</v>
      </c>
    </row>
    <row r="40" customFormat="false" ht="12.75" hidden="false" customHeight="false" outlineLevel="0" collapsed="false">
      <c r="A40" s="32" t="s">
        <v>90</v>
      </c>
      <c r="B40" s="7"/>
      <c r="C40" s="7"/>
      <c r="D40" s="7"/>
      <c r="E40" s="115" t="n">
        <v>0.51</v>
      </c>
      <c r="F40" s="116" t="n">
        <v>2333</v>
      </c>
      <c r="G40" s="115" t="n">
        <v>0.58</v>
      </c>
      <c r="H40" s="117" t="n">
        <v>2552</v>
      </c>
    </row>
    <row r="41" customFormat="false" ht="12.75" hidden="false" customHeight="false" outlineLevel="0" collapsed="false">
      <c r="A41" s="32" t="s">
        <v>91</v>
      </c>
      <c r="B41" s="7"/>
      <c r="C41" s="7"/>
      <c r="D41" s="7"/>
      <c r="E41" s="115" t="n">
        <v>0.4</v>
      </c>
      <c r="F41" s="116" t="n">
        <v>2095</v>
      </c>
      <c r="G41" s="115" t="n">
        <v>0.41</v>
      </c>
      <c r="H41" s="117" t="n">
        <v>1742</v>
      </c>
    </row>
    <row r="42" customFormat="false" ht="12.75" hidden="false" customHeight="false" outlineLevel="0" collapsed="false">
      <c r="A42" s="24" t="s">
        <v>92</v>
      </c>
      <c r="B42" s="17"/>
      <c r="C42" s="17"/>
      <c r="D42" s="17"/>
      <c r="E42" s="118"/>
      <c r="F42" s="119"/>
      <c r="G42" s="120"/>
      <c r="H42" s="121"/>
    </row>
    <row r="43" customFormat="false" ht="12.75" hidden="false" customHeight="false" outlineLevel="0" collapsed="false">
      <c r="A43" s="32" t="s">
        <v>87</v>
      </c>
      <c r="B43" s="7"/>
      <c r="C43" s="7"/>
      <c r="D43" s="7"/>
      <c r="E43" s="115" t="n">
        <v>0.79</v>
      </c>
      <c r="F43" s="116" t="n">
        <v>3219</v>
      </c>
      <c r="G43" s="115" t="n">
        <v>0.73</v>
      </c>
      <c r="H43" s="122" t="n">
        <v>4142</v>
      </c>
    </row>
    <row r="44" customFormat="false" ht="12.75" hidden="false" customHeight="false" outlineLevel="0" collapsed="false">
      <c r="A44" s="32" t="s">
        <v>88</v>
      </c>
      <c r="B44" s="7"/>
      <c r="C44" s="7"/>
      <c r="D44" s="7"/>
      <c r="E44" s="115" t="n">
        <v>0.75</v>
      </c>
      <c r="F44" s="116" t="n">
        <v>3485</v>
      </c>
      <c r="G44" s="115" t="n">
        <v>0.69</v>
      </c>
      <c r="H44" s="122" t="n">
        <v>3983</v>
      </c>
    </row>
    <row r="45" customFormat="false" ht="12.75" hidden="false" customHeight="false" outlineLevel="0" collapsed="false">
      <c r="A45" s="32" t="s">
        <v>89</v>
      </c>
      <c r="B45" s="7"/>
      <c r="C45" s="7"/>
      <c r="D45" s="7"/>
      <c r="E45" s="115" t="n">
        <v>0.53</v>
      </c>
      <c r="F45" s="116" t="n">
        <v>1323</v>
      </c>
      <c r="G45" s="115" t="n">
        <v>0.47</v>
      </c>
      <c r="H45" s="122" t="n">
        <v>1587</v>
      </c>
    </row>
    <row r="46" customFormat="false" ht="12.75" hidden="false" customHeight="false" outlineLevel="0" collapsed="false">
      <c r="A46" s="32" t="s">
        <v>90</v>
      </c>
      <c r="B46" s="7"/>
      <c r="C46" s="7"/>
      <c r="D46" s="7"/>
      <c r="E46" s="115" t="n">
        <v>0.5</v>
      </c>
      <c r="F46" s="116" t="n">
        <v>3282</v>
      </c>
      <c r="G46" s="115" t="n">
        <v>0.61</v>
      </c>
      <c r="H46" s="122" t="n">
        <v>3360</v>
      </c>
    </row>
    <row r="47" customFormat="false" ht="13.5" hidden="false" customHeight="false" outlineLevel="0" collapsed="false">
      <c r="A47" s="88" t="s">
        <v>91</v>
      </c>
      <c r="B47" s="60"/>
      <c r="C47" s="60"/>
      <c r="D47" s="60"/>
      <c r="E47" s="123" t="n">
        <v>0.4</v>
      </c>
      <c r="F47" s="124" t="n">
        <v>1868</v>
      </c>
      <c r="G47" s="123" t="n">
        <v>0.42</v>
      </c>
      <c r="H47" s="125" t="n">
        <v>3219</v>
      </c>
    </row>
    <row r="49" customFormat="false" ht="12.75" hidden="false" customHeight="false" outlineLevel="0" collapsed="false">
      <c r="F49" s="126" t="s">
        <v>93</v>
      </c>
    </row>
  </sheetData>
  <printOptions headings="false" gridLines="false" gridLinesSet="true" horizontalCentered="false" verticalCentered="false"/>
  <pageMargins left="0.747916666666667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42"/>
  <sheetViews>
    <sheetView showFormulas="false" showGridLines="true" showRowColHeaders="true" showZeros="true" rightToLeft="false" tabSelected="true" showOutlineSymbols="true" defaultGridColor="true" view="normal" topLeftCell="A14" colorId="64" zoomScale="75" zoomScaleNormal="75" zoomScalePageLayoutView="100" workbookViewId="0">
      <selection pane="topLeft" activeCell="C37" activeCellId="0" sqref="C3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9.27"/>
    <col collapsed="false" customWidth="true" hidden="false" outlineLevel="0" max="2" min="2" style="0" width="11.4"/>
    <col collapsed="false" customWidth="true" hidden="false" outlineLevel="0" max="3" min="3" style="0" width="13.12"/>
    <col collapsed="false" customWidth="true" hidden="false" outlineLevel="0" max="4" min="4" style="0" width="9.55"/>
    <col collapsed="false" customWidth="true" hidden="false" outlineLevel="0" max="5" min="5" style="0" width="11.12"/>
    <col collapsed="false" customWidth="true" hidden="false" outlineLevel="0" max="6" min="6" style="0" width="13.12"/>
    <col collapsed="false" customWidth="true" hidden="false" outlineLevel="0" max="7" min="7" style="0" width="10.4"/>
    <col collapsed="false" customWidth="true" hidden="false" outlineLevel="0" max="8" min="8" style="0" width="11.12"/>
    <col collapsed="false" customWidth="true" hidden="false" outlineLevel="0" max="9" min="9" style="0" width="12.98"/>
    <col collapsed="false" customWidth="true" hidden="false" outlineLevel="0" max="10" min="10" style="0" width="11.84"/>
    <col collapsed="false" customWidth="true" hidden="false" outlineLevel="0" max="11" min="11" style="0" width="12.98"/>
    <col collapsed="false" customWidth="true" hidden="false" outlineLevel="0" max="12" min="12" style="0" width="10.27"/>
    <col collapsed="false" customWidth="true" hidden="false" outlineLevel="0" max="13" min="13" style="0" width="11.4"/>
  </cols>
  <sheetData>
    <row r="1" customFormat="false" ht="18.75" hidden="false" customHeight="false" outlineLevel="0" collapsed="false">
      <c r="A1" s="1" t="s">
        <v>53</v>
      </c>
    </row>
    <row r="2" customFormat="false" ht="12.75" hidden="false" customHeight="false" outlineLevel="0" collapsed="false">
      <c r="A2" s="21" t="s">
        <v>94</v>
      </c>
      <c r="B2" s="20"/>
      <c r="C2" s="20"/>
      <c r="D2" s="20"/>
      <c r="E2" s="20"/>
      <c r="F2" s="20"/>
      <c r="G2" s="20"/>
      <c r="H2" s="20"/>
      <c r="I2" s="20"/>
      <c r="J2" s="22"/>
    </row>
    <row r="3" customFormat="false" ht="12.75" hidden="false" customHeight="false" outlineLevel="0" collapsed="false">
      <c r="A3" s="23"/>
      <c r="B3" s="127" t="s">
        <v>95</v>
      </c>
      <c r="C3" s="94"/>
      <c r="D3" s="95"/>
      <c r="E3" s="127" t="s">
        <v>96</v>
      </c>
      <c r="F3" s="94"/>
      <c r="G3" s="95"/>
      <c r="H3" s="127" t="s">
        <v>97</v>
      </c>
      <c r="I3" s="94"/>
      <c r="J3" s="128"/>
    </row>
    <row r="4" customFormat="false" ht="12.75" hidden="false" customHeight="false" outlineLevel="0" collapsed="false">
      <c r="A4" s="23"/>
      <c r="B4" s="113"/>
      <c r="C4" s="129" t="s">
        <v>98</v>
      </c>
      <c r="D4" s="130"/>
      <c r="E4" s="113"/>
      <c r="F4" s="129" t="s">
        <v>98</v>
      </c>
      <c r="G4" s="130"/>
      <c r="H4" s="113"/>
      <c r="I4" s="129" t="s">
        <v>99</v>
      </c>
      <c r="J4" s="131"/>
    </row>
    <row r="5" customFormat="false" ht="12.75" hidden="false" customHeight="false" outlineLevel="0" collapsed="false">
      <c r="A5" s="23"/>
      <c r="B5" s="132" t="s">
        <v>100</v>
      </c>
      <c r="C5" s="132" t="s">
        <v>101</v>
      </c>
      <c r="D5" s="132" t="s">
        <v>102</v>
      </c>
      <c r="E5" s="132" t="s">
        <v>100</v>
      </c>
      <c r="F5" s="132" t="s">
        <v>101</v>
      </c>
      <c r="G5" s="132" t="s">
        <v>102</v>
      </c>
      <c r="H5" s="132" t="s">
        <v>100</v>
      </c>
      <c r="I5" s="132" t="s">
        <v>101</v>
      </c>
      <c r="J5" s="133" t="s">
        <v>102</v>
      </c>
    </row>
    <row r="6" customFormat="false" ht="12.75" hidden="false" customHeight="false" outlineLevel="0" collapsed="false">
      <c r="A6" s="134" t="n">
        <v>2002</v>
      </c>
      <c r="B6" s="135" t="n">
        <v>1179</v>
      </c>
      <c r="C6" s="135" t="n">
        <v>5129088</v>
      </c>
      <c r="D6" s="135" t="n">
        <v>4381</v>
      </c>
      <c r="E6" s="135" t="n">
        <v>479</v>
      </c>
      <c r="F6" s="135" t="n">
        <v>449754</v>
      </c>
      <c r="G6" s="135" t="n">
        <v>938</v>
      </c>
      <c r="H6" s="135" t="n">
        <v>154</v>
      </c>
      <c r="I6" s="135" t="n">
        <v>92400</v>
      </c>
      <c r="J6" s="136" t="n">
        <v>600</v>
      </c>
    </row>
    <row r="7" customFormat="false" ht="12.75" hidden="false" customHeight="false" outlineLevel="0" collapsed="false">
      <c r="A7" s="134" t="n">
        <v>2000</v>
      </c>
      <c r="B7" s="135" t="n">
        <v>1094</v>
      </c>
      <c r="C7" s="135" t="n">
        <v>5129088</v>
      </c>
      <c r="D7" s="135" t="n">
        <v>4688</v>
      </c>
      <c r="E7" s="135" t="n">
        <v>486</v>
      </c>
      <c r="F7" s="135" t="n">
        <v>1064168</v>
      </c>
      <c r="G7" s="135" t="n">
        <v>2190</v>
      </c>
      <c r="H7" s="135" t="n">
        <v>76</v>
      </c>
      <c r="I7" s="135" t="n">
        <v>100230</v>
      </c>
      <c r="J7" s="136" t="n">
        <v>1319</v>
      </c>
    </row>
    <row r="8" customFormat="false" ht="12.75" hidden="false" customHeight="false" outlineLevel="0" collapsed="false">
      <c r="A8" s="23"/>
      <c r="B8" s="137"/>
      <c r="C8" s="137"/>
      <c r="D8" s="137"/>
      <c r="E8" s="137"/>
      <c r="F8" s="137"/>
      <c r="G8" s="137"/>
      <c r="H8" s="137"/>
      <c r="I8" s="137"/>
      <c r="J8" s="138"/>
    </row>
    <row r="9" customFormat="false" ht="12.75" hidden="false" customHeight="false" outlineLevel="0" collapsed="false">
      <c r="A9" s="23"/>
      <c r="B9" s="127" t="s">
        <v>103</v>
      </c>
      <c r="C9" s="94"/>
      <c r="D9" s="95"/>
      <c r="E9" s="127" t="s">
        <v>104</v>
      </c>
      <c r="F9" s="94"/>
      <c r="G9" s="95"/>
      <c r="H9" s="17"/>
      <c r="I9" s="96" t="s">
        <v>105</v>
      </c>
      <c r="J9" s="25"/>
    </row>
    <row r="10" customFormat="false" ht="12.75" hidden="false" customHeight="false" outlineLevel="0" collapsed="false">
      <c r="A10" s="23"/>
      <c r="B10" s="113"/>
      <c r="C10" s="129" t="s">
        <v>99</v>
      </c>
      <c r="D10" s="130"/>
      <c r="E10" s="113"/>
      <c r="F10" s="129" t="s">
        <v>98</v>
      </c>
      <c r="G10" s="130"/>
      <c r="H10" s="17"/>
      <c r="I10" s="139" t="s">
        <v>106</v>
      </c>
      <c r="J10" s="25"/>
    </row>
    <row r="11" customFormat="false" ht="12.75" hidden="false" customHeight="false" outlineLevel="0" collapsed="false">
      <c r="A11" s="23"/>
      <c r="B11" s="140" t="s">
        <v>100</v>
      </c>
      <c r="C11" s="140" t="s">
        <v>101</v>
      </c>
      <c r="D11" s="140" t="s">
        <v>102</v>
      </c>
      <c r="E11" s="140" t="s">
        <v>100</v>
      </c>
      <c r="F11" s="140" t="s">
        <v>101</v>
      </c>
      <c r="G11" s="140" t="s">
        <v>102</v>
      </c>
      <c r="H11" s="17"/>
      <c r="I11" s="141" t="s">
        <v>107</v>
      </c>
      <c r="J11" s="25"/>
    </row>
    <row r="12" customFormat="false" ht="12.75" hidden="false" customHeight="false" outlineLevel="0" collapsed="false">
      <c r="A12" s="134" t="n">
        <v>2002</v>
      </c>
      <c r="B12" s="142" t="n">
        <v>81</v>
      </c>
      <c r="C12" s="135" t="n">
        <v>295243</v>
      </c>
      <c r="D12" s="135" t="n">
        <v>3644</v>
      </c>
      <c r="E12" s="135" t="n">
        <v>1410</v>
      </c>
      <c r="F12" s="135" t="n">
        <v>2334063</v>
      </c>
      <c r="G12" s="135" t="n">
        <v>1655</v>
      </c>
      <c r="H12" s="137"/>
      <c r="I12" s="135" t="n">
        <v>8336461</v>
      </c>
      <c r="J12" s="25"/>
    </row>
    <row r="13" customFormat="false" ht="13.5" hidden="false" customHeight="false" outlineLevel="0" collapsed="false">
      <c r="A13" s="143" t="n">
        <v>2000</v>
      </c>
      <c r="B13" s="144" t="n">
        <v>85</v>
      </c>
      <c r="C13" s="145" t="n">
        <v>494324</v>
      </c>
      <c r="D13" s="145" t="n">
        <v>5816</v>
      </c>
      <c r="E13" s="145" t="n">
        <v>1220</v>
      </c>
      <c r="F13" s="145" t="n">
        <v>3156700</v>
      </c>
      <c r="G13" s="145" t="n">
        <v>2587</v>
      </c>
      <c r="H13" s="146"/>
      <c r="I13" s="145" t="n">
        <v>9944510</v>
      </c>
      <c r="J13" s="147"/>
    </row>
    <row r="14" customFormat="false" ht="13.5" hidden="false" customHeight="false" outlineLevel="0" collapsed="false">
      <c r="B14" s="137"/>
      <c r="C14" s="137"/>
      <c r="D14" s="137"/>
      <c r="E14" s="137"/>
      <c r="F14" s="137"/>
      <c r="G14" s="137"/>
      <c r="H14" s="137"/>
      <c r="I14" s="137"/>
    </row>
    <row r="15" customFormat="false" ht="12.75" hidden="false" customHeight="false" outlineLevel="0" collapsed="false">
      <c r="A15" s="21" t="s">
        <v>108</v>
      </c>
      <c r="B15" s="20"/>
      <c r="C15" s="20"/>
      <c r="D15" s="20"/>
      <c r="E15" s="20"/>
      <c r="F15" s="20"/>
      <c r="G15" s="22"/>
    </row>
    <row r="16" customFormat="false" ht="12.75" hidden="false" customHeight="false" outlineLevel="0" collapsed="false">
      <c r="A16" s="23"/>
      <c r="B16" s="17" t="s">
        <v>109</v>
      </c>
      <c r="C16" s="17"/>
      <c r="D16" s="17" t="s">
        <v>110</v>
      </c>
      <c r="E16" s="17"/>
      <c r="F16" s="17" t="s">
        <v>111</v>
      </c>
      <c r="G16" s="25"/>
    </row>
    <row r="17" customFormat="false" ht="12.75" hidden="false" customHeight="false" outlineLevel="0" collapsed="false">
      <c r="A17" s="23"/>
      <c r="B17" s="127" t="s">
        <v>112</v>
      </c>
      <c r="C17" s="95"/>
      <c r="D17" s="127" t="s">
        <v>113</v>
      </c>
      <c r="E17" s="95"/>
      <c r="F17" s="127" t="s">
        <v>114</v>
      </c>
      <c r="G17" s="128"/>
    </row>
    <row r="18" customFormat="false" ht="12.75" hidden="false" customHeight="false" outlineLevel="0" collapsed="false">
      <c r="A18" s="23"/>
      <c r="B18" s="140" t="s">
        <v>100</v>
      </c>
      <c r="C18" s="140" t="s">
        <v>115</v>
      </c>
      <c r="D18" s="140" t="s">
        <v>100</v>
      </c>
      <c r="E18" s="140" t="s">
        <v>115</v>
      </c>
      <c r="F18" s="140" t="s">
        <v>100</v>
      </c>
      <c r="G18" s="148" t="s">
        <v>115</v>
      </c>
    </row>
    <row r="19" customFormat="false" ht="12.75" hidden="false" customHeight="false" outlineLevel="0" collapsed="false">
      <c r="A19" s="134" t="n">
        <v>2002</v>
      </c>
      <c r="B19" s="142" t="n">
        <v>1684</v>
      </c>
      <c r="C19" s="135" t="n">
        <v>5557678</v>
      </c>
      <c r="D19" s="135" t="n">
        <v>540</v>
      </c>
      <c r="E19" s="135" t="n">
        <v>2415034</v>
      </c>
      <c r="F19" s="135" t="n">
        <v>89</v>
      </c>
      <c r="G19" s="136" t="n">
        <v>749895</v>
      </c>
    </row>
    <row r="20" customFormat="false" ht="13.5" hidden="false" customHeight="false" outlineLevel="0" collapsed="false">
      <c r="A20" s="143" t="n">
        <v>2000</v>
      </c>
      <c r="B20" s="144" t="n">
        <v>1043</v>
      </c>
      <c r="C20" s="145" t="n">
        <v>6749556</v>
      </c>
      <c r="D20" s="145" t="n">
        <v>410</v>
      </c>
      <c r="E20" s="145" t="n">
        <v>2415034</v>
      </c>
      <c r="F20" s="145" t="n">
        <v>85</v>
      </c>
      <c r="G20" s="149" t="n">
        <v>839182</v>
      </c>
    </row>
    <row r="21" customFormat="false" ht="13.5" hidden="false" customHeight="false" outlineLevel="0" collapsed="false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customFormat="false" ht="12.75" hidden="false" customHeight="false" outlineLevel="0" collapsed="false">
      <c r="A22" s="21" t="s">
        <v>116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2"/>
    </row>
    <row r="23" customFormat="false" ht="12.75" hidden="false" customHeight="false" outlineLevel="0" collapsed="false">
      <c r="A23" s="23"/>
      <c r="B23" s="127" t="s">
        <v>117</v>
      </c>
      <c r="C23" s="95"/>
      <c r="D23" s="127" t="s">
        <v>118</v>
      </c>
      <c r="E23" s="95"/>
      <c r="F23" s="127" t="s">
        <v>119</v>
      </c>
      <c r="G23" s="95"/>
      <c r="H23" s="127" t="s">
        <v>120</v>
      </c>
      <c r="I23" s="94"/>
      <c r="J23" s="150" t="s">
        <v>121</v>
      </c>
      <c r="K23" s="150" t="s">
        <v>122</v>
      </c>
      <c r="L23" s="151" t="s">
        <v>101</v>
      </c>
    </row>
    <row r="24" customFormat="false" ht="12.75" hidden="false" customHeight="false" outlineLevel="0" collapsed="false">
      <c r="A24" s="23"/>
      <c r="B24" s="113"/>
      <c r="C24" s="114"/>
      <c r="D24" s="113"/>
      <c r="E24" s="114"/>
      <c r="F24" s="113"/>
      <c r="G24" s="114"/>
      <c r="H24" s="113"/>
      <c r="I24" s="17"/>
      <c r="J24" s="152" t="s">
        <v>122</v>
      </c>
      <c r="K24" s="152" t="s">
        <v>78</v>
      </c>
      <c r="L24" s="153" t="s">
        <v>78</v>
      </c>
    </row>
    <row r="25" customFormat="false" ht="12.75" hidden="false" customHeight="false" outlineLevel="0" collapsed="false">
      <c r="A25" s="23"/>
      <c r="B25" s="140" t="s">
        <v>100</v>
      </c>
      <c r="C25" s="140" t="s">
        <v>115</v>
      </c>
      <c r="D25" s="140" t="s">
        <v>100</v>
      </c>
      <c r="E25" s="140" t="s">
        <v>115</v>
      </c>
      <c r="F25" s="140" t="s">
        <v>100</v>
      </c>
      <c r="G25" s="140" t="s">
        <v>115</v>
      </c>
      <c r="H25" s="140" t="s">
        <v>100</v>
      </c>
      <c r="I25" s="154" t="s">
        <v>115</v>
      </c>
      <c r="J25" s="155" t="s">
        <v>78</v>
      </c>
      <c r="K25" s="156"/>
      <c r="L25" s="157"/>
    </row>
    <row r="26" customFormat="false" ht="12.75" hidden="false" customHeight="false" outlineLevel="0" collapsed="false">
      <c r="A26" s="134" t="n">
        <v>2002</v>
      </c>
      <c r="B26" s="142" t="n">
        <v>238</v>
      </c>
      <c r="C26" s="135" t="n">
        <v>326627</v>
      </c>
      <c r="D26" s="135" t="n">
        <v>39</v>
      </c>
      <c r="E26" s="135" t="n">
        <v>352565</v>
      </c>
      <c r="F26" s="135" t="n">
        <v>41</v>
      </c>
      <c r="G26" s="135" t="n">
        <v>10250</v>
      </c>
      <c r="H26" s="135" t="n">
        <v>39</v>
      </c>
      <c r="I26" s="135" t="n">
        <v>261865</v>
      </c>
      <c r="J26" s="135" t="n">
        <v>749895</v>
      </c>
      <c r="K26" s="135" t="n">
        <v>8426281</v>
      </c>
      <c r="L26" s="136" t="n">
        <v>9438041</v>
      </c>
    </row>
    <row r="27" customFormat="false" ht="13.5" hidden="false" customHeight="false" outlineLevel="0" collapsed="false">
      <c r="A27" s="143" t="n">
        <v>2000</v>
      </c>
      <c r="B27" s="144" t="n">
        <v>452</v>
      </c>
      <c r="C27" s="145" t="n">
        <v>1270802</v>
      </c>
      <c r="D27" s="145" t="n">
        <v>63</v>
      </c>
      <c r="E27" s="145" t="n">
        <v>282694</v>
      </c>
      <c r="F27" s="145"/>
      <c r="G27" s="145"/>
      <c r="H27" s="145" t="n">
        <v>35</v>
      </c>
      <c r="I27" s="145" t="n">
        <v>312062</v>
      </c>
      <c r="J27" s="145" t="n">
        <v>1865558</v>
      </c>
      <c r="K27" s="145" t="n">
        <v>10003772</v>
      </c>
      <c r="L27" s="158" t="n">
        <v>11869330</v>
      </c>
    </row>
    <row r="28" customFormat="false" ht="13.5" hidden="false" customHeight="false" outlineLevel="0" collapsed="false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</row>
    <row r="29" customFormat="false" ht="12.75" hidden="false" customHeight="false" outlineLevel="0" collapsed="false">
      <c r="A29" s="21" t="s">
        <v>123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2"/>
    </row>
    <row r="30" customFormat="false" ht="12.75" hidden="false" customHeight="false" outlineLevel="0" collapsed="false">
      <c r="A30" s="23"/>
      <c r="B30" s="127" t="s">
        <v>124</v>
      </c>
      <c r="C30" s="94"/>
      <c r="D30" s="95"/>
      <c r="E30" s="127" t="s">
        <v>125</v>
      </c>
      <c r="F30" s="94"/>
      <c r="G30" s="95"/>
      <c r="H30" s="127" t="s">
        <v>126</v>
      </c>
      <c r="I30" s="94"/>
      <c r="J30" s="95"/>
      <c r="K30" s="127" t="s">
        <v>127</v>
      </c>
      <c r="L30" s="94"/>
      <c r="M30" s="128"/>
    </row>
    <row r="31" customFormat="false" ht="12.75" hidden="false" customHeight="false" outlineLevel="0" collapsed="false">
      <c r="A31" s="23"/>
      <c r="B31" s="113"/>
      <c r="C31" s="159" t="s">
        <v>128</v>
      </c>
      <c r="D31" s="160"/>
      <c r="E31" s="113"/>
      <c r="F31" s="159" t="s">
        <v>128</v>
      </c>
      <c r="G31" s="160"/>
      <c r="H31" s="113"/>
      <c r="I31" s="159" t="s">
        <v>128</v>
      </c>
      <c r="J31" s="160"/>
      <c r="K31" s="113"/>
      <c r="L31" s="159" t="s">
        <v>128</v>
      </c>
      <c r="M31" s="161"/>
    </row>
    <row r="32" customFormat="false" ht="12.75" hidden="false" customHeight="false" outlineLevel="0" collapsed="false">
      <c r="A32" s="23"/>
      <c r="B32" s="132" t="s">
        <v>100</v>
      </c>
      <c r="C32" s="132" t="s">
        <v>101</v>
      </c>
      <c r="D32" s="132" t="s">
        <v>102</v>
      </c>
      <c r="E32" s="132" t="s">
        <v>100</v>
      </c>
      <c r="F32" s="132" t="s">
        <v>101</v>
      </c>
      <c r="G32" s="132" t="s">
        <v>102</v>
      </c>
      <c r="H32" s="132" t="s">
        <v>100</v>
      </c>
      <c r="I32" s="132" t="s">
        <v>101</v>
      </c>
      <c r="J32" s="132" t="s">
        <v>102</v>
      </c>
      <c r="K32" s="132" t="s">
        <v>100</v>
      </c>
      <c r="L32" s="132" t="s">
        <v>101</v>
      </c>
      <c r="M32" s="133" t="s">
        <v>102</v>
      </c>
    </row>
    <row r="33" customFormat="false" ht="12.75" hidden="false" customHeight="false" outlineLevel="0" collapsed="false">
      <c r="A33" s="134" t="n">
        <v>2002</v>
      </c>
      <c r="B33" s="135" t="n">
        <v>9</v>
      </c>
      <c r="C33" s="135" t="n">
        <v>42048</v>
      </c>
      <c r="D33" s="135" t="n">
        <v>4672</v>
      </c>
      <c r="E33" s="135" t="n">
        <v>11</v>
      </c>
      <c r="F33" s="135" t="n">
        <v>33100</v>
      </c>
      <c r="G33" s="135" t="n">
        <v>3009</v>
      </c>
      <c r="H33" s="135" t="n">
        <v>21</v>
      </c>
      <c r="I33" s="135" t="n">
        <v>21180</v>
      </c>
      <c r="J33" s="135" t="n">
        <v>1008</v>
      </c>
      <c r="K33" s="135" t="n">
        <v>16</v>
      </c>
      <c r="L33" s="135" t="n">
        <v>68500</v>
      </c>
      <c r="M33" s="136" t="n">
        <v>4281</v>
      </c>
    </row>
    <row r="34" customFormat="false" ht="13.5" hidden="false" customHeight="false" outlineLevel="0" collapsed="false">
      <c r="A34" s="143" t="n">
        <v>2000</v>
      </c>
      <c r="B34" s="145" t="n">
        <v>11</v>
      </c>
      <c r="C34" s="162" t="n">
        <v>53012</v>
      </c>
      <c r="D34" s="163" t="n">
        <v>4819</v>
      </c>
      <c r="E34" s="145" t="n">
        <v>1</v>
      </c>
      <c r="F34" s="145" t="n">
        <v>4000</v>
      </c>
      <c r="G34" s="145" t="n">
        <v>4000</v>
      </c>
      <c r="H34" s="145" t="n">
        <v>18</v>
      </c>
      <c r="I34" s="145" t="n">
        <v>57258</v>
      </c>
      <c r="J34" s="145" t="n">
        <v>3181</v>
      </c>
      <c r="K34" s="145" t="n">
        <v>10</v>
      </c>
      <c r="L34" s="145" t="n">
        <v>72000</v>
      </c>
      <c r="M34" s="149" t="n">
        <v>7200</v>
      </c>
    </row>
    <row r="37" customFormat="false" ht="12.75" hidden="false" customHeight="false" outlineLevel="0" collapsed="false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customFormat="false" ht="12.75" hidden="false" customHeight="false" outlineLevel="0" collapsed="false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customFormat="false" ht="12.75" hidden="false" customHeight="false" outlineLevel="0" collapsed="false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12.75" hidden="false" customHeight="false" outlineLevel="0" collapsed="false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customFormat="false" ht="12.75" hidden="false" customHeight="false" outlineLevel="0" collapsed="false">
      <c r="A41" s="137"/>
      <c r="B41" s="137"/>
      <c r="C41" s="137"/>
      <c r="G41" s="0" t="s">
        <v>129</v>
      </c>
    </row>
    <row r="42" customFormat="false" ht="12.75" hidden="false" customHeight="false" outlineLevel="0" collapsed="false">
      <c r="H42" s="76"/>
    </row>
  </sheetData>
  <printOptions headings="false" gridLines="false" gridLinesSet="true" horizontalCentered="false" verticalCentered="false"/>
  <pageMargins left="0.5" right="0.5" top="0.984027777777778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2002-07-12T21:22:27Z</dcterms:created>
  <dc:creator>berryc</dc:creator>
  <dc:description/>
  <dc:language>en-US</dc:language>
  <cp:lastModifiedBy>math lab</cp:lastModifiedBy>
  <cp:lastPrinted>2003-05-06T16:03:15Z</cp:lastPrinted>
  <dcterms:modified xsi:type="dcterms:W3CDTF">2003-05-06T16:11:17Z</dcterms:modified>
  <cp:revision>0</cp:revision>
  <dc:subject/>
  <dc:title/>
</cp:coreProperties>
</file>