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86" firstSheet="0" activeTab="0"/>
  </bookViews>
  <sheets>
    <sheet name="Declaration - Annex B" sheetId="1" state="visible" r:id="rId2"/>
    <sheet name="Commentary - Annex C" sheetId="2" state="visible" r:id="rId3"/>
    <sheet name="Table 1.0 I &amp; E - Annex D" sheetId="3" state="visible" r:id="rId4"/>
    <sheet name="Table 2.0 BS - Annex E" sheetId="4" state="visible" r:id="rId5"/>
    <sheet name="Table 3.0 CF - Annex F" sheetId="5" state="visible" r:id="rId6"/>
  </sheets>
  <definedNames>
    <definedName function="false" hidden="false" localSheetId="1" name="_xlnm.Print_Area" vbProcedure="false">'Commentary - Annex C'!$A$1:$J$45</definedName>
    <definedName function="false" hidden="false" localSheetId="2" name="_xlnm.Print_Area" vbProcedure="false">'Table 1.0 I &amp; E - Annex D'!$A$1:$L$70</definedName>
    <definedName function="false" hidden="false" name="Table1" vbProcedure="false">#REF!</definedName>
    <definedName function="false" hidden="false" name="Table1a" vbProcedure="false">#REF!</definedName>
    <definedName function="false" hidden="false" name="Table2a" vbProcedure="false">#REF!</definedName>
    <definedName function="false" hidden="false" name="Table2b" vbProcedure="false">#REF!</definedName>
    <definedName function="false" hidden="false" name="Table3" vbProcedure="false">#REF!</definedName>
    <definedName function="false" hidden="false" name="Table3a" vbProcedure="false">#REF!</definedName>
    <definedName function="false" hidden="false" name="Table4" vbProcedure="false">#REF!</definedName>
    <definedName function="false" hidden="false" name="Table5" vbProcedure="false">#REF!</definedName>
    <definedName function="false" hidden="false" name="Table6a" vbProcedure="false">#REF!</definedName>
    <definedName function="false" hidden="false" name="Table6b" vbProcedure="false">#REF!</definedName>
    <definedName function="false" hidden="false" name="Table6c" vbProcedure="false">#REF!</definedName>
    <definedName function="false" hidden="false" name="Table6d" vbProcedure="false">#REF!</definedName>
    <definedName function="false" hidden="false" name="Table6e" vbProcedure="false">#REF!</definedName>
    <definedName function="false" hidden="false" name="Table6f" vbProcedure="false">#REF!</definedName>
    <definedName function="false" hidden="false" name="Table6g" vbProcedure="false">#REF!</definedName>
    <definedName function="false" hidden="false" name="Table7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<sst xmlns="http://schemas.openxmlformats.org/spreadsheetml/2006/main" count="246" uniqueCount="162">
  <si>
    <t xml:space="preserve">2002 Financial Forecasts Update</t>
  </si>
  <si>
    <t xml:space="preserve">Please return to SFEFC no later than 18 March 2002</t>
  </si>
  <si>
    <t xml:space="preserve">College Name:</t>
  </si>
  <si>
    <t xml:space="preserve">Text</t>
  </si>
  <si>
    <t xml:space="preserve">Address:</t>
  </si>
  <si>
    <t xml:space="preserve">Contact:</t>
  </si>
  <si>
    <t xml:space="preserve">Telephone:</t>
  </si>
  <si>
    <t xml:space="preserve">e-mail:</t>
  </si>
  <si>
    <t xml:space="preserve">Financial Forecast Return - Declaration</t>
  </si>
  <si>
    <t xml:space="preserve">The attached five worksheets represent an update on the financial forecasts for the college, based on the actual financial results to   31 January 2002 and other relevant information. I consider the revised forecasts to be a reasonable assessment of the College's projected financial position at the end of this financial year in light of the information available to me. </t>
  </si>
  <si>
    <t xml:space="preserve">Signed</t>
  </si>
  <si>
    <t xml:space="preserve">Principal and Accountable Officer</t>
  </si>
  <si>
    <t xml:space="preserve">Date</t>
  </si>
  <si>
    <t xml:space="preserve">Financial Commentary</t>
  </si>
  <si>
    <t xml:space="preserve">Please provide a financial commentary for the Financial Forecast Update (FFU) in the box (or if necessary in an accompanying word document)</t>
  </si>
  <si>
    <t xml:space="preserve">Note: The commentary should be provided for all material changes from the original FFR for 2001/02.</t>
  </si>
  <si>
    <t xml:space="preserve">THIS MUST BE</t>
  </si>
  <si>
    <t xml:space="preserve">COMPLETED</t>
  </si>
  <si>
    <t xml:space="preserve">Table</t>
  </si>
  <si>
    <t xml:space="preserve">Income and Expenditure Account (Consolidated)</t>
  </si>
  <si>
    <t xml:space="preserve">COLLEGE NAME</t>
  </si>
  <si>
    <t xml:space="preserve">Original FFR Forecast</t>
  </si>
  <si>
    <t xml:space="preserve">Mid-Year Update - Revised Outturn</t>
  </si>
  <si>
    <t xml:space="preserve">Variance</t>
  </si>
  <si>
    <t xml:space="preserve">Variance as % of original forecast</t>
  </si>
  <si>
    <t xml:space="preserve">Reason for variance where material (Normally &gt; £50k and &gt;10%)</t>
  </si>
  <si>
    <t xml:space="preserve">College Contact</t>
  </si>
  <si>
    <t xml:space="preserve">2001-02</t>
  </si>
  <si>
    <t xml:space="preserve">Contact Telephone</t>
  </si>
  <si>
    <t xml:space="preserve">£000</t>
  </si>
  <si>
    <t xml:space="preserve">%</t>
  </si>
  <si>
    <t xml:space="preserve">Income</t>
  </si>
  <si>
    <t xml:space="preserve">Funding Council Grants (excluding Bursaries and Access)</t>
  </si>
  <si>
    <t xml:space="preserve">Education Contracts (non-SFEFC funded)</t>
  </si>
  <si>
    <t xml:space="preserve">Tuition Fees (SFEFC Fundable Activity)</t>
  </si>
  <si>
    <t xml:space="preserve">Other Grant Income</t>
  </si>
  <si>
    <t xml:space="preserve">Other Operating Income</t>
  </si>
  <si>
    <t xml:space="preserve">Endowment and Investment Income, Interest Receivable</t>
  </si>
  <si>
    <t xml:space="preserve">Total Income</t>
  </si>
  <si>
    <t xml:space="preserve">Expenditure</t>
  </si>
  <si>
    <t xml:space="preserve">Normal Staff Costs</t>
  </si>
  <si>
    <t xml:space="preserve">Exceptional restructuring costs</t>
  </si>
  <si>
    <t xml:space="preserve">Other Operating Expenses</t>
  </si>
  <si>
    <t xml:space="preserve">Depreciation</t>
  </si>
  <si>
    <t xml:space="preserve">Interest Payable</t>
  </si>
  <si>
    <t xml:space="preserve">Total Expenditure (excluding Bursaries and Access Payments)</t>
  </si>
  <si>
    <t xml:space="preserve">Surplus/(Deficit) after Depreciation of Assets at</t>
  </si>
  <si>
    <t xml:space="preserve">Valuation and Before Disposal of Assets and Tax</t>
  </si>
  <si>
    <t xml:space="preserve">Gain on sale of assets</t>
  </si>
  <si>
    <t xml:space="preserve">Loss on sale of assets</t>
  </si>
  <si>
    <t xml:space="preserve">Valuation and Disposal of Assets and Before Tax</t>
  </si>
  <si>
    <t xml:space="preserve">Taxation</t>
  </si>
  <si>
    <t xml:space="preserve">Minority Interest</t>
  </si>
  <si>
    <t xml:space="preserve">Valuation, Disposal of Assets and Tax</t>
  </si>
  <si>
    <t xml:space="preserve">Note of Historical Cost Surpluses and Deficits</t>
  </si>
  <si>
    <t xml:space="preserve">Valuation and Tax</t>
  </si>
  <si>
    <t xml:space="preserve">Transfer (to)/from revaluation reserve</t>
  </si>
  <si>
    <t xml:space="preserve">Historical Cost Surplus/(Deficit) after Tax</t>
  </si>
  <si>
    <t xml:space="preserve">Transfer (to)/from restricted funds</t>
  </si>
  <si>
    <t xml:space="preserve">Transfer (to)/from designated  reserves</t>
  </si>
  <si>
    <t xml:space="preserve">Amount carried forward to I&amp;E account</t>
  </si>
  <si>
    <t xml:space="preserve">Bursary and Access Funds</t>
  </si>
  <si>
    <t xml:space="preserve">Bursary Funding</t>
  </si>
  <si>
    <t xml:space="preserve">Payments from Bursary Funds</t>
  </si>
  <si>
    <t xml:space="preserve">(Over)/Under-use of Bursary Funds in year</t>
  </si>
  <si>
    <t xml:space="preserve">Access Funding</t>
  </si>
  <si>
    <t xml:space="preserve">Payments from Access Funds</t>
  </si>
  <si>
    <t xml:space="preserve">(Over)/Under-use of Access Funds in year</t>
  </si>
  <si>
    <t xml:space="preserve">Consolidated Balance Sheet</t>
  </si>
  <si>
    <t xml:space="preserve">Fixed Assets</t>
  </si>
  <si>
    <t xml:space="preserve">Inherited land and buildings</t>
  </si>
  <si>
    <t xml:space="preserve">Land and buildings financed by Capital Grant</t>
  </si>
  <si>
    <t xml:space="preserve">Land and Buildings financed by PFI</t>
  </si>
  <si>
    <t xml:space="preserve">Other Land and Buildings acquired post-incorporation</t>
  </si>
  <si>
    <t xml:space="preserve">Equipment</t>
  </si>
  <si>
    <t xml:space="preserve">Investments</t>
  </si>
  <si>
    <t xml:space="preserve">Total Fixed Assets</t>
  </si>
  <si>
    <t xml:space="preserve">Endowment Asset Investments</t>
  </si>
  <si>
    <t xml:space="preserve">Current Assets</t>
  </si>
  <si>
    <t xml:space="preserve">Stocks and Stores in Hand</t>
  </si>
  <si>
    <t xml:space="preserve">Debtors</t>
  </si>
  <si>
    <t xml:space="preserve">Cash at Bank/in Hand</t>
  </si>
  <si>
    <t xml:space="preserve">Unspent/(overspent) balance on bursaries and access</t>
  </si>
  <si>
    <t xml:space="preserve">Total Current Assets</t>
  </si>
  <si>
    <t xml:space="preserve">Creditors: Amounts Falling Due Within One Year</t>
  </si>
  <si>
    <t xml:space="preserve">Creditors</t>
  </si>
  <si>
    <t xml:space="preserve">LA Loans</t>
  </si>
  <si>
    <t xml:space="preserve">Bank Overdrafts (shown as positive)</t>
  </si>
  <si>
    <t xml:space="preserve">Other Bank Loans</t>
  </si>
  <si>
    <t xml:space="preserve">Finance Lease Obligations</t>
  </si>
  <si>
    <t xml:space="preserve">Obligations under PFI</t>
  </si>
  <si>
    <t xml:space="preserve">Total Amounts Falling Due Within One Year</t>
  </si>
  <si>
    <t xml:space="preserve">Net Current Assets/(Liabilities)</t>
  </si>
  <si>
    <t xml:space="preserve">Total Assets Less Current Liabilities</t>
  </si>
  <si>
    <t xml:space="preserve"> </t>
  </si>
  <si>
    <t xml:space="preserve">Creditors: Amounts Falling Due After More Than One Year</t>
  </si>
  <si>
    <t xml:space="preserve">Bank Loans</t>
  </si>
  <si>
    <t xml:space="preserve"> Finance Lease Obligations</t>
  </si>
  <si>
    <t xml:space="preserve">Total Amounts Falling Due After More Than One Year</t>
  </si>
  <si>
    <t xml:space="preserve">Provisions for Liabilities and Charges</t>
  </si>
  <si>
    <t xml:space="preserve">Total Provision for Liabilities and Charges</t>
  </si>
  <si>
    <t xml:space="preserve">Total Net Assets</t>
  </si>
  <si>
    <t xml:space="preserve">Deferred Capital Grants</t>
  </si>
  <si>
    <t xml:space="preserve"> SOEID/SFEFC</t>
  </si>
  <si>
    <t xml:space="preserve"> ERDF</t>
  </si>
  <si>
    <t xml:space="preserve">Millennium</t>
  </si>
  <si>
    <t xml:space="preserve">Other (including disposal of assets treated as def grant)</t>
  </si>
  <si>
    <t xml:space="preserve">Total Deferred Grants</t>
  </si>
  <si>
    <t xml:space="preserve">Endowments</t>
  </si>
  <si>
    <t xml:space="preserve">Reserves</t>
  </si>
  <si>
    <t xml:space="preserve">Revaluation Reserve</t>
  </si>
  <si>
    <t xml:space="preserve">Restricted Reserve</t>
  </si>
  <si>
    <t xml:space="preserve">Designated Reserve</t>
  </si>
  <si>
    <t xml:space="preserve">Income and Expenditure Account</t>
  </si>
  <si>
    <t xml:space="preserve">Total Reserves</t>
  </si>
  <si>
    <t xml:space="preserve">Total Funds</t>
  </si>
  <si>
    <r>
      <rPr>
        <sz val="10"/>
        <rFont val="Arial"/>
        <family val="0"/>
      </rPr>
      <t xml:space="preserve">College Income &amp; Expenditure Account (</t>
    </r>
    <r>
      <rPr>
        <b val="true"/>
        <sz val="10"/>
        <rFont val="Arial"/>
        <family val="0"/>
      </rPr>
      <t xml:space="preserve">only input </t>
    </r>
  </si>
  <si>
    <r>
      <rPr>
        <b val="true"/>
        <sz val="10"/>
        <rFont val="Arial"/>
        <family val="0"/>
      </rPr>
      <t xml:space="preserve">where this differs from Group</t>
    </r>
    <r>
      <rPr>
        <sz val="10"/>
        <rFont val="Arial"/>
        <family val="0"/>
      </rPr>
      <t xml:space="preserve">)</t>
    </r>
  </si>
  <si>
    <t xml:space="preserve">&gt;&gt;&gt;&gt;&gt;&gt;&gt;&gt;&gt;   THESE CELLS MUST BE ZERO  &gt;&gt;&gt;&gt;&gt;&gt;&gt;&gt;</t>
  </si>
  <si>
    <t xml:space="preserve">Operating Cash Flow (Consolidated)</t>
  </si>
  <si>
    <t xml:space="preserve">Refer to FFR submitted in (or around) August 2001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</si>
  <si>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</si>
  <si>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</si>
  <si>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</si>
  <si>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</si>
  <si>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</si>
  <si>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</si>
  <si>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</si>
  <si>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</si>
  <si>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</si>
  <si>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</si>
  <si>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</si>
  <si>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</si>
  <si>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Total</t>
  </si>
  <si>
    <t xml:space="preserve">ORIGINAL CASH FORECAST 2001-02</t>
  </si>
  <si>
    <t xml:space="preserve">£'000</t>
  </si>
  <si>
    <t xml:space="preserve">SFEFC funding (including bursaries and access)</t>
  </si>
  <si>
    <t xml:space="preserve">Other grants received</t>
  </si>
  <si>
    <t xml:space="preserve">Other cash received</t>
  </si>
  <si>
    <t xml:space="preserve">Total cash in</t>
  </si>
  <si>
    <t xml:space="preserve">Payroll</t>
  </si>
  <si>
    <t xml:space="preserve">Other payments (including bursaries &amp; access, excluding interest)</t>
  </si>
  <si>
    <t xml:space="preserve">Interest payments</t>
  </si>
  <si>
    <t xml:space="preserve">Total cash out</t>
  </si>
  <si>
    <t xml:space="preserve">Cash taken off/(put on) deposit</t>
  </si>
  <si>
    <t xml:space="preserve">Net cash inflow/(outflow)</t>
  </si>
  <si>
    <t xml:space="preserve">Balance b/f (cash and overdraft)</t>
  </si>
  <si>
    <t xml:space="preserve">Balance c/f (cash and overdraft)</t>
  </si>
  <si>
    <t xml:space="preserve">Financed by:</t>
  </si>
  <si>
    <t xml:space="preserve">Cash</t>
  </si>
  <si>
    <t xml:space="preserve">(Overdraft/Short-term bank loan)-show as negative</t>
  </si>
  <si>
    <t xml:space="preserve">Total financing</t>
  </si>
  <si>
    <t xml:space="preserve">These cells should be zero</t>
  </si>
  <si>
    <t xml:space="preserve">This cell should be zero (reconciliation with balance sheet)</t>
  </si>
  <si>
    <t xml:space="preserve">ACTUAL/REVISED FORECAST 2001-2002</t>
  </si>
  <si>
    <t xml:space="preserve">Actual</t>
  </si>
  <si>
    <t xml:space="preserve">Forecast</t>
  </si>
  <si>
    <t xml:space="preserve">Cash taken off/(put on)  deposit</t>
  </si>
  <si>
    <t xml:space="preserve">Difference between actual/revised forecast of closing balance </t>
  </si>
  <si>
    <t xml:space="preserve">and original forecast</t>
  </si>
  <si>
    <t xml:space="preserve">Percentage variance</t>
  </si>
  <si>
    <t xml:space="preserve">Reasons for variances where material (normally &gt; £50k and &gt;10%). Ignore timing differences which reverse in subsequent months.</t>
  </si>
</sst>
</file>

<file path=xl/styles.xml><?xml version="1.0" encoding="utf-8"?>
<styleSheet xmlns="http://schemas.openxmlformats.org/spreadsheetml/2006/main">
  <numFmts count="5">
    <numFmt numFmtId="164" formatCode="General_)"/>
    <numFmt numFmtId="165" formatCode="0_)"/>
    <numFmt numFmtId="166" formatCode="0"/>
    <numFmt numFmtId="167" formatCode="0.0"/>
    <numFmt numFmtId="168" formatCode="#,##0;[RED]\(#,##0\)"/>
  </numFmts>
  <fonts count="25">
    <font>
      <sz val="10"/>
      <name val="Courier New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b val="true"/>
      <sz val="10"/>
      <color rgb="FFFF0000"/>
      <name val="Arial"/>
      <family val="0"/>
    </font>
    <font>
      <sz val="10"/>
      <color rgb="FF0000FF"/>
      <name val="Courier New"/>
      <family val="3"/>
    </font>
    <font>
      <b val="true"/>
      <sz val="10"/>
      <name val="Courier New"/>
      <family val="3"/>
    </font>
    <font>
      <b val="true"/>
      <sz val="10"/>
      <color rgb="FFFF0000"/>
      <name val="Courier New"/>
      <family val="3"/>
    </font>
    <font>
      <sz val="10"/>
      <color rgb="FF3366FF"/>
      <name val="Courier New"/>
      <family val="3"/>
    </font>
    <font>
      <sz val="10"/>
      <color rgb="FFFF0000"/>
      <name val="Arial"/>
      <family val="0"/>
    </font>
    <font>
      <sz val="10"/>
      <color rgb="FF0000FF"/>
      <name val="Arial"/>
      <family val="0"/>
    </font>
    <font>
      <i val="true"/>
      <sz val="10"/>
      <name val="Arial"/>
      <family val="0"/>
    </font>
    <font>
      <b val="true"/>
      <i val="true"/>
      <sz val="10"/>
      <name val="Arial"/>
      <family val="0"/>
    </font>
    <font>
      <b val="true"/>
      <sz val="12"/>
      <name val="Courier New"/>
      <family val="3"/>
    </font>
    <font>
      <sz val="8"/>
      <name val="Arial"/>
      <family val="0"/>
    </font>
    <font>
      <sz val="8"/>
      <name val="Courier New"/>
      <family val="0"/>
    </font>
    <font>
      <sz val="8"/>
      <color rgb="FF0000FF"/>
      <name val="Arial"/>
      <family val="0"/>
    </font>
    <font>
      <i val="true"/>
      <sz val="10"/>
      <name val="Arial"/>
      <family val="2"/>
    </font>
    <font>
      <b val="true"/>
      <sz val="10"/>
      <name val="Arial"/>
      <family val="2"/>
    </font>
    <font>
      <b val="true"/>
      <i val="true"/>
      <sz val="10"/>
      <color rgb="FFFF0000"/>
      <name val="Arial"/>
      <family val="0"/>
    </font>
    <font>
      <i val="true"/>
      <sz val="10"/>
      <color rgb="FFFF0000"/>
      <name val="Arial"/>
      <family val="0"/>
    </font>
    <font>
      <b val="true"/>
      <sz val="10"/>
      <color rgb="FF0000FF"/>
      <name val="Arial"/>
      <family val="0"/>
    </font>
    <font>
      <b val="true"/>
      <sz val="10"/>
      <name val="Courier New"/>
      <family val="0"/>
    </font>
    <font>
      <sz val="8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E3E3E3"/>
        <bgColor rgb="FFCCFFCC"/>
      </patternFill>
    </fill>
    <fill>
      <patternFill patternType="solid">
        <fgColor rgb="FFCCFFCC"/>
        <bgColor rgb="FFCCFF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1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6" fontId="1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1" fillId="0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1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1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1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6" fontId="0" fillId="0" borderId="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1" fillId="0" borderId="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15" fillId="0" borderId="5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11" fillId="4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1" fillId="0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0" fillId="3" borderId="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10" fillId="3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" fillId="4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0" fillId="5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1" fillId="0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11" fillId="0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7" fillId="0" borderId="5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1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1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1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1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1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" fillId="3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" fillId="5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" fillId="0" borderId="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1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1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" fillId="0" borderId="5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11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11" fillId="4" borderId="4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6" fontId="1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1" fillId="0" borderId="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1" fillId="0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0" fillId="5" borderId="1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4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1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1" fillId="4" borderId="1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11" fillId="4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0" fillId="5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" fillId="5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" fillId="5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" fillId="0" borderId="1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1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11" fillId="4" borderId="1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10" fillId="5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" fillId="5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10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2" fillId="0" borderId="1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22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11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5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5" borderId="1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" fillId="0" borderId="1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23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5" fillId="3" borderId="1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" fillId="3" borderId="1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3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3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" fillId="3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5" borderId="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5" borderId="1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5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2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TABLE6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85320</xdr:colOff>
      <xdr:row>4</xdr:row>
      <xdr:rowOff>95400</xdr:rowOff>
    </xdr:from>
    <xdr:to>
      <xdr:col>9</xdr:col>
      <xdr:colOff>720</xdr:colOff>
      <xdr:row>44</xdr:row>
      <xdr:rowOff>142920</xdr:rowOff>
    </xdr:to>
    <xdr:sp>
      <xdr:nvSpPr>
        <xdr:cNvPr id="0" name="Text 5"/>
        <xdr:cNvSpPr/>
      </xdr:nvSpPr>
      <xdr:spPr>
        <a:xfrm>
          <a:off x="1503360" y="743040"/>
          <a:ext cx="4204800" cy="812484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endParaRPr b="0" lang="en-US" sz="1000" spc="-1" strike="noStrike">
            <a:latin typeface="Times New Roman"/>
          </a:endParaRPr>
        </a:p>
        <a:p>
          <a:endParaRPr b="0" lang="en-US" sz="1000" spc="-1" strike="noStrike">
            <a:latin typeface="Times New Roman"/>
          </a:endParaRPr>
        </a:p>
      </xdr:txBody>
    </xdr:sp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29" activeCellId="0" sqref="B29"/>
    </sheetView>
  </sheetViews>
  <sheetFormatPr defaultColWidth="9.05078125" defaultRowHeight="12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" hidden="false" customHeight="true" outlineLevel="0" collapsed="false">
      <c r="H2" s="2" t="s">
        <v>1</v>
      </c>
      <c r="I2" s="2"/>
      <c r="J2" s="2"/>
    </row>
    <row r="3" customFormat="false" ht="12" hidden="false" customHeight="false" outlineLevel="0" collapsed="false">
      <c r="A3" s="3" t="s">
        <v>2</v>
      </c>
      <c r="B3" s="3"/>
      <c r="C3" s="4" t="s">
        <v>3</v>
      </c>
      <c r="D3" s="4"/>
      <c r="H3" s="2"/>
      <c r="I3" s="2"/>
      <c r="J3" s="2"/>
    </row>
    <row r="4" customFormat="false" ht="12" hidden="false" customHeight="false" outlineLevel="0" collapsed="false">
      <c r="C4" s="5"/>
      <c r="D4" s="5"/>
      <c r="H4" s="2"/>
      <c r="I4" s="2"/>
      <c r="J4" s="2"/>
    </row>
    <row r="5" customFormat="false" ht="12" hidden="false" customHeight="false" outlineLevel="0" collapsed="false">
      <c r="A5" s="3" t="s">
        <v>4</v>
      </c>
      <c r="B5" s="3"/>
      <c r="C5" s="4" t="s">
        <v>3</v>
      </c>
      <c r="D5" s="4"/>
      <c r="H5" s="2"/>
      <c r="I5" s="2"/>
      <c r="J5" s="2"/>
    </row>
    <row r="6" customFormat="false" ht="12" hidden="false" customHeight="false" outlineLevel="0" collapsed="false">
      <c r="C6" s="4" t="s">
        <v>3</v>
      </c>
      <c r="D6" s="4"/>
    </row>
    <row r="7" customFormat="false" ht="12" hidden="false" customHeight="false" outlineLevel="0" collapsed="false">
      <c r="C7" s="4" t="s">
        <v>3</v>
      </c>
      <c r="D7" s="4"/>
    </row>
    <row r="8" customFormat="false" ht="12" hidden="false" customHeight="false" outlineLevel="0" collapsed="false">
      <c r="C8" s="4" t="s">
        <v>3</v>
      </c>
      <c r="D8" s="4"/>
    </row>
    <row r="9" customFormat="false" ht="12" hidden="false" customHeight="false" outlineLevel="0" collapsed="false">
      <c r="C9" s="4" t="s">
        <v>3</v>
      </c>
      <c r="D9" s="4"/>
    </row>
    <row r="10" customFormat="false" ht="12" hidden="false" customHeight="false" outlineLevel="0" collapsed="false">
      <c r="C10" s="5"/>
      <c r="D10" s="5"/>
    </row>
    <row r="11" customFormat="false" ht="12" hidden="false" customHeight="false" outlineLevel="0" collapsed="false">
      <c r="A11" s="3" t="s">
        <v>5</v>
      </c>
      <c r="B11" s="3"/>
      <c r="C11" s="4" t="s">
        <v>3</v>
      </c>
      <c r="D11" s="4"/>
    </row>
    <row r="12" customFormat="false" ht="12" hidden="false" customHeight="false" outlineLevel="0" collapsed="false">
      <c r="C12" s="5"/>
      <c r="D12" s="5"/>
    </row>
    <row r="13" customFormat="false" ht="12" hidden="false" customHeight="false" outlineLevel="0" collapsed="false">
      <c r="A13" s="3" t="s">
        <v>6</v>
      </c>
      <c r="B13" s="3"/>
      <c r="C13" s="4" t="s">
        <v>3</v>
      </c>
      <c r="D13" s="4"/>
    </row>
    <row r="14" customFormat="false" ht="12" hidden="false" customHeight="false" outlineLevel="0" collapsed="false">
      <c r="C14" s="5"/>
      <c r="D14" s="5"/>
    </row>
    <row r="15" customFormat="false" ht="12" hidden="false" customHeight="false" outlineLevel="0" collapsed="false">
      <c r="A15" s="3" t="s">
        <v>7</v>
      </c>
      <c r="B15" s="3"/>
      <c r="C15" s="4" t="s">
        <v>3</v>
      </c>
      <c r="D15" s="4"/>
    </row>
    <row r="17" customFormat="false" ht="12" hidden="false" customHeight="false" outlineLevel="0" collapsed="false">
      <c r="A17" s="6" t="s">
        <v>8</v>
      </c>
    </row>
    <row r="18" customFormat="false" ht="12.75" hidden="false" customHeight="true" outlineLevel="0" collapsed="false"/>
    <row r="19" customFormat="false" ht="19.5" hidden="false" customHeight="true" outlineLevel="0" collapsed="false">
      <c r="A19" s="7" t="s">
        <v>9</v>
      </c>
      <c r="B19" s="7"/>
      <c r="C19" s="7"/>
      <c r="D19" s="7"/>
      <c r="E19" s="7"/>
      <c r="F19" s="7"/>
      <c r="G19" s="7"/>
      <c r="H19" s="7"/>
      <c r="I19" s="7"/>
      <c r="J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customFormat="false" ht="19.5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customFormat="false" ht="19.5" hidden="false" customHeight="tru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customFormat="false" ht="12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customFormat="false" ht="12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customFormat="false" ht="12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customFormat="false" ht="12" hidden="false" customHeight="false" outlineLevel="0" collapsed="false">
      <c r="A26" s="6" t="s">
        <v>10</v>
      </c>
      <c r="B26" s="4" t="s">
        <v>3</v>
      </c>
      <c r="C26" s="4"/>
      <c r="D26" s="6" t="s">
        <v>11</v>
      </c>
      <c r="H26" s="9" t="s">
        <v>3</v>
      </c>
      <c r="I26" s="9"/>
      <c r="J26" s="6" t="s">
        <v>12</v>
      </c>
    </row>
    <row r="29" customFormat="false" ht="12" hidden="false" customHeight="false" outlineLevel="0" collapsed="false">
      <c r="A29" s="6"/>
      <c r="B29" s="10"/>
      <c r="C29" s="10"/>
      <c r="D29" s="6"/>
      <c r="J29" s="6"/>
    </row>
  </sheetData>
  <sheetProtection sheet="true" objects="true" scenarios="true"/>
  <mergeCells count="18">
    <mergeCell ref="H2:J5"/>
    <mergeCell ref="A3:B3"/>
    <mergeCell ref="C3:D3"/>
    <mergeCell ref="A5:B5"/>
    <mergeCell ref="C5:D5"/>
    <mergeCell ref="C6:D6"/>
    <mergeCell ref="C7:D7"/>
    <mergeCell ref="C8:D8"/>
    <mergeCell ref="C9:D9"/>
    <mergeCell ref="A11:B11"/>
    <mergeCell ref="C11:D11"/>
    <mergeCell ref="A13:B13"/>
    <mergeCell ref="C13:D13"/>
    <mergeCell ref="A15:B15"/>
    <mergeCell ref="C15:D15"/>
    <mergeCell ref="A19:J22"/>
    <mergeCell ref="B26:C26"/>
    <mergeCell ref="H26:I26"/>
  </mergeCells>
  <printOptions headings="false" gridLines="false" gridLinesSet="true" horizontalCentered="false" verticalCentered="false"/>
  <pageMargins left="0.747916666666667" right="0.747916666666667" top="0.984027777777778" bottom="0.984027777777778" header="0.5" footer="0.511811023622047"/>
  <pageSetup paperSize="9" scale="97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&amp;C&amp;A&amp;RAnnex B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139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2" activeCellId="0" sqref="A12"/>
    </sheetView>
  </sheetViews>
  <sheetFormatPr defaultColWidth="9.05078125" defaultRowHeight="12" zeroHeight="false" outlineLevelRow="0" outlineLevelCol="0"/>
  <cols>
    <col collapsed="false" customWidth="true" hidden="false" outlineLevel="0" max="1" min="1" style="0" width="16.97"/>
    <col collapsed="false" customWidth="true" hidden="false" outlineLevel="0" max="2" min="2" style="0" width="1.61"/>
    <col collapsed="false" customWidth="true" hidden="false" outlineLevel="0" max="3" min="3" style="0" width="1.99"/>
  </cols>
  <sheetData>
    <row r="1" customFormat="false" ht="12.75" hidden="false" customHeight="false" outlineLevel="0" collapsed="false">
      <c r="A1" s="11" t="s">
        <v>0</v>
      </c>
      <c r="B1" s="11"/>
      <c r="C1" s="11"/>
    </row>
    <row r="2" customFormat="false" ht="12.75" hidden="false" customHeight="false" outlineLevel="0" collapsed="false">
      <c r="A2" s="12"/>
      <c r="B2" s="12"/>
      <c r="C2" s="12"/>
    </row>
    <row r="3" customFormat="false" ht="12.75" hidden="false" customHeight="false" outlineLevel="0" collapsed="false">
      <c r="A3" s="13"/>
      <c r="B3" s="14"/>
      <c r="C3" s="1" t="s">
        <v>13</v>
      </c>
      <c r="I3" s="6"/>
    </row>
    <row r="4" customFormat="false" ht="12.75" hidden="false" customHeight="false" outlineLevel="0" collapsed="false">
      <c r="A4" s="15" t="str">
        <f aca="false">'Table 1.0 I &amp; E - Annex D'!A4</f>
        <v>COLLEGE NAME</v>
      </c>
      <c r="B4" s="16"/>
      <c r="C4" s="16"/>
    </row>
    <row r="5" customFormat="false" ht="12.75" hidden="false" customHeight="false" outlineLevel="0" collapsed="false">
      <c r="A5" s="17"/>
      <c r="B5" s="12"/>
      <c r="C5" s="12"/>
    </row>
    <row r="6" customFormat="false" ht="102" hidden="false" customHeight="false" outlineLevel="0" collapsed="false">
      <c r="A6" s="18" t="s">
        <v>14</v>
      </c>
      <c r="B6" s="12"/>
      <c r="C6" s="19"/>
      <c r="D6" s="20"/>
    </row>
    <row r="7" customFormat="false" ht="12.75" hidden="false" customHeight="false" outlineLevel="0" collapsed="false">
      <c r="A7" s="12"/>
      <c r="B7" s="12"/>
      <c r="C7" s="12"/>
      <c r="D7" s="20"/>
    </row>
    <row r="8" customFormat="false" ht="76.5" hidden="false" customHeight="false" outlineLevel="0" collapsed="false">
      <c r="A8" s="21" t="s">
        <v>15</v>
      </c>
      <c r="B8" s="12"/>
      <c r="C8" s="22"/>
      <c r="D8" s="20"/>
    </row>
    <row r="9" customFormat="false" ht="12" hidden="false" customHeight="true" outlineLevel="0" collapsed="false">
      <c r="A9" s="17"/>
      <c r="B9" s="17"/>
      <c r="C9" s="17"/>
      <c r="D9" s="20"/>
    </row>
    <row r="10" customFormat="false" ht="12" hidden="false" customHeight="true" outlineLevel="0" collapsed="false">
      <c r="A10" s="23" t="s">
        <v>16</v>
      </c>
      <c r="B10" s="17"/>
      <c r="C10" s="17"/>
      <c r="D10" s="20"/>
    </row>
    <row r="11" customFormat="false" ht="12" hidden="false" customHeight="true" outlineLevel="0" collapsed="false">
      <c r="A11" s="23" t="s">
        <v>17</v>
      </c>
      <c r="B11" s="17"/>
      <c r="C11" s="17"/>
      <c r="D11" s="20"/>
    </row>
    <row r="12" customFormat="false" ht="12" hidden="false" customHeight="true" outlineLevel="0" collapsed="false">
      <c r="A12" s="17"/>
      <c r="B12" s="17"/>
      <c r="C12" s="17"/>
      <c r="D12" s="20"/>
    </row>
    <row r="13" customFormat="false" ht="12" hidden="false" customHeight="true" outlineLevel="0" collapsed="false">
      <c r="A13" s="17"/>
      <c r="B13" s="17"/>
      <c r="C13" s="17"/>
      <c r="D13" s="20"/>
    </row>
    <row r="14" customFormat="false" ht="12" hidden="false" customHeight="true" outlineLevel="0" collapsed="false">
      <c r="A14" s="17"/>
      <c r="B14" s="17"/>
      <c r="C14" s="17"/>
      <c r="D14" s="20"/>
    </row>
    <row r="15" customFormat="false" ht="12" hidden="false" customHeight="true" outlineLevel="0" collapsed="false">
      <c r="A15" s="17"/>
      <c r="B15" s="17"/>
      <c r="C15" s="17"/>
      <c r="D15" s="20"/>
    </row>
    <row r="16" customFormat="false" ht="12" hidden="false" customHeight="true" outlineLevel="0" collapsed="false">
      <c r="A16" s="17"/>
      <c r="B16" s="17"/>
      <c r="C16" s="17"/>
      <c r="D16" s="20"/>
    </row>
    <row r="17" customFormat="false" ht="12" hidden="false" customHeight="true" outlineLevel="0" collapsed="false">
      <c r="A17" s="17"/>
      <c r="B17" s="17"/>
      <c r="C17" s="17"/>
      <c r="D17" s="20"/>
    </row>
    <row r="18" customFormat="false" ht="12" hidden="false" customHeight="true" outlineLevel="0" collapsed="false">
      <c r="A18" s="17"/>
      <c r="B18" s="17"/>
      <c r="C18" s="17"/>
      <c r="D18" s="20"/>
    </row>
    <row r="19" customFormat="false" ht="12" hidden="false" customHeight="true" outlineLevel="0" collapsed="false">
      <c r="A19" s="17"/>
      <c r="B19" s="17"/>
      <c r="C19" s="17"/>
      <c r="D19" s="20"/>
    </row>
    <row r="20" customFormat="false" ht="12" hidden="false" customHeight="true" outlineLevel="0" collapsed="false">
      <c r="A20" s="17"/>
      <c r="B20" s="17"/>
      <c r="C20" s="17"/>
      <c r="D20" s="20"/>
    </row>
    <row r="21" customFormat="false" ht="12" hidden="false" customHeight="true" outlineLevel="0" collapsed="false">
      <c r="A21" s="17"/>
      <c r="B21" s="17"/>
      <c r="C21" s="17"/>
      <c r="D21" s="20"/>
    </row>
    <row r="22" customFormat="false" ht="12" hidden="false" customHeight="true" outlineLevel="0" collapsed="false">
      <c r="A22" s="17"/>
      <c r="B22" s="17"/>
      <c r="C22" s="17"/>
      <c r="D22" s="20"/>
    </row>
    <row r="23" customFormat="false" ht="12" hidden="false" customHeight="true" outlineLevel="0" collapsed="false">
      <c r="A23" s="17"/>
      <c r="B23" s="17"/>
      <c r="C23" s="17"/>
      <c r="D23" s="20"/>
    </row>
    <row r="24" customFormat="false" ht="12" hidden="false" customHeight="true" outlineLevel="0" collapsed="false">
      <c r="A24" s="17"/>
      <c r="B24" s="17"/>
      <c r="C24" s="17"/>
      <c r="D24" s="20"/>
    </row>
    <row r="25" customFormat="false" ht="12" hidden="false" customHeight="true" outlineLevel="0" collapsed="false">
      <c r="A25" s="17"/>
      <c r="B25" s="17"/>
      <c r="C25" s="17"/>
      <c r="D25" s="20"/>
    </row>
    <row r="26" customFormat="false" ht="12" hidden="false" customHeight="true" outlineLevel="0" collapsed="false">
      <c r="A26" s="17"/>
      <c r="B26" s="17"/>
      <c r="C26" s="17"/>
      <c r="D26" s="20"/>
    </row>
    <row r="27" customFormat="false" ht="12" hidden="false" customHeight="true" outlineLevel="0" collapsed="false">
      <c r="A27" s="17"/>
      <c r="B27" s="17"/>
      <c r="C27" s="17"/>
      <c r="D27" s="20"/>
    </row>
    <row r="28" customFormat="false" ht="12" hidden="false" customHeight="true" outlineLevel="0" collapsed="false">
      <c r="A28" s="17"/>
      <c r="B28" s="17"/>
      <c r="C28" s="17"/>
      <c r="D28" s="20"/>
    </row>
    <row r="29" customFormat="false" ht="12" hidden="false" customHeight="true" outlineLevel="0" collapsed="false">
      <c r="A29" s="17"/>
      <c r="B29" s="17"/>
      <c r="C29" s="17"/>
      <c r="D29" s="20"/>
    </row>
    <row r="30" customFormat="false" ht="12" hidden="false" customHeight="true" outlineLevel="0" collapsed="false">
      <c r="A30" s="17"/>
      <c r="B30" s="17"/>
      <c r="C30" s="17"/>
      <c r="D30" s="20"/>
    </row>
    <row r="31" customFormat="false" ht="12" hidden="false" customHeight="true" outlineLevel="0" collapsed="false">
      <c r="A31" s="17"/>
      <c r="B31" s="17"/>
      <c r="C31" s="17"/>
      <c r="D31" s="20"/>
    </row>
    <row r="32" customFormat="false" ht="12" hidden="false" customHeight="true" outlineLevel="0" collapsed="false">
      <c r="A32" s="17"/>
      <c r="B32" s="17"/>
      <c r="C32" s="17"/>
      <c r="D32" s="20"/>
    </row>
    <row r="33" customFormat="false" ht="12" hidden="false" customHeight="true" outlineLevel="0" collapsed="false">
      <c r="A33" s="17"/>
      <c r="B33" s="17"/>
      <c r="C33" s="17"/>
      <c r="D33" s="20"/>
    </row>
    <row r="34" customFormat="false" ht="12" hidden="false" customHeight="true" outlineLevel="0" collapsed="false">
      <c r="A34" s="17"/>
      <c r="B34" s="17"/>
      <c r="C34" s="17"/>
      <c r="D34" s="20"/>
    </row>
    <row r="35" customFormat="false" ht="12" hidden="false" customHeight="true" outlineLevel="0" collapsed="false">
      <c r="A35" s="17"/>
      <c r="B35" s="17"/>
      <c r="C35" s="17"/>
      <c r="D35" s="20"/>
    </row>
    <row r="36" customFormat="false" ht="12" hidden="false" customHeight="true" outlineLevel="0" collapsed="false">
      <c r="A36" s="17"/>
      <c r="B36" s="17"/>
      <c r="C36" s="17"/>
      <c r="D36" s="20"/>
    </row>
    <row r="37" customFormat="false" ht="12" hidden="false" customHeight="true" outlineLevel="0" collapsed="false">
      <c r="A37" s="17"/>
      <c r="B37" s="17"/>
      <c r="C37" s="17"/>
      <c r="D37" s="20"/>
    </row>
    <row r="38" customFormat="false" ht="12" hidden="false" customHeight="true" outlineLevel="0" collapsed="false">
      <c r="A38" s="17"/>
      <c r="B38" s="17"/>
      <c r="C38" s="17"/>
      <c r="D38" s="20"/>
    </row>
    <row r="39" customFormat="false" ht="12" hidden="false" customHeight="true" outlineLevel="0" collapsed="false">
      <c r="A39" s="17"/>
      <c r="B39" s="17"/>
      <c r="C39" s="17"/>
      <c r="D39" s="20"/>
    </row>
    <row r="40" customFormat="false" ht="12" hidden="false" customHeight="false" outlineLevel="0" collapsed="false">
      <c r="A40" s="17"/>
      <c r="B40" s="17"/>
      <c r="C40" s="17"/>
      <c r="D40" s="20"/>
    </row>
    <row r="41" customFormat="false" ht="12" hidden="false" customHeight="false" outlineLevel="0" collapsed="false">
      <c r="A41" s="17"/>
      <c r="B41" s="17"/>
      <c r="C41" s="17"/>
      <c r="D41" s="20"/>
    </row>
    <row r="42" customFormat="false" ht="12" hidden="false" customHeight="false" outlineLevel="0" collapsed="false">
      <c r="A42" s="17"/>
      <c r="B42" s="17"/>
      <c r="C42" s="17"/>
      <c r="D42" s="20"/>
    </row>
    <row r="43" customFormat="false" ht="12" hidden="false" customHeight="false" outlineLevel="0" collapsed="false">
      <c r="A43" s="17"/>
      <c r="B43" s="17"/>
      <c r="C43" s="17"/>
      <c r="D43" s="20"/>
    </row>
    <row r="44" customFormat="false" ht="12" hidden="false" customHeight="false" outlineLevel="0" collapsed="false">
      <c r="A44" s="17"/>
      <c r="B44" s="17"/>
      <c r="C44" s="17"/>
      <c r="D44" s="20"/>
    </row>
    <row r="45" customFormat="false" ht="12" hidden="false" customHeight="false" outlineLevel="0" collapsed="false">
      <c r="A45" s="17"/>
      <c r="B45" s="17"/>
      <c r="C45" s="17"/>
      <c r="D45" s="20"/>
    </row>
    <row r="46" customFormat="false" ht="12" hidden="false" customHeight="false" outlineLevel="0" collapsed="false">
      <c r="A46" s="17"/>
      <c r="B46" s="17"/>
      <c r="C46" s="17"/>
      <c r="D46" s="20"/>
    </row>
    <row r="47" customFormat="false" ht="12" hidden="false" customHeight="false" outlineLevel="0" collapsed="false">
      <c r="A47" s="17"/>
      <c r="B47" s="17"/>
      <c r="C47" s="17"/>
      <c r="D47" s="20"/>
    </row>
    <row r="48" customFormat="false" ht="12" hidden="false" customHeight="false" outlineLevel="0" collapsed="false">
      <c r="A48" s="17"/>
      <c r="B48" s="17"/>
      <c r="C48" s="17"/>
      <c r="D48" s="20"/>
    </row>
    <row r="49" customFormat="false" ht="12" hidden="false" customHeight="false" outlineLevel="0" collapsed="false">
      <c r="A49" s="17"/>
      <c r="B49" s="17"/>
      <c r="C49" s="17"/>
      <c r="D49" s="20"/>
    </row>
    <row r="50" customFormat="false" ht="12" hidden="false" customHeight="false" outlineLevel="0" collapsed="false">
      <c r="A50" s="17"/>
      <c r="B50" s="17"/>
      <c r="C50" s="17"/>
      <c r="D50" s="20"/>
    </row>
    <row r="51" customFormat="false" ht="12" hidden="false" customHeight="false" outlineLevel="0" collapsed="false">
      <c r="A51" s="17"/>
      <c r="B51" s="17"/>
      <c r="C51" s="17"/>
      <c r="D51" s="20"/>
    </row>
    <row r="52" customFormat="false" ht="12" hidden="false" customHeight="false" outlineLevel="0" collapsed="false">
      <c r="A52" s="17"/>
      <c r="B52" s="17"/>
      <c r="C52" s="17"/>
      <c r="D52" s="20"/>
    </row>
    <row r="53" customFormat="false" ht="12" hidden="false" customHeight="false" outlineLevel="0" collapsed="false">
      <c r="A53" s="17"/>
      <c r="B53" s="17"/>
      <c r="C53" s="17"/>
      <c r="D53" s="20"/>
    </row>
    <row r="54" customFormat="false" ht="12" hidden="false" customHeight="false" outlineLevel="0" collapsed="false">
      <c r="A54" s="17"/>
      <c r="B54" s="17"/>
      <c r="C54" s="17"/>
      <c r="D54" s="20"/>
    </row>
    <row r="55" customFormat="false" ht="12" hidden="false" customHeight="false" outlineLevel="0" collapsed="false">
      <c r="A55" s="17"/>
      <c r="B55" s="17"/>
      <c r="C55" s="17"/>
      <c r="D55" s="20"/>
    </row>
    <row r="56" customFormat="false" ht="12" hidden="false" customHeight="false" outlineLevel="0" collapsed="false">
      <c r="A56" s="17"/>
      <c r="B56" s="17"/>
      <c r="C56" s="17"/>
      <c r="D56" s="20"/>
    </row>
    <row r="57" customFormat="false" ht="12" hidden="false" customHeight="false" outlineLevel="0" collapsed="false">
      <c r="A57" s="17"/>
      <c r="B57" s="17"/>
      <c r="C57" s="17"/>
      <c r="D57" s="20"/>
    </row>
    <row r="58" customFormat="false" ht="12" hidden="false" customHeight="false" outlineLevel="0" collapsed="false">
      <c r="A58" s="17"/>
      <c r="B58" s="17"/>
      <c r="C58" s="17"/>
    </row>
    <row r="59" customFormat="false" ht="12" hidden="false" customHeight="false" outlineLevel="0" collapsed="false">
      <c r="A59" s="17"/>
      <c r="B59" s="17"/>
      <c r="C59" s="17"/>
    </row>
    <row r="60" customFormat="false" ht="12" hidden="false" customHeight="false" outlineLevel="0" collapsed="false">
      <c r="A60" s="17"/>
      <c r="B60" s="17"/>
      <c r="C60" s="17"/>
    </row>
    <row r="61" customFormat="false" ht="12" hidden="false" customHeight="false" outlineLevel="0" collapsed="false">
      <c r="A61" s="17"/>
      <c r="B61" s="17"/>
      <c r="C61" s="17"/>
    </row>
    <row r="62" customFormat="false" ht="12" hidden="false" customHeight="false" outlineLevel="0" collapsed="false">
      <c r="A62" s="17"/>
      <c r="B62" s="17"/>
      <c r="C62" s="17"/>
    </row>
    <row r="63" customFormat="false" ht="12" hidden="false" customHeight="false" outlineLevel="0" collapsed="false">
      <c r="A63" s="17"/>
      <c r="B63" s="17"/>
      <c r="C63" s="17"/>
    </row>
    <row r="64" customFormat="false" ht="12" hidden="false" customHeight="false" outlineLevel="0" collapsed="false">
      <c r="A64" s="17"/>
      <c r="B64" s="17"/>
      <c r="C64" s="17"/>
    </row>
    <row r="65" customFormat="false" ht="12" hidden="false" customHeight="false" outlineLevel="0" collapsed="false">
      <c r="A65" s="17"/>
      <c r="B65" s="17"/>
      <c r="C65" s="17"/>
    </row>
    <row r="66" customFormat="false" ht="12" hidden="false" customHeight="false" outlineLevel="0" collapsed="false">
      <c r="A66" s="17"/>
      <c r="B66" s="17"/>
      <c r="C66" s="17"/>
    </row>
    <row r="67" customFormat="false" ht="12" hidden="false" customHeight="false" outlineLevel="0" collapsed="false">
      <c r="A67" s="17"/>
      <c r="B67" s="17"/>
      <c r="C67" s="17"/>
    </row>
    <row r="68" customFormat="false" ht="12" hidden="false" customHeight="false" outlineLevel="0" collapsed="false">
      <c r="A68" s="17"/>
      <c r="B68" s="17"/>
      <c r="C68" s="17"/>
    </row>
    <row r="69" customFormat="false" ht="12" hidden="false" customHeight="false" outlineLevel="0" collapsed="false">
      <c r="A69" s="17"/>
      <c r="B69" s="17"/>
      <c r="C69" s="17"/>
    </row>
    <row r="70" customFormat="false" ht="12" hidden="false" customHeight="false" outlineLevel="0" collapsed="false">
      <c r="A70" s="17"/>
      <c r="B70" s="17"/>
      <c r="C70" s="17"/>
    </row>
    <row r="71" customFormat="false" ht="12" hidden="false" customHeight="false" outlineLevel="0" collapsed="false">
      <c r="A71" s="17"/>
      <c r="B71" s="17"/>
      <c r="C71" s="17"/>
    </row>
    <row r="72" customFormat="false" ht="12" hidden="false" customHeight="false" outlineLevel="0" collapsed="false">
      <c r="A72" s="17"/>
      <c r="B72" s="17"/>
      <c r="C72" s="17"/>
    </row>
    <row r="73" customFormat="false" ht="12" hidden="false" customHeight="false" outlineLevel="0" collapsed="false">
      <c r="A73" s="17"/>
      <c r="B73" s="17"/>
      <c r="C73" s="17"/>
    </row>
    <row r="74" customFormat="false" ht="12" hidden="false" customHeight="false" outlineLevel="0" collapsed="false">
      <c r="A74" s="17"/>
      <c r="B74" s="17"/>
      <c r="C74" s="17"/>
    </row>
    <row r="75" customFormat="false" ht="12" hidden="false" customHeight="false" outlineLevel="0" collapsed="false">
      <c r="A75" s="17"/>
      <c r="B75" s="17"/>
      <c r="C75" s="17"/>
    </row>
    <row r="76" customFormat="false" ht="12" hidden="false" customHeight="false" outlineLevel="0" collapsed="false">
      <c r="A76" s="17"/>
      <c r="B76" s="17"/>
      <c r="C76" s="17"/>
    </row>
    <row r="77" customFormat="false" ht="12" hidden="false" customHeight="false" outlineLevel="0" collapsed="false">
      <c r="A77" s="17"/>
      <c r="B77" s="17"/>
      <c r="C77" s="17"/>
    </row>
    <row r="78" customFormat="false" ht="12" hidden="false" customHeight="false" outlineLevel="0" collapsed="false">
      <c r="A78" s="17"/>
      <c r="B78" s="17"/>
      <c r="C78" s="17"/>
    </row>
    <row r="79" customFormat="false" ht="12" hidden="false" customHeight="false" outlineLevel="0" collapsed="false">
      <c r="A79" s="17"/>
      <c r="B79" s="17"/>
      <c r="C79" s="17"/>
    </row>
    <row r="80" customFormat="false" ht="12" hidden="false" customHeight="false" outlineLevel="0" collapsed="false">
      <c r="A80" s="17"/>
      <c r="B80" s="17"/>
      <c r="C80" s="17"/>
    </row>
    <row r="81" customFormat="false" ht="12" hidden="false" customHeight="false" outlineLevel="0" collapsed="false">
      <c r="A81" s="17"/>
      <c r="B81" s="17"/>
      <c r="C81" s="17"/>
    </row>
    <row r="82" customFormat="false" ht="12" hidden="false" customHeight="false" outlineLevel="0" collapsed="false">
      <c r="A82" s="17"/>
      <c r="B82" s="17"/>
      <c r="C82" s="17"/>
    </row>
    <row r="83" customFormat="false" ht="12" hidden="false" customHeight="false" outlineLevel="0" collapsed="false">
      <c r="A83" s="17"/>
      <c r="B83" s="17"/>
      <c r="C83" s="17"/>
    </row>
    <row r="84" customFormat="false" ht="12" hidden="false" customHeight="false" outlineLevel="0" collapsed="false">
      <c r="A84" s="17"/>
      <c r="B84" s="17"/>
      <c r="C84" s="17"/>
    </row>
    <row r="85" customFormat="false" ht="12" hidden="false" customHeight="false" outlineLevel="0" collapsed="false">
      <c r="A85" s="17"/>
      <c r="B85" s="17"/>
      <c r="C85" s="17"/>
    </row>
    <row r="86" customFormat="false" ht="12" hidden="false" customHeight="false" outlineLevel="0" collapsed="false">
      <c r="A86" s="17"/>
      <c r="B86" s="17"/>
      <c r="C86" s="17"/>
    </row>
    <row r="87" customFormat="false" ht="12" hidden="false" customHeight="false" outlineLevel="0" collapsed="false">
      <c r="A87" s="17"/>
      <c r="B87" s="17"/>
      <c r="C87" s="17"/>
    </row>
    <row r="88" customFormat="false" ht="12" hidden="false" customHeight="false" outlineLevel="0" collapsed="false">
      <c r="A88" s="17"/>
      <c r="B88" s="17"/>
      <c r="C88" s="17"/>
    </row>
    <row r="89" customFormat="false" ht="12" hidden="false" customHeight="false" outlineLevel="0" collapsed="false">
      <c r="A89" s="17"/>
      <c r="B89" s="17"/>
      <c r="C89" s="17"/>
    </row>
    <row r="90" customFormat="false" ht="12" hidden="false" customHeight="false" outlineLevel="0" collapsed="false">
      <c r="A90" s="17"/>
      <c r="B90" s="17"/>
      <c r="C90" s="17"/>
    </row>
    <row r="91" customFormat="false" ht="12" hidden="false" customHeight="false" outlineLevel="0" collapsed="false">
      <c r="A91" s="17"/>
      <c r="B91" s="17"/>
      <c r="C91" s="17"/>
    </row>
    <row r="92" customFormat="false" ht="12" hidden="false" customHeight="false" outlineLevel="0" collapsed="false">
      <c r="A92" s="17"/>
      <c r="B92" s="17"/>
      <c r="C92" s="17"/>
    </row>
    <row r="93" customFormat="false" ht="12" hidden="false" customHeight="false" outlineLevel="0" collapsed="false">
      <c r="A93" s="17"/>
      <c r="B93" s="17"/>
      <c r="C93" s="17"/>
    </row>
    <row r="94" customFormat="false" ht="12" hidden="false" customHeight="false" outlineLevel="0" collapsed="false">
      <c r="A94" s="17"/>
      <c r="B94" s="17"/>
      <c r="C94" s="17"/>
    </row>
    <row r="95" customFormat="false" ht="12" hidden="false" customHeight="false" outlineLevel="0" collapsed="false">
      <c r="A95" s="17"/>
      <c r="B95" s="17"/>
      <c r="C95" s="17"/>
    </row>
    <row r="96" customFormat="false" ht="12" hidden="false" customHeight="false" outlineLevel="0" collapsed="false">
      <c r="A96" s="17"/>
      <c r="B96" s="17"/>
      <c r="C96" s="17"/>
    </row>
    <row r="97" customFormat="false" ht="12" hidden="false" customHeight="false" outlineLevel="0" collapsed="false">
      <c r="A97" s="17"/>
      <c r="B97" s="17"/>
      <c r="C97" s="17"/>
    </row>
    <row r="98" customFormat="false" ht="12" hidden="false" customHeight="false" outlineLevel="0" collapsed="false">
      <c r="A98" s="17"/>
      <c r="B98" s="17"/>
      <c r="C98" s="17"/>
    </row>
    <row r="99" customFormat="false" ht="12" hidden="false" customHeight="false" outlineLevel="0" collapsed="false">
      <c r="A99" s="17"/>
      <c r="B99" s="17"/>
      <c r="C99" s="17"/>
    </row>
    <row r="100" customFormat="false" ht="12" hidden="false" customHeight="false" outlineLevel="0" collapsed="false">
      <c r="A100" s="17"/>
      <c r="B100" s="17"/>
      <c r="C100" s="17"/>
    </row>
    <row r="101" customFormat="false" ht="12" hidden="false" customHeight="false" outlineLevel="0" collapsed="false">
      <c r="A101" s="17"/>
      <c r="B101" s="17"/>
      <c r="C101" s="17"/>
    </row>
    <row r="102" customFormat="false" ht="12" hidden="false" customHeight="false" outlineLevel="0" collapsed="false">
      <c r="A102" s="17"/>
      <c r="B102" s="17"/>
      <c r="C102" s="17"/>
    </row>
    <row r="103" customFormat="false" ht="12" hidden="false" customHeight="false" outlineLevel="0" collapsed="false">
      <c r="A103" s="17"/>
      <c r="B103" s="17"/>
      <c r="C103" s="17"/>
    </row>
    <row r="104" customFormat="false" ht="12" hidden="false" customHeight="false" outlineLevel="0" collapsed="false">
      <c r="A104" s="17"/>
      <c r="B104" s="17"/>
      <c r="C104" s="17"/>
    </row>
    <row r="105" customFormat="false" ht="12" hidden="false" customHeight="false" outlineLevel="0" collapsed="false">
      <c r="A105" s="17"/>
      <c r="B105" s="17"/>
      <c r="C105" s="17"/>
    </row>
    <row r="106" customFormat="false" ht="12" hidden="false" customHeight="false" outlineLevel="0" collapsed="false">
      <c r="A106" s="17"/>
      <c r="B106" s="17"/>
      <c r="C106" s="17"/>
    </row>
    <row r="107" customFormat="false" ht="12" hidden="false" customHeight="false" outlineLevel="0" collapsed="false">
      <c r="A107" s="17"/>
      <c r="B107" s="17"/>
      <c r="C107" s="17"/>
    </row>
    <row r="108" customFormat="false" ht="12" hidden="false" customHeight="false" outlineLevel="0" collapsed="false">
      <c r="A108" s="17"/>
      <c r="B108" s="17"/>
      <c r="C108" s="17"/>
    </row>
    <row r="109" customFormat="false" ht="12" hidden="false" customHeight="false" outlineLevel="0" collapsed="false">
      <c r="A109" s="17"/>
      <c r="B109" s="17"/>
      <c r="C109" s="17"/>
    </row>
    <row r="110" customFormat="false" ht="12" hidden="false" customHeight="false" outlineLevel="0" collapsed="false">
      <c r="A110" s="17"/>
      <c r="B110" s="17"/>
      <c r="C110" s="17"/>
    </row>
    <row r="111" customFormat="false" ht="12" hidden="false" customHeight="false" outlineLevel="0" collapsed="false">
      <c r="A111" s="17"/>
      <c r="B111" s="17"/>
      <c r="C111" s="17"/>
    </row>
    <row r="112" customFormat="false" ht="12" hidden="false" customHeight="false" outlineLevel="0" collapsed="false">
      <c r="A112" s="17"/>
      <c r="B112" s="17"/>
      <c r="C112" s="17"/>
    </row>
    <row r="113" customFormat="false" ht="12" hidden="false" customHeight="false" outlineLevel="0" collapsed="false">
      <c r="A113" s="17"/>
      <c r="B113" s="17"/>
      <c r="C113" s="17"/>
    </row>
    <row r="114" customFormat="false" ht="12" hidden="false" customHeight="false" outlineLevel="0" collapsed="false">
      <c r="A114" s="17"/>
      <c r="B114" s="17"/>
      <c r="C114" s="17"/>
    </row>
    <row r="115" customFormat="false" ht="12" hidden="false" customHeight="false" outlineLevel="0" collapsed="false">
      <c r="A115" s="17"/>
      <c r="B115" s="17"/>
      <c r="C115" s="17"/>
    </row>
    <row r="116" customFormat="false" ht="12" hidden="false" customHeight="false" outlineLevel="0" collapsed="false">
      <c r="A116" s="17"/>
      <c r="B116" s="17"/>
      <c r="C116" s="17"/>
    </row>
    <row r="117" customFormat="false" ht="12" hidden="false" customHeight="false" outlineLevel="0" collapsed="false">
      <c r="A117" s="17"/>
      <c r="B117" s="17"/>
      <c r="C117" s="17"/>
    </row>
    <row r="118" customFormat="false" ht="12" hidden="false" customHeight="false" outlineLevel="0" collapsed="false">
      <c r="A118" s="17"/>
      <c r="B118" s="17"/>
      <c r="C118" s="17"/>
    </row>
    <row r="119" customFormat="false" ht="12" hidden="false" customHeight="false" outlineLevel="0" collapsed="false">
      <c r="A119" s="17"/>
      <c r="B119" s="17"/>
      <c r="C119" s="17"/>
    </row>
    <row r="120" customFormat="false" ht="12" hidden="false" customHeight="false" outlineLevel="0" collapsed="false">
      <c r="A120" s="17"/>
      <c r="B120" s="17"/>
      <c r="C120" s="17"/>
    </row>
    <row r="121" customFormat="false" ht="12" hidden="false" customHeight="false" outlineLevel="0" collapsed="false">
      <c r="A121" s="17"/>
      <c r="B121" s="17"/>
      <c r="C121" s="17"/>
    </row>
    <row r="122" customFormat="false" ht="12" hidden="false" customHeight="false" outlineLevel="0" collapsed="false">
      <c r="A122" s="17"/>
      <c r="B122" s="17"/>
      <c r="C122" s="17"/>
    </row>
    <row r="123" customFormat="false" ht="12" hidden="false" customHeight="false" outlineLevel="0" collapsed="false">
      <c r="A123" s="17"/>
      <c r="B123" s="17"/>
      <c r="C123" s="17"/>
    </row>
    <row r="124" customFormat="false" ht="12" hidden="false" customHeight="false" outlineLevel="0" collapsed="false">
      <c r="A124" s="17"/>
      <c r="B124" s="17"/>
      <c r="C124" s="17"/>
    </row>
    <row r="125" customFormat="false" ht="12" hidden="false" customHeight="false" outlineLevel="0" collapsed="false">
      <c r="A125" s="17"/>
      <c r="B125" s="17"/>
      <c r="C125" s="17"/>
    </row>
    <row r="126" customFormat="false" ht="12" hidden="false" customHeight="false" outlineLevel="0" collapsed="false">
      <c r="A126" s="17"/>
      <c r="B126" s="17"/>
      <c r="C126" s="17"/>
    </row>
    <row r="127" customFormat="false" ht="12" hidden="false" customHeight="false" outlineLevel="0" collapsed="false">
      <c r="A127" s="17"/>
      <c r="B127" s="17"/>
      <c r="C127" s="17"/>
    </row>
    <row r="128" customFormat="false" ht="12" hidden="false" customHeight="false" outlineLevel="0" collapsed="false">
      <c r="A128" s="17"/>
      <c r="B128" s="17"/>
      <c r="C128" s="17"/>
    </row>
    <row r="129" customFormat="false" ht="12" hidden="false" customHeight="false" outlineLevel="0" collapsed="false">
      <c r="A129" s="17"/>
      <c r="B129" s="17"/>
      <c r="C129" s="17"/>
    </row>
    <row r="130" customFormat="false" ht="12" hidden="false" customHeight="false" outlineLevel="0" collapsed="false">
      <c r="A130" s="17"/>
      <c r="B130" s="17"/>
      <c r="C130" s="17"/>
    </row>
    <row r="131" customFormat="false" ht="12" hidden="false" customHeight="false" outlineLevel="0" collapsed="false">
      <c r="A131" s="17"/>
      <c r="B131" s="17"/>
      <c r="C131" s="17"/>
    </row>
    <row r="132" customFormat="false" ht="12" hidden="false" customHeight="false" outlineLevel="0" collapsed="false">
      <c r="A132" s="17"/>
      <c r="B132" s="17"/>
      <c r="C132" s="17"/>
    </row>
    <row r="133" customFormat="false" ht="12" hidden="false" customHeight="false" outlineLevel="0" collapsed="false">
      <c r="A133" s="17"/>
      <c r="B133" s="17"/>
      <c r="C133" s="17"/>
    </row>
    <row r="134" customFormat="false" ht="12" hidden="false" customHeight="false" outlineLevel="0" collapsed="false">
      <c r="A134" s="17"/>
      <c r="B134" s="17"/>
      <c r="C134" s="17"/>
    </row>
    <row r="135" customFormat="false" ht="12" hidden="false" customHeight="false" outlineLevel="0" collapsed="false">
      <c r="A135" s="17"/>
      <c r="B135" s="17"/>
      <c r="C135" s="17"/>
    </row>
    <row r="136" customFormat="false" ht="12" hidden="false" customHeight="false" outlineLevel="0" collapsed="false">
      <c r="A136" s="17"/>
      <c r="B136" s="17"/>
      <c r="C136" s="17"/>
    </row>
    <row r="137" customFormat="false" ht="12" hidden="false" customHeight="false" outlineLevel="0" collapsed="false">
      <c r="A137" s="17"/>
      <c r="B137" s="17"/>
      <c r="C137" s="17"/>
    </row>
    <row r="138" customFormat="false" ht="12" hidden="false" customHeight="false" outlineLevel="0" collapsed="false">
      <c r="A138" s="17"/>
      <c r="B138" s="17"/>
      <c r="C138" s="17"/>
    </row>
    <row r="139" customFormat="false" ht="12" hidden="false" customHeight="false" outlineLevel="0" collapsed="false">
      <c r="A139" s="17"/>
      <c r="B139" s="17"/>
      <c r="C139" s="1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&amp;RAnnex C</oddHeader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R6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5" activeCellId="0" sqref="A25"/>
    </sheetView>
  </sheetViews>
  <sheetFormatPr defaultColWidth="9.05078125" defaultRowHeight="12" zeroHeight="false" outlineLevelRow="0" outlineLevelCol="0"/>
  <cols>
    <col collapsed="false" customWidth="true" hidden="false" outlineLevel="0" max="2" min="2" style="0" width="3.61"/>
    <col collapsed="false" customWidth="true" hidden="false" outlineLevel="0" max="3" min="3" style="0" width="16.97"/>
    <col collapsed="false" customWidth="true" hidden="false" outlineLevel="0" max="9" min="8" style="0" width="9.73"/>
    <col collapsed="false" customWidth="true" hidden="false" outlineLevel="0" max="10" min="10" style="0" width="7.35"/>
    <col collapsed="false" customWidth="true" hidden="false" outlineLevel="0" max="11" min="11" style="0" width="6.73"/>
    <col collapsed="false" customWidth="true" hidden="false" outlineLevel="0" max="12" min="12" style="0" width="17.46"/>
  </cols>
  <sheetData>
    <row r="1" customFormat="false" ht="12.75" hidden="false" customHeight="false" outlineLevel="0" collapsed="false">
      <c r="A1" s="11" t="s">
        <v>0</v>
      </c>
      <c r="B1" s="11"/>
      <c r="C1" s="11"/>
      <c r="D1" s="12"/>
      <c r="E1" s="12"/>
      <c r="F1" s="12"/>
      <c r="G1" s="12"/>
      <c r="H1" s="24"/>
      <c r="I1" s="12"/>
      <c r="J1" s="12"/>
      <c r="K1" s="12"/>
      <c r="L1" s="12"/>
      <c r="M1" s="12"/>
      <c r="N1" s="25"/>
      <c r="O1" s="26"/>
      <c r="P1" s="25"/>
      <c r="Q1" s="26"/>
      <c r="R1" s="26"/>
    </row>
    <row r="2" customFormat="false" ht="12.75" hidden="false" customHeight="false" outlineLevel="0" collapsed="false">
      <c r="A2" s="12"/>
      <c r="B2" s="12"/>
      <c r="C2" s="12"/>
      <c r="D2" s="12"/>
      <c r="E2" s="12"/>
      <c r="F2" s="12"/>
      <c r="G2" s="12"/>
      <c r="H2" s="24"/>
      <c r="I2" s="12"/>
      <c r="J2" s="12"/>
      <c r="K2" s="12"/>
      <c r="L2" s="12"/>
      <c r="M2" s="12"/>
      <c r="N2" s="25"/>
      <c r="O2" s="26"/>
      <c r="P2" s="25"/>
      <c r="Q2" s="26"/>
      <c r="R2" s="26"/>
    </row>
    <row r="3" customFormat="false" ht="12.75" hidden="false" customHeight="false" outlineLevel="0" collapsed="false">
      <c r="A3" s="13" t="s">
        <v>18</v>
      </c>
      <c r="B3" s="14" t="n">
        <v>1</v>
      </c>
      <c r="C3" s="1" t="s">
        <v>19</v>
      </c>
      <c r="D3" s="12"/>
      <c r="E3" s="12"/>
      <c r="F3" s="12"/>
      <c r="G3" s="12"/>
      <c r="H3" s="24"/>
      <c r="I3" s="12"/>
      <c r="J3" s="12"/>
      <c r="K3" s="12"/>
      <c r="L3" s="12"/>
      <c r="M3" s="19"/>
      <c r="N3" s="25"/>
      <c r="O3" s="26"/>
      <c r="P3" s="25"/>
      <c r="Q3" s="26"/>
      <c r="R3" s="26"/>
    </row>
    <row r="4" customFormat="false" ht="63.75" hidden="false" customHeight="false" outlineLevel="0" collapsed="false">
      <c r="A4" s="27" t="s">
        <v>20</v>
      </c>
      <c r="B4" s="27"/>
      <c r="C4" s="27"/>
      <c r="D4" s="12"/>
      <c r="E4" s="12"/>
      <c r="F4" s="12"/>
      <c r="G4" s="12"/>
      <c r="H4" s="28" t="s">
        <v>21</v>
      </c>
      <c r="I4" s="29" t="s">
        <v>22</v>
      </c>
      <c r="J4" s="30" t="s">
        <v>23</v>
      </c>
      <c r="K4" s="29" t="s">
        <v>24</v>
      </c>
      <c r="L4" s="29" t="s">
        <v>25</v>
      </c>
      <c r="M4" s="31"/>
      <c r="N4" s="25"/>
      <c r="O4" s="26"/>
      <c r="P4" s="25"/>
      <c r="Q4" s="26"/>
      <c r="R4" s="26"/>
    </row>
    <row r="5" customFormat="false" ht="12.75" hidden="false" customHeight="false" outlineLevel="0" collapsed="false">
      <c r="A5" s="17"/>
      <c r="B5" s="12"/>
      <c r="C5" s="12" t="s">
        <v>5</v>
      </c>
      <c r="D5" s="32" t="s">
        <v>26</v>
      </c>
      <c r="E5" s="12"/>
      <c r="F5" s="12"/>
      <c r="G5" s="12"/>
      <c r="H5" s="33" t="s">
        <v>27</v>
      </c>
      <c r="I5" s="33" t="s">
        <v>27</v>
      </c>
      <c r="J5" s="33"/>
      <c r="K5" s="33"/>
      <c r="L5" s="34"/>
      <c r="M5" s="12"/>
      <c r="N5" s="25"/>
      <c r="O5" s="26"/>
      <c r="P5" s="25"/>
      <c r="Q5" s="26"/>
      <c r="R5" s="26"/>
    </row>
    <row r="6" customFormat="false" ht="12.75" hidden="false" customHeight="false" outlineLevel="0" collapsed="false">
      <c r="A6" s="17"/>
      <c r="B6" s="12"/>
      <c r="C6" s="12" t="s">
        <v>6</v>
      </c>
      <c r="D6" s="32" t="s">
        <v>28</v>
      </c>
      <c r="E6" s="12"/>
      <c r="F6" s="12"/>
      <c r="G6" s="12"/>
      <c r="H6" s="35" t="s">
        <v>29</v>
      </c>
      <c r="I6" s="35" t="s">
        <v>29</v>
      </c>
      <c r="J6" s="35" t="s">
        <v>29</v>
      </c>
      <c r="K6" s="35" t="s">
        <v>30</v>
      </c>
      <c r="L6" s="36"/>
      <c r="M6" s="12"/>
      <c r="N6" s="25"/>
      <c r="O6" s="26"/>
      <c r="P6" s="25"/>
      <c r="Q6" s="26"/>
      <c r="R6" s="26"/>
    </row>
    <row r="7" customFormat="false" ht="12.75" hidden="false" customHeight="false" outlineLevel="0" collapsed="false">
      <c r="A7" s="12"/>
      <c r="B7" s="12"/>
      <c r="C7" s="12"/>
      <c r="D7" s="12"/>
      <c r="E7" s="12"/>
      <c r="F7" s="12"/>
      <c r="G7" s="12"/>
      <c r="H7" s="37"/>
      <c r="I7" s="38"/>
      <c r="J7" s="38"/>
      <c r="K7" s="38"/>
      <c r="L7" s="39"/>
      <c r="M7" s="12"/>
      <c r="N7" s="25"/>
      <c r="O7" s="26"/>
      <c r="P7" s="25"/>
      <c r="Q7" s="26"/>
      <c r="R7" s="26"/>
    </row>
    <row r="8" customFormat="false" ht="12.75" hidden="false" customHeight="false" outlineLevel="0" collapsed="false">
      <c r="A8" s="12"/>
      <c r="B8" s="12"/>
      <c r="C8" s="22" t="s">
        <v>31</v>
      </c>
      <c r="D8" s="11"/>
      <c r="E8" s="12"/>
      <c r="F8" s="12"/>
      <c r="G8" s="12"/>
      <c r="H8" s="37"/>
      <c r="I8" s="38"/>
      <c r="J8" s="38"/>
      <c r="K8" s="38"/>
      <c r="L8" s="39"/>
      <c r="M8" s="12"/>
      <c r="N8" s="25"/>
      <c r="O8" s="26"/>
      <c r="P8" s="25"/>
      <c r="Q8" s="26"/>
      <c r="R8" s="26"/>
    </row>
    <row r="9" customFormat="false" ht="12.75" hidden="false" customHeight="false" outlineLevel="0" collapsed="false">
      <c r="A9" s="17"/>
      <c r="B9" s="12" t="n">
        <v>1</v>
      </c>
      <c r="C9" s="11" t="s">
        <v>32</v>
      </c>
      <c r="D9" s="11"/>
      <c r="E9" s="12"/>
      <c r="F9" s="12"/>
      <c r="G9" s="12"/>
      <c r="H9" s="40" t="n">
        <v>0</v>
      </c>
      <c r="I9" s="41" t="n">
        <v>0</v>
      </c>
      <c r="J9" s="42" t="n">
        <f aca="false">I9-H9</f>
        <v>0</v>
      </c>
      <c r="K9" s="43" t="str">
        <f aca="false">IF(H9=0,"N/A",(J9/H9)*100)</f>
        <v>N/A</v>
      </c>
      <c r="L9" s="39"/>
      <c r="M9" s="12"/>
      <c r="N9" s="25"/>
      <c r="O9" s="26"/>
      <c r="P9" s="25"/>
      <c r="Q9" s="25"/>
      <c r="R9" s="25"/>
    </row>
    <row r="10" customFormat="false" ht="12.75" hidden="false" customHeight="false" outlineLevel="0" collapsed="false">
      <c r="A10" s="17"/>
      <c r="B10" s="12" t="n">
        <v>2</v>
      </c>
      <c r="C10" s="11" t="s">
        <v>33</v>
      </c>
      <c r="D10" s="11"/>
      <c r="E10" s="12"/>
      <c r="F10" s="12"/>
      <c r="G10" s="12"/>
      <c r="H10" s="40" t="n">
        <v>0</v>
      </c>
      <c r="I10" s="41" t="n">
        <v>0</v>
      </c>
      <c r="J10" s="42" t="n">
        <f aca="false">I10-H10</f>
        <v>0</v>
      </c>
      <c r="K10" s="43" t="str">
        <f aca="false">IF(H10=0,"N/A",(J10/H10)*100)</f>
        <v>N/A</v>
      </c>
      <c r="L10" s="39"/>
      <c r="M10" s="12"/>
      <c r="N10" s="25"/>
      <c r="O10" s="26"/>
      <c r="P10" s="25"/>
      <c r="Q10" s="25"/>
      <c r="R10" s="25"/>
    </row>
    <row r="11" customFormat="false" ht="12.75" hidden="false" customHeight="false" outlineLevel="0" collapsed="false">
      <c r="A11" s="17"/>
      <c r="B11" s="12" t="n">
        <v>3</v>
      </c>
      <c r="C11" s="11" t="s">
        <v>34</v>
      </c>
      <c r="D11" s="11"/>
      <c r="E11" s="12"/>
      <c r="F11" s="12"/>
      <c r="G11" s="12"/>
      <c r="H11" s="40" t="n">
        <v>0</v>
      </c>
      <c r="I11" s="41" t="n">
        <v>0</v>
      </c>
      <c r="J11" s="42" t="n">
        <f aca="false">I11-H11</f>
        <v>0</v>
      </c>
      <c r="K11" s="43" t="str">
        <f aca="false">IF(H11=0,"N/A",(J11/H11)*100)</f>
        <v>N/A</v>
      </c>
      <c r="L11" s="39"/>
      <c r="M11" s="12"/>
      <c r="N11" s="25"/>
      <c r="O11" s="26"/>
      <c r="P11" s="25"/>
      <c r="Q11" s="25"/>
      <c r="R11" s="25"/>
    </row>
    <row r="12" customFormat="false" ht="12.75" hidden="false" customHeight="false" outlineLevel="0" collapsed="false">
      <c r="A12" s="17"/>
      <c r="B12" s="12" t="n">
        <v>4</v>
      </c>
      <c r="C12" s="11" t="s">
        <v>35</v>
      </c>
      <c r="D12" s="11"/>
      <c r="E12" s="12"/>
      <c r="F12" s="12"/>
      <c r="G12" s="12"/>
      <c r="H12" s="40" t="n">
        <v>0</v>
      </c>
      <c r="I12" s="41" t="n">
        <v>0</v>
      </c>
      <c r="J12" s="42" t="n">
        <f aca="false">I12-H12</f>
        <v>0</v>
      </c>
      <c r="K12" s="43" t="str">
        <f aca="false">IF(H12=0,"N/A",(J12/H12)*100)</f>
        <v>N/A</v>
      </c>
      <c r="L12" s="39"/>
      <c r="M12" s="12"/>
      <c r="N12" s="25"/>
      <c r="O12" s="26"/>
      <c r="P12" s="25"/>
      <c r="Q12" s="25"/>
      <c r="R12" s="25"/>
    </row>
    <row r="13" customFormat="false" ht="12.75" hidden="false" customHeight="false" outlineLevel="0" collapsed="false">
      <c r="A13" s="17"/>
      <c r="B13" s="12" t="n">
        <v>5</v>
      </c>
      <c r="C13" s="11" t="s">
        <v>36</v>
      </c>
      <c r="D13" s="11"/>
      <c r="E13" s="12"/>
      <c r="F13" s="12"/>
      <c r="G13" s="12"/>
      <c r="H13" s="40" t="n">
        <v>0</v>
      </c>
      <c r="I13" s="41" t="n">
        <v>0</v>
      </c>
      <c r="J13" s="42" t="n">
        <f aca="false">I13-H13</f>
        <v>0</v>
      </c>
      <c r="K13" s="43" t="str">
        <f aca="false">IF(H13=0,"N/A",(J13/H13)*100)</f>
        <v>N/A</v>
      </c>
      <c r="L13" s="39"/>
      <c r="M13" s="12"/>
      <c r="N13" s="25"/>
      <c r="O13" s="26"/>
      <c r="P13" s="25"/>
      <c r="Q13" s="25"/>
      <c r="R13" s="25"/>
    </row>
    <row r="14" customFormat="false" ht="12.75" hidden="false" customHeight="false" outlineLevel="0" collapsed="false">
      <c r="A14" s="17"/>
      <c r="B14" s="12" t="n">
        <v>6</v>
      </c>
      <c r="C14" s="11" t="s">
        <v>37</v>
      </c>
      <c r="D14" s="11"/>
      <c r="E14" s="12"/>
      <c r="F14" s="12"/>
      <c r="G14" s="12"/>
      <c r="H14" s="44" t="n">
        <v>0</v>
      </c>
      <c r="I14" s="41" t="n">
        <v>0</v>
      </c>
      <c r="J14" s="42" t="n">
        <f aca="false">I14-H14</f>
        <v>0</v>
      </c>
      <c r="K14" s="43" t="str">
        <f aca="false">IF(H14=0,"N/A",(J14/H14)*100)</f>
        <v>N/A</v>
      </c>
      <c r="L14" s="39"/>
      <c r="M14" s="12"/>
      <c r="N14" s="25"/>
      <c r="O14" s="26"/>
      <c r="P14" s="25"/>
      <c r="Q14" s="25"/>
      <c r="R14" s="25"/>
    </row>
    <row r="15" customFormat="false" ht="12.75" hidden="false" customHeight="false" outlineLevel="0" collapsed="false">
      <c r="A15" s="17"/>
      <c r="B15" s="12" t="n">
        <v>7</v>
      </c>
      <c r="C15" s="11" t="s">
        <v>38</v>
      </c>
      <c r="D15" s="11"/>
      <c r="E15" s="12"/>
      <c r="F15" s="12"/>
      <c r="G15" s="12"/>
      <c r="H15" s="45" t="n">
        <f aca="false">SUM(H9:H14)</f>
        <v>0</v>
      </c>
      <c r="I15" s="45" t="n">
        <f aca="false">SUM(I9:I14)</f>
        <v>0</v>
      </c>
      <c r="J15" s="45" t="n">
        <f aca="false">I15-H15</f>
        <v>0</v>
      </c>
      <c r="K15" s="46" t="str">
        <f aca="false">IF(H15=0,"N/A",(J15/H15)*100)</f>
        <v>N/A</v>
      </c>
      <c r="L15" s="47"/>
      <c r="M15" s="12"/>
      <c r="N15" s="25"/>
      <c r="O15" s="26"/>
      <c r="P15" s="25"/>
      <c r="Q15" s="25"/>
      <c r="R15" s="25"/>
    </row>
    <row r="16" customFormat="false" ht="12.75" hidden="false" customHeight="false" outlineLevel="0" collapsed="false">
      <c r="A16" s="12"/>
      <c r="B16" s="12"/>
      <c r="C16" s="12"/>
      <c r="D16" s="12"/>
      <c r="E16" s="12"/>
      <c r="F16" s="12"/>
      <c r="G16" s="12"/>
      <c r="H16" s="38"/>
      <c r="I16" s="38"/>
      <c r="J16" s="38"/>
      <c r="K16" s="38"/>
      <c r="L16" s="39"/>
      <c r="M16" s="12"/>
      <c r="N16" s="25"/>
      <c r="O16" s="26"/>
      <c r="P16" s="25"/>
      <c r="Q16" s="25"/>
      <c r="R16" s="25"/>
    </row>
    <row r="17" customFormat="false" ht="12.75" hidden="false" customHeight="false" outlineLevel="0" collapsed="false">
      <c r="A17" s="12"/>
      <c r="B17" s="12"/>
      <c r="C17" s="22" t="s">
        <v>39</v>
      </c>
      <c r="D17" s="11"/>
      <c r="E17" s="12"/>
      <c r="F17" s="12"/>
      <c r="G17" s="12"/>
      <c r="H17" s="38"/>
      <c r="I17" s="38"/>
      <c r="J17" s="38"/>
      <c r="K17" s="38"/>
      <c r="L17" s="39"/>
      <c r="M17" s="12"/>
      <c r="N17" s="25"/>
      <c r="O17" s="26"/>
      <c r="P17" s="25"/>
      <c r="Q17" s="25"/>
      <c r="R17" s="25"/>
    </row>
    <row r="18" customFormat="false" ht="12.75" hidden="false" customHeight="false" outlineLevel="0" collapsed="false">
      <c r="A18" s="17"/>
      <c r="B18" s="12" t="n">
        <f aca="false">B15+1</f>
        <v>8</v>
      </c>
      <c r="C18" s="11" t="s">
        <v>40</v>
      </c>
      <c r="D18" s="11"/>
      <c r="E18" s="12"/>
      <c r="F18" s="12"/>
      <c r="G18" s="12"/>
      <c r="H18" s="40" t="n">
        <v>0</v>
      </c>
      <c r="I18" s="41" t="n">
        <v>0</v>
      </c>
      <c r="J18" s="42" t="n">
        <f aca="false">I18-H18</f>
        <v>0</v>
      </c>
      <c r="K18" s="43" t="str">
        <f aca="false">IF(H18=0,"N/A",(J18/H18)*100)</f>
        <v>N/A</v>
      </c>
      <c r="L18" s="39"/>
      <c r="M18" s="12"/>
      <c r="N18" s="25"/>
      <c r="O18" s="26"/>
      <c r="P18" s="25"/>
      <c r="Q18" s="25"/>
      <c r="R18" s="25"/>
    </row>
    <row r="19" customFormat="false" ht="12.75" hidden="false" customHeight="false" outlineLevel="0" collapsed="false">
      <c r="A19" s="17"/>
      <c r="B19" s="12" t="n">
        <f aca="false">B18+1</f>
        <v>9</v>
      </c>
      <c r="C19" s="11" t="s">
        <v>41</v>
      </c>
      <c r="D19" s="11"/>
      <c r="E19" s="12"/>
      <c r="F19" s="12"/>
      <c r="G19" s="12"/>
      <c r="H19" s="40" t="n">
        <v>0</v>
      </c>
      <c r="I19" s="41" t="n">
        <v>0</v>
      </c>
      <c r="J19" s="42" t="n">
        <f aca="false">I19-H19</f>
        <v>0</v>
      </c>
      <c r="K19" s="43" t="str">
        <f aca="false">IF(H19=0,"N/A",(J19/H19)*100)</f>
        <v>N/A</v>
      </c>
      <c r="L19" s="39"/>
      <c r="M19" s="12"/>
      <c r="N19" s="25"/>
      <c r="O19" s="26"/>
      <c r="P19" s="25"/>
      <c r="Q19" s="25"/>
      <c r="R19" s="25"/>
    </row>
    <row r="20" customFormat="false" ht="12.75" hidden="false" customHeight="false" outlineLevel="0" collapsed="false">
      <c r="A20" s="17"/>
      <c r="B20" s="12" t="n">
        <v>10</v>
      </c>
      <c r="C20" s="11" t="s">
        <v>42</v>
      </c>
      <c r="D20" s="11"/>
      <c r="E20" s="12"/>
      <c r="F20" s="12"/>
      <c r="G20" s="12"/>
      <c r="H20" s="40" t="n">
        <v>0</v>
      </c>
      <c r="I20" s="41" t="n">
        <v>0</v>
      </c>
      <c r="J20" s="42" t="n">
        <f aca="false">I20-H20</f>
        <v>0</v>
      </c>
      <c r="K20" s="43" t="str">
        <f aca="false">IF(H20=0,"N/A",(J20/H20)*100)</f>
        <v>N/A</v>
      </c>
      <c r="L20" s="39"/>
      <c r="M20" s="12"/>
      <c r="N20" s="25"/>
      <c r="O20" s="26"/>
      <c r="P20" s="25"/>
      <c r="Q20" s="25"/>
      <c r="R20" s="25"/>
    </row>
    <row r="21" customFormat="false" ht="12.75" hidden="false" customHeight="false" outlineLevel="0" collapsed="false">
      <c r="A21" s="17"/>
      <c r="B21" s="12" t="n">
        <f aca="false">B20+1</f>
        <v>11</v>
      </c>
      <c r="C21" s="11" t="s">
        <v>43</v>
      </c>
      <c r="D21" s="11"/>
      <c r="E21" s="12"/>
      <c r="F21" s="12"/>
      <c r="G21" s="12"/>
      <c r="H21" s="40" t="n">
        <v>0</v>
      </c>
      <c r="I21" s="41" t="n">
        <v>0</v>
      </c>
      <c r="J21" s="42" t="n">
        <f aca="false">I21-H21</f>
        <v>0</v>
      </c>
      <c r="K21" s="43" t="str">
        <f aca="false">IF(H21=0,"N/A",(J21/H21)*100)</f>
        <v>N/A</v>
      </c>
      <c r="L21" s="39"/>
      <c r="M21" s="12"/>
      <c r="N21" s="25"/>
      <c r="O21" s="26"/>
      <c r="P21" s="25"/>
      <c r="Q21" s="25"/>
      <c r="R21" s="25"/>
    </row>
    <row r="22" customFormat="false" ht="12.75" hidden="false" customHeight="false" outlineLevel="0" collapsed="false">
      <c r="A22" s="17"/>
      <c r="B22" s="12" t="n">
        <f aca="false">B21+1</f>
        <v>12</v>
      </c>
      <c r="C22" s="11" t="s">
        <v>44</v>
      </c>
      <c r="D22" s="11"/>
      <c r="E22" s="12"/>
      <c r="F22" s="12"/>
      <c r="G22" s="12"/>
      <c r="H22" s="40" t="n">
        <v>0</v>
      </c>
      <c r="I22" s="41" t="n">
        <v>0</v>
      </c>
      <c r="J22" s="42" t="n">
        <f aca="false">I22-H22</f>
        <v>0</v>
      </c>
      <c r="K22" s="43" t="str">
        <f aca="false">IF(H22=0,"N/A",(J22/H22)*100)</f>
        <v>N/A</v>
      </c>
      <c r="L22" s="39"/>
      <c r="M22" s="12"/>
      <c r="N22" s="25"/>
      <c r="O22" s="26"/>
      <c r="P22" s="25"/>
      <c r="Q22" s="25"/>
      <c r="R22" s="25"/>
    </row>
    <row r="23" customFormat="false" ht="12.75" hidden="false" customHeight="false" outlineLevel="0" collapsed="false">
      <c r="A23" s="17"/>
      <c r="B23" s="12" t="n">
        <f aca="false">B22+1</f>
        <v>13</v>
      </c>
      <c r="C23" s="11" t="s">
        <v>45</v>
      </c>
      <c r="D23" s="11"/>
      <c r="E23" s="12"/>
      <c r="F23" s="12"/>
      <c r="G23" s="12"/>
      <c r="H23" s="45" t="n">
        <f aca="false">SUM(H18:H22)</f>
        <v>0</v>
      </c>
      <c r="I23" s="45" t="n">
        <f aca="false">SUM(I18:I22)</f>
        <v>0</v>
      </c>
      <c r="J23" s="45" t="n">
        <f aca="false">I23-H23</f>
        <v>0</v>
      </c>
      <c r="K23" s="46" t="str">
        <f aca="false">IF(H23=0,"N/A",(J23/H23)*100)</f>
        <v>N/A</v>
      </c>
      <c r="L23" s="47"/>
      <c r="M23" s="12"/>
      <c r="N23" s="25"/>
      <c r="O23" s="26"/>
      <c r="P23" s="25"/>
      <c r="Q23" s="25"/>
      <c r="R23" s="25"/>
    </row>
    <row r="24" customFormat="false" ht="12.75" hidden="false" customHeight="false" outlineLevel="0" collapsed="false">
      <c r="A24" s="17"/>
      <c r="B24" s="12"/>
      <c r="C24" s="12"/>
      <c r="D24" s="12"/>
      <c r="E24" s="12"/>
      <c r="F24" s="12"/>
      <c r="G24" s="12"/>
      <c r="H24" s="38"/>
      <c r="I24" s="38"/>
      <c r="J24" s="38"/>
      <c r="K24" s="38"/>
      <c r="L24" s="39"/>
      <c r="M24" s="12"/>
      <c r="N24" s="25"/>
      <c r="O24" s="26"/>
      <c r="P24" s="25"/>
      <c r="Q24" s="25"/>
      <c r="R24" s="25"/>
    </row>
    <row r="25" customFormat="false" ht="12.75" hidden="false" customHeight="false" outlineLevel="0" collapsed="false">
      <c r="A25" s="17"/>
      <c r="B25" s="12" t="n">
        <f aca="false">B23+1</f>
        <v>14</v>
      </c>
      <c r="C25" s="11" t="s">
        <v>46</v>
      </c>
      <c r="D25" s="11"/>
      <c r="E25" s="12"/>
      <c r="F25" s="12"/>
      <c r="G25" s="12"/>
      <c r="H25" s="45" t="n">
        <f aca="false">H15-H23</f>
        <v>0</v>
      </c>
      <c r="I25" s="45" t="n">
        <f aca="false">I15-I23</f>
        <v>0</v>
      </c>
      <c r="J25" s="45" t="n">
        <f aca="false">I25-H25</f>
        <v>0</v>
      </c>
      <c r="K25" s="46" t="str">
        <f aca="false">IF(H25=0,"N/A",(J25/H25)*100)</f>
        <v>N/A</v>
      </c>
      <c r="L25" s="47"/>
      <c r="M25" s="12"/>
      <c r="N25" s="25"/>
      <c r="O25" s="26"/>
      <c r="P25" s="25"/>
      <c r="Q25" s="25"/>
      <c r="R25" s="25"/>
    </row>
    <row r="26" customFormat="false" ht="12.75" hidden="false" customHeight="false" outlineLevel="0" collapsed="false">
      <c r="A26" s="12"/>
      <c r="B26" s="12"/>
      <c r="C26" s="11" t="s">
        <v>47</v>
      </c>
      <c r="D26" s="11"/>
      <c r="E26" s="12"/>
      <c r="F26" s="12"/>
      <c r="G26" s="12"/>
      <c r="H26" s="48"/>
      <c r="I26" s="49"/>
      <c r="J26" s="49"/>
      <c r="K26" s="49"/>
      <c r="L26" s="50"/>
      <c r="M26" s="12"/>
      <c r="N26" s="25"/>
      <c r="O26" s="26"/>
      <c r="P26" s="25"/>
      <c r="Q26" s="25"/>
      <c r="R26" s="25"/>
    </row>
    <row r="27" customFormat="false" ht="12.75" hidden="false" customHeight="false" outlineLevel="0" collapsed="false">
      <c r="A27" s="12"/>
      <c r="B27" s="12"/>
      <c r="C27" s="12"/>
      <c r="D27" s="12"/>
      <c r="E27" s="12"/>
      <c r="F27" s="12"/>
      <c r="G27" s="12"/>
      <c r="H27" s="38"/>
      <c r="I27" s="38"/>
      <c r="J27" s="38"/>
      <c r="K27" s="38"/>
      <c r="L27" s="39"/>
      <c r="M27" s="12"/>
      <c r="N27" s="25"/>
      <c r="O27" s="26"/>
      <c r="P27" s="25"/>
      <c r="Q27" s="25"/>
      <c r="R27" s="25"/>
    </row>
    <row r="28" customFormat="false" ht="12.75" hidden="false" customHeight="false" outlineLevel="0" collapsed="false">
      <c r="A28" s="17"/>
      <c r="B28" s="12" t="n">
        <f aca="false">B25+1</f>
        <v>15</v>
      </c>
      <c r="C28" s="11" t="s">
        <v>48</v>
      </c>
      <c r="D28" s="11"/>
      <c r="E28" s="12"/>
      <c r="F28" s="12"/>
      <c r="G28" s="12"/>
      <c r="H28" s="40" t="n">
        <v>0</v>
      </c>
      <c r="I28" s="41" t="n">
        <v>0</v>
      </c>
      <c r="J28" s="42" t="n">
        <f aca="false">I28-H28</f>
        <v>0</v>
      </c>
      <c r="K28" s="43" t="str">
        <f aca="false">IF(H28=0,"N/A",(J28/H28)*100)</f>
        <v>N/A</v>
      </c>
      <c r="L28" s="39"/>
      <c r="M28" s="12"/>
      <c r="N28" s="25"/>
      <c r="O28" s="26"/>
      <c r="P28" s="25"/>
      <c r="Q28" s="25"/>
      <c r="R28" s="25"/>
    </row>
    <row r="29" customFormat="false" ht="12.75" hidden="false" customHeight="false" outlineLevel="0" collapsed="false">
      <c r="A29" s="12"/>
      <c r="B29" s="12" t="n">
        <f aca="false">B28+1</f>
        <v>16</v>
      </c>
      <c r="C29" s="12" t="s">
        <v>49</v>
      </c>
      <c r="D29" s="12"/>
      <c r="E29" s="12"/>
      <c r="F29" s="12"/>
      <c r="G29" s="12"/>
      <c r="H29" s="40" t="n">
        <v>0</v>
      </c>
      <c r="I29" s="41" t="n">
        <v>0</v>
      </c>
      <c r="J29" s="42" t="n">
        <f aca="false">I29-H29</f>
        <v>0</v>
      </c>
      <c r="K29" s="43" t="str">
        <f aca="false">IF(H29=0,"N/A",(J29/H29)*100)</f>
        <v>N/A</v>
      </c>
      <c r="L29" s="39"/>
      <c r="M29" s="12"/>
      <c r="N29" s="25"/>
      <c r="O29" s="26"/>
      <c r="P29" s="25"/>
      <c r="Q29" s="25"/>
      <c r="R29" s="25"/>
    </row>
    <row r="30" customFormat="false" ht="12.75" hidden="false" customHeight="false" outlineLevel="0" collapsed="false">
      <c r="A30" s="12"/>
      <c r="B30" s="12"/>
      <c r="C30" s="12"/>
      <c r="D30" s="12"/>
      <c r="E30" s="12"/>
      <c r="F30" s="12"/>
      <c r="G30" s="12"/>
      <c r="H30" s="51"/>
      <c r="I30" s="38"/>
      <c r="J30" s="38"/>
      <c r="K30" s="38"/>
      <c r="L30" s="39"/>
      <c r="M30" s="12"/>
      <c r="N30" s="25"/>
      <c r="O30" s="26"/>
      <c r="P30" s="25"/>
      <c r="Q30" s="25"/>
      <c r="R30" s="25"/>
    </row>
    <row r="31" customFormat="false" ht="12.75" hidden="false" customHeight="false" outlineLevel="0" collapsed="false">
      <c r="A31" s="12"/>
      <c r="B31" s="12" t="n">
        <f aca="false">B29+840</f>
        <v>856</v>
      </c>
      <c r="C31" s="11" t="s">
        <v>46</v>
      </c>
      <c r="D31" s="12"/>
      <c r="E31" s="12"/>
      <c r="F31" s="12"/>
      <c r="G31" s="12"/>
      <c r="H31" s="45" t="n">
        <f aca="false">H25+H28-H29</f>
        <v>0</v>
      </c>
      <c r="I31" s="45" t="n">
        <f aca="false">I25+I28-I29</f>
        <v>0</v>
      </c>
      <c r="J31" s="45" t="n">
        <f aca="false">I31-H31</f>
        <v>0</v>
      </c>
      <c r="K31" s="46" t="str">
        <f aca="false">IF(H31=0,"N/A",(J31/H31)*100)</f>
        <v>N/A</v>
      </c>
      <c r="L31" s="47"/>
      <c r="M31" s="12"/>
      <c r="N31" s="25"/>
      <c r="O31" s="26"/>
      <c r="P31" s="25"/>
      <c r="Q31" s="25"/>
      <c r="R31" s="25"/>
    </row>
    <row r="32" customFormat="false" ht="12.75" hidden="false" customHeight="false" outlineLevel="0" collapsed="false">
      <c r="A32" s="12"/>
      <c r="B32" s="12"/>
      <c r="C32" s="11" t="s">
        <v>50</v>
      </c>
      <c r="D32" s="12"/>
      <c r="E32" s="12"/>
      <c r="F32" s="12"/>
      <c r="G32" s="12"/>
      <c r="H32" s="38"/>
      <c r="I32" s="38"/>
      <c r="J32" s="38"/>
      <c r="K32" s="38"/>
      <c r="L32" s="39"/>
      <c r="M32" s="12"/>
      <c r="N32" s="25"/>
      <c r="O32" s="26"/>
      <c r="P32" s="25"/>
      <c r="Q32" s="25"/>
      <c r="R32" s="25"/>
    </row>
    <row r="33" customFormat="false" ht="12.75" hidden="false" customHeight="false" outlineLevel="0" collapsed="false">
      <c r="A33" s="12"/>
      <c r="B33" s="12"/>
      <c r="C33" s="12"/>
      <c r="D33" s="12"/>
      <c r="E33" s="12"/>
      <c r="F33" s="12"/>
      <c r="G33" s="12"/>
      <c r="H33" s="38"/>
      <c r="I33" s="38"/>
      <c r="J33" s="38"/>
      <c r="K33" s="38"/>
      <c r="L33" s="39"/>
      <c r="M33" s="12"/>
      <c r="N33" s="25"/>
      <c r="O33" s="26"/>
      <c r="P33" s="25"/>
      <c r="Q33" s="25"/>
      <c r="R33" s="25"/>
    </row>
    <row r="34" customFormat="false" ht="12.75" hidden="false" customHeight="false" outlineLevel="0" collapsed="false">
      <c r="A34" s="17"/>
      <c r="B34" s="12" t="n">
        <f aca="false">B31+1</f>
        <v>857</v>
      </c>
      <c r="C34" s="11" t="s">
        <v>51</v>
      </c>
      <c r="D34" s="11"/>
      <c r="E34" s="12"/>
      <c r="F34" s="12"/>
      <c r="G34" s="12"/>
      <c r="H34" s="40" t="n">
        <v>0</v>
      </c>
      <c r="I34" s="52" t="n">
        <v>0</v>
      </c>
      <c r="J34" s="42" t="n">
        <f aca="false">I34-H34</f>
        <v>0</v>
      </c>
      <c r="K34" s="43" t="str">
        <f aca="false">IF(H34=0,"N/A",(J34/H34)*100)</f>
        <v>N/A</v>
      </c>
      <c r="L34" s="53"/>
      <c r="M34" s="12"/>
      <c r="N34" s="25"/>
      <c r="O34" s="26"/>
      <c r="P34" s="25"/>
      <c r="Q34" s="25"/>
      <c r="R34" s="25"/>
    </row>
    <row r="35" customFormat="false" ht="12.75" hidden="false" customHeight="false" outlineLevel="0" collapsed="false">
      <c r="A35" s="17"/>
      <c r="B35" s="12"/>
      <c r="C35" s="12"/>
      <c r="D35" s="12"/>
      <c r="E35" s="12"/>
      <c r="F35" s="12"/>
      <c r="G35" s="12"/>
      <c r="H35" s="38"/>
      <c r="I35" s="38"/>
      <c r="J35" s="38"/>
      <c r="K35" s="38"/>
      <c r="L35" s="39"/>
      <c r="M35" s="12"/>
      <c r="N35" s="25"/>
      <c r="O35" s="26"/>
      <c r="P35" s="25"/>
      <c r="Q35" s="25"/>
      <c r="R35" s="25"/>
    </row>
    <row r="36" customFormat="false" ht="12.75" hidden="false" customHeight="false" outlineLevel="0" collapsed="false">
      <c r="A36" s="17"/>
      <c r="B36" s="12" t="n">
        <f aca="false">B34+1</f>
        <v>858</v>
      </c>
      <c r="C36" s="11" t="s">
        <v>52</v>
      </c>
      <c r="D36" s="11"/>
      <c r="E36" s="12"/>
      <c r="F36" s="12"/>
      <c r="G36" s="12"/>
      <c r="H36" s="40" t="n">
        <v>0</v>
      </c>
      <c r="I36" s="52" t="n">
        <v>0</v>
      </c>
      <c r="J36" s="42" t="n">
        <f aca="false">I36-H36</f>
        <v>0</v>
      </c>
      <c r="K36" s="43" t="str">
        <f aca="false">IF(H36=0,"N/A",(J36/H36)*100)</f>
        <v>N/A</v>
      </c>
      <c r="L36" s="53"/>
      <c r="M36" s="12"/>
      <c r="N36" s="25"/>
      <c r="O36" s="26"/>
      <c r="P36" s="25"/>
      <c r="Q36" s="25"/>
      <c r="R36" s="25"/>
    </row>
    <row r="37" customFormat="false" ht="12.75" hidden="false" customHeight="false" outlineLevel="0" collapsed="false">
      <c r="A37" s="17"/>
      <c r="B37" s="12"/>
      <c r="C37" s="12"/>
      <c r="D37" s="12"/>
      <c r="E37" s="12"/>
      <c r="F37" s="12"/>
      <c r="G37" s="12"/>
      <c r="H37" s="38"/>
      <c r="I37" s="38"/>
      <c r="J37" s="38"/>
      <c r="K37" s="38"/>
      <c r="L37" s="39"/>
      <c r="M37" s="12"/>
      <c r="N37" s="25"/>
      <c r="O37" s="26"/>
      <c r="P37" s="25"/>
      <c r="Q37" s="25"/>
      <c r="R37" s="25"/>
    </row>
    <row r="38" customFormat="false" ht="12.75" hidden="false" customHeight="false" outlineLevel="0" collapsed="false">
      <c r="A38" s="17"/>
      <c r="B38" s="12" t="n">
        <f aca="false">B36+1</f>
        <v>859</v>
      </c>
      <c r="C38" s="11" t="s">
        <v>46</v>
      </c>
      <c r="D38" s="11"/>
      <c r="E38" s="12"/>
      <c r="F38" s="12"/>
      <c r="G38" s="12"/>
      <c r="H38" s="45" t="n">
        <f aca="false">H31-H34-H36</f>
        <v>0</v>
      </c>
      <c r="I38" s="45" t="n">
        <f aca="false">I31-I34-I36</f>
        <v>0</v>
      </c>
      <c r="J38" s="45" t="n">
        <f aca="false">I38-H38</f>
        <v>0</v>
      </c>
      <c r="K38" s="46" t="str">
        <f aca="false">IF(H38=0,"N/A",(J38/H38)*100)</f>
        <v>N/A</v>
      </c>
      <c r="L38" s="47"/>
      <c r="M38" s="12"/>
      <c r="N38" s="25"/>
      <c r="O38" s="26"/>
      <c r="P38" s="25"/>
      <c r="Q38" s="25"/>
      <c r="R38" s="25"/>
    </row>
    <row r="39" customFormat="false" ht="12.75" hidden="false" customHeight="false" outlineLevel="0" collapsed="false">
      <c r="A39" s="17"/>
      <c r="B39" s="12"/>
      <c r="C39" s="11" t="s">
        <v>53</v>
      </c>
      <c r="D39" s="11"/>
      <c r="E39" s="12"/>
      <c r="F39" s="12"/>
      <c r="G39" s="12"/>
      <c r="H39" s="48"/>
      <c r="I39" s="49"/>
      <c r="J39" s="49"/>
      <c r="K39" s="49"/>
      <c r="L39" s="50"/>
      <c r="M39" s="12"/>
      <c r="N39" s="25"/>
      <c r="O39" s="26"/>
      <c r="P39" s="25"/>
      <c r="Q39" s="25"/>
      <c r="R39" s="25"/>
    </row>
    <row r="40" customFormat="false" ht="12.75" hidden="false" customHeight="false" outlineLevel="0" collapsed="false">
      <c r="A40" s="17"/>
      <c r="B40" s="12"/>
      <c r="C40" s="12"/>
      <c r="D40" s="12"/>
      <c r="E40" s="12"/>
      <c r="F40" s="12"/>
      <c r="G40" s="12"/>
      <c r="H40" s="38"/>
      <c r="I40" s="38"/>
      <c r="J40" s="38"/>
      <c r="K40" s="38"/>
      <c r="L40" s="39"/>
      <c r="M40" s="12"/>
      <c r="N40" s="25"/>
      <c r="O40" s="26"/>
      <c r="P40" s="25"/>
      <c r="Q40" s="25"/>
      <c r="R40" s="25"/>
    </row>
    <row r="41" customFormat="false" ht="12.75" hidden="false" customHeight="false" outlineLevel="0" collapsed="false">
      <c r="A41" s="17"/>
      <c r="B41" s="12"/>
      <c r="C41" s="22" t="s">
        <v>54</v>
      </c>
      <c r="D41" s="54"/>
      <c r="E41" s="12"/>
      <c r="F41" s="12"/>
      <c r="G41" s="12"/>
      <c r="H41" s="38"/>
      <c r="I41" s="38"/>
      <c r="J41" s="38"/>
      <c r="K41" s="38"/>
      <c r="L41" s="39"/>
      <c r="M41" s="12"/>
      <c r="N41" s="25"/>
      <c r="O41" s="26"/>
      <c r="P41" s="25"/>
      <c r="Q41" s="25"/>
      <c r="R41" s="25"/>
    </row>
    <row r="42" customFormat="false" ht="12.75" hidden="false" customHeight="false" outlineLevel="0" collapsed="false">
      <c r="A42" s="17"/>
      <c r="B42" s="12"/>
      <c r="C42" s="12"/>
      <c r="D42" s="12"/>
      <c r="E42" s="12"/>
      <c r="F42" s="12"/>
      <c r="G42" s="12"/>
      <c r="H42" s="38"/>
      <c r="I42" s="38"/>
      <c r="J42" s="38"/>
      <c r="K42" s="38"/>
      <c r="L42" s="39"/>
      <c r="M42" s="12"/>
      <c r="N42" s="25"/>
      <c r="O42" s="26"/>
      <c r="P42" s="25"/>
      <c r="Q42" s="25"/>
      <c r="R42" s="25"/>
    </row>
    <row r="43" customFormat="false" ht="12.75" hidden="false" customHeight="false" outlineLevel="0" collapsed="false">
      <c r="A43" s="17"/>
      <c r="B43" s="12" t="n">
        <f aca="false">B38+1</f>
        <v>860</v>
      </c>
      <c r="C43" s="11" t="s">
        <v>46</v>
      </c>
      <c r="D43" s="11"/>
      <c r="E43" s="12"/>
      <c r="F43" s="12"/>
      <c r="G43" s="12"/>
      <c r="H43" s="45" t="n">
        <f aca="false">H38</f>
        <v>0</v>
      </c>
      <c r="I43" s="45" t="n">
        <f aca="false">I38</f>
        <v>0</v>
      </c>
      <c r="J43" s="45" t="n">
        <f aca="false">I43-H43</f>
        <v>0</v>
      </c>
      <c r="K43" s="46" t="str">
        <f aca="false">IF(H43=0,"N/A",(J43/H43)*100)</f>
        <v>N/A</v>
      </c>
      <c r="L43" s="47"/>
      <c r="M43" s="12"/>
      <c r="N43" s="25"/>
      <c r="O43" s="26"/>
      <c r="P43" s="25"/>
      <c r="Q43" s="25"/>
      <c r="R43" s="25"/>
    </row>
    <row r="44" customFormat="false" ht="12.75" hidden="false" customHeight="false" outlineLevel="0" collapsed="false">
      <c r="A44" s="17"/>
      <c r="B44" s="12"/>
      <c r="C44" s="11" t="s">
        <v>55</v>
      </c>
      <c r="D44" s="11"/>
      <c r="E44" s="12"/>
      <c r="F44" s="12"/>
      <c r="G44" s="12"/>
      <c r="H44" s="49"/>
      <c r="I44" s="49"/>
      <c r="J44" s="49"/>
      <c r="K44" s="49"/>
      <c r="L44" s="50"/>
      <c r="M44" s="12"/>
      <c r="N44" s="25"/>
      <c r="O44" s="26"/>
      <c r="P44" s="25"/>
      <c r="Q44" s="25"/>
      <c r="R44" s="25"/>
    </row>
    <row r="45" customFormat="false" ht="12.75" hidden="false" customHeight="false" outlineLevel="0" collapsed="false">
      <c r="A45" s="17"/>
      <c r="B45" s="12"/>
      <c r="C45" s="12"/>
      <c r="D45" s="12"/>
      <c r="E45" s="12"/>
      <c r="F45" s="12"/>
      <c r="G45" s="12"/>
      <c r="H45" s="38"/>
      <c r="I45" s="38"/>
      <c r="J45" s="38"/>
      <c r="K45" s="38"/>
      <c r="L45" s="39"/>
      <c r="M45" s="12"/>
      <c r="N45" s="25"/>
      <c r="O45" s="26"/>
      <c r="P45" s="25"/>
      <c r="Q45" s="25"/>
      <c r="R45" s="25"/>
    </row>
    <row r="46" customFormat="false" ht="12.75" hidden="false" customHeight="false" outlineLevel="0" collapsed="false">
      <c r="A46" s="17"/>
      <c r="B46" s="12" t="n">
        <f aca="false">B43+1</f>
        <v>861</v>
      </c>
      <c r="C46" s="11" t="s">
        <v>56</v>
      </c>
      <c r="D46" s="11"/>
      <c r="E46" s="12"/>
      <c r="F46" s="12"/>
      <c r="G46" s="12"/>
      <c r="H46" s="40" t="n">
        <v>0</v>
      </c>
      <c r="I46" s="52" t="n">
        <v>0</v>
      </c>
      <c r="J46" s="42" t="n">
        <f aca="false">I46-H46</f>
        <v>0</v>
      </c>
      <c r="K46" s="43" t="str">
        <f aca="false">IF(H46=0,"N/A",(J46/H46)*100)</f>
        <v>N/A</v>
      </c>
      <c r="L46" s="39"/>
      <c r="M46" s="12"/>
      <c r="N46" s="25"/>
      <c r="O46" s="26"/>
      <c r="P46" s="25"/>
      <c r="Q46" s="25"/>
      <c r="R46" s="25"/>
    </row>
    <row r="47" customFormat="false" ht="12.75" hidden="false" customHeight="false" outlineLevel="0" collapsed="false">
      <c r="A47" s="17"/>
      <c r="B47" s="12"/>
      <c r="C47" s="11"/>
      <c r="D47" s="11"/>
      <c r="E47" s="12"/>
      <c r="F47" s="12"/>
      <c r="G47" s="12"/>
      <c r="H47" s="38"/>
      <c r="I47" s="38"/>
      <c r="J47" s="38"/>
      <c r="K47" s="38"/>
      <c r="L47" s="39"/>
      <c r="M47" s="12"/>
      <c r="N47" s="25"/>
      <c r="O47" s="26"/>
      <c r="P47" s="25"/>
      <c r="Q47" s="25"/>
      <c r="R47" s="25"/>
    </row>
    <row r="48" customFormat="false" ht="12.75" hidden="false" customHeight="false" outlineLevel="0" collapsed="false">
      <c r="A48" s="17"/>
      <c r="B48" s="12" t="n">
        <f aca="false">B46+1</f>
        <v>862</v>
      </c>
      <c r="C48" s="11" t="s">
        <v>57</v>
      </c>
      <c r="D48" s="11"/>
      <c r="E48" s="12"/>
      <c r="F48" s="12"/>
      <c r="G48" s="12"/>
      <c r="H48" s="45" t="n">
        <f aca="false">SUM(H43:H47)</f>
        <v>0</v>
      </c>
      <c r="I48" s="45" t="n">
        <f aca="false">SUM(I43:I47)</f>
        <v>0</v>
      </c>
      <c r="J48" s="45" t="n">
        <f aca="false">I48-H48</f>
        <v>0</v>
      </c>
      <c r="K48" s="46" t="str">
        <f aca="false">IF(H48=0,"N/A",(J48/H48)*100)</f>
        <v>N/A</v>
      </c>
      <c r="L48" s="47"/>
      <c r="M48" s="12"/>
      <c r="N48" s="25"/>
      <c r="O48" s="26"/>
      <c r="P48" s="25"/>
      <c r="Q48" s="25"/>
      <c r="R48" s="25"/>
    </row>
    <row r="49" customFormat="false" ht="12.75" hidden="false" customHeight="false" outlineLevel="0" collapsed="false">
      <c r="A49" s="17"/>
      <c r="B49" s="17"/>
      <c r="C49" s="17"/>
      <c r="D49" s="17"/>
      <c r="E49" s="17"/>
      <c r="F49" s="17"/>
      <c r="G49" s="17"/>
      <c r="H49" s="48"/>
      <c r="I49" s="49"/>
      <c r="J49" s="49"/>
      <c r="K49" s="55"/>
      <c r="L49" s="50"/>
      <c r="M49" s="17"/>
    </row>
    <row r="50" customFormat="false" ht="12.75" hidden="false" customHeight="false" outlineLevel="0" collapsed="false">
      <c r="A50" s="17"/>
      <c r="B50" s="12" t="n">
        <f aca="false">B48+1</f>
        <v>863</v>
      </c>
      <c r="C50" s="11" t="s">
        <v>58</v>
      </c>
      <c r="D50" s="17"/>
      <c r="E50" s="17"/>
      <c r="F50" s="17"/>
      <c r="G50" s="17"/>
      <c r="H50" s="40" t="n">
        <v>0</v>
      </c>
      <c r="I50" s="52" t="n">
        <v>0</v>
      </c>
      <c r="J50" s="42" t="n">
        <f aca="false">I50-H50</f>
        <v>0</v>
      </c>
      <c r="K50" s="43" t="str">
        <f aca="false">IF(H50=0,"N/A",(J50/H50)*100)</f>
        <v>N/A</v>
      </c>
      <c r="L50" s="50"/>
      <c r="M50" s="17"/>
    </row>
    <row r="51" customFormat="false" ht="12.75" hidden="false" customHeight="false" outlineLevel="0" collapsed="false">
      <c r="A51" s="17"/>
      <c r="B51" s="12" t="n">
        <f aca="false">B50+1</f>
        <v>864</v>
      </c>
      <c r="C51" s="11" t="s">
        <v>59</v>
      </c>
      <c r="D51" s="17"/>
      <c r="E51" s="17"/>
      <c r="F51" s="17"/>
      <c r="G51" s="17"/>
      <c r="H51" s="40" t="n">
        <v>0</v>
      </c>
      <c r="I51" s="52" t="n">
        <v>0</v>
      </c>
      <c r="J51" s="42" t="n">
        <f aca="false">I51-H51</f>
        <v>0</v>
      </c>
      <c r="K51" s="43" t="str">
        <f aca="false">IF(H51=0,"N/A",(J51/H51)*100)</f>
        <v>N/A</v>
      </c>
      <c r="L51" s="50"/>
      <c r="M51" s="17"/>
    </row>
    <row r="52" customFormat="false" ht="12.75" hidden="false" customHeight="false" outlineLevel="0" collapsed="false">
      <c r="A52" s="17"/>
      <c r="B52" s="12" t="n">
        <f aca="false">B51+1</f>
        <v>865</v>
      </c>
      <c r="C52" s="11" t="s">
        <v>60</v>
      </c>
      <c r="D52" s="17"/>
      <c r="E52" s="17"/>
      <c r="F52" s="17"/>
      <c r="G52" s="17"/>
      <c r="H52" s="45" t="n">
        <f aca="false">SUM(H48:H51)</f>
        <v>0</v>
      </c>
      <c r="I52" s="45" t="n">
        <f aca="false">SUM(I48:I51)</f>
        <v>0</v>
      </c>
      <c r="J52" s="45" t="n">
        <f aca="false">I52-H52</f>
        <v>0</v>
      </c>
      <c r="K52" s="46" t="str">
        <f aca="false">IF(H52=0,"N/A",(J52/H52)*100)</f>
        <v>N/A</v>
      </c>
      <c r="L52" s="56"/>
      <c r="M52" s="17"/>
    </row>
    <row r="53" customFormat="false" ht="12" hidden="false" customHeight="false" outlineLevel="0" collapsed="false">
      <c r="A53" s="17"/>
      <c r="B53" s="17"/>
      <c r="C53" s="17"/>
      <c r="D53" s="17"/>
      <c r="E53" s="17"/>
      <c r="F53" s="17"/>
      <c r="G53" s="17"/>
      <c r="H53" s="48"/>
      <c r="I53" s="49"/>
      <c r="J53" s="49"/>
      <c r="K53" s="49"/>
      <c r="L53" s="50"/>
      <c r="M53" s="17"/>
    </row>
    <row r="54" customFormat="false" ht="12.75" hidden="false" customHeight="false" outlineLevel="0" collapsed="false">
      <c r="A54" s="17"/>
      <c r="B54" s="17"/>
      <c r="C54" s="22" t="s">
        <v>61</v>
      </c>
      <c r="D54" s="17"/>
      <c r="E54" s="17"/>
      <c r="F54" s="17"/>
      <c r="G54" s="17"/>
      <c r="H54" s="49"/>
      <c r="I54" s="49"/>
      <c r="J54" s="49"/>
      <c r="K54" s="49"/>
      <c r="L54" s="50"/>
      <c r="M54" s="17"/>
    </row>
    <row r="55" customFormat="false" ht="12" hidden="false" customHeight="false" outlineLevel="0" collapsed="false">
      <c r="A55" s="17"/>
      <c r="B55" s="17"/>
      <c r="C55" s="17"/>
      <c r="D55" s="17"/>
      <c r="E55" s="17"/>
      <c r="F55" s="17"/>
      <c r="G55" s="17"/>
      <c r="H55" s="49"/>
      <c r="I55" s="49"/>
      <c r="J55" s="49"/>
      <c r="K55" s="49"/>
      <c r="L55" s="50"/>
      <c r="M55" s="17"/>
    </row>
    <row r="56" customFormat="false" ht="12.75" hidden="false" customHeight="false" outlineLevel="0" collapsed="false">
      <c r="A56" s="17"/>
      <c r="B56" s="12" t="n">
        <f aca="false">B52+1</f>
        <v>866</v>
      </c>
      <c r="C56" s="11" t="s">
        <v>62</v>
      </c>
      <c r="D56" s="11"/>
      <c r="E56" s="12"/>
      <c r="F56" s="12"/>
      <c r="G56" s="12"/>
      <c r="H56" s="40" t="n">
        <v>0</v>
      </c>
      <c r="I56" s="52" t="n">
        <v>0</v>
      </c>
      <c r="J56" s="42" t="n">
        <f aca="false">I56-H56</f>
        <v>0</v>
      </c>
      <c r="K56" s="43" t="str">
        <f aca="false">IF(H56=0,"N/A",(J56/H56)*100)</f>
        <v>N/A</v>
      </c>
      <c r="L56" s="39"/>
      <c r="M56" s="17"/>
    </row>
    <row r="57" customFormat="false" ht="12.75" hidden="false" customHeight="false" outlineLevel="0" collapsed="false">
      <c r="A57" s="17"/>
      <c r="B57" s="12" t="n">
        <f aca="false">B56+1</f>
        <v>867</v>
      </c>
      <c r="C57" s="11" t="s">
        <v>63</v>
      </c>
      <c r="D57" s="11"/>
      <c r="E57" s="12"/>
      <c r="F57" s="12"/>
      <c r="G57" s="12"/>
      <c r="H57" s="40" t="n">
        <v>0</v>
      </c>
      <c r="I57" s="52" t="n">
        <v>0</v>
      </c>
      <c r="J57" s="42" t="n">
        <f aca="false">I57-H57</f>
        <v>0</v>
      </c>
      <c r="K57" s="43" t="str">
        <f aca="false">IF(H57=0,"N/A",(J57/H57)*100)</f>
        <v>N/A</v>
      </c>
      <c r="L57" s="39"/>
      <c r="M57" s="17"/>
    </row>
    <row r="58" customFormat="false" ht="12.75" hidden="false" customHeight="false" outlineLevel="0" collapsed="false">
      <c r="A58" s="17"/>
      <c r="B58" s="12" t="n">
        <f aca="false">B57+1</f>
        <v>868</v>
      </c>
      <c r="C58" s="11" t="s">
        <v>64</v>
      </c>
      <c r="D58" s="11"/>
      <c r="E58" s="12"/>
      <c r="F58" s="12"/>
      <c r="G58" s="12"/>
      <c r="H58" s="45" t="n">
        <f aca="false">H56-H57</f>
        <v>0</v>
      </c>
      <c r="I58" s="45" t="n">
        <f aca="false">I56-I57</f>
        <v>0</v>
      </c>
      <c r="J58" s="45" t="n">
        <f aca="false">I58-H58</f>
        <v>0</v>
      </c>
      <c r="K58" s="46" t="str">
        <f aca="false">IF(H58=0,"N/A",(J58/H58)*100)</f>
        <v>N/A</v>
      </c>
      <c r="L58" s="47"/>
      <c r="M58" s="17"/>
    </row>
    <row r="59" customFormat="false" ht="12.75" hidden="false" customHeight="false" outlineLevel="0" collapsed="false">
      <c r="A59" s="17"/>
      <c r="B59" s="12" t="n">
        <f aca="false">B58+1</f>
        <v>869</v>
      </c>
      <c r="C59" s="11" t="s">
        <v>65</v>
      </c>
      <c r="D59" s="11"/>
      <c r="E59" s="12"/>
      <c r="F59" s="12"/>
      <c r="G59" s="12"/>
      <c r="H59" s="40" t="n">
        <v>0</v>
      </c>
      <c r="I59" s="52" t="n">
        <v>0</v>
      </c>
      <c r="J59" s="42" t="n">
        <f aca="false">I59-H59</f>
        <v>0</v>
      </c>
      <c r="K59" s="43" t="str">
        <f aca="false">IF(H59=0,"N/A",(J59/H59)*100)</f>
        <v>N/A</v>
      </c>
      <c r="L59" s="39"/>
      <c r="M59" s="17"/>
    </row>
    <row r="60" customFormat="false" ht="12.75" hidden="false" customHeight="false" outlineLevel="0" collapsed="false">
      <c r="A60" s="17"/>
      <c r="B60" s="12" t="n">
        <f aca="false">B59+1</f>
        <v>870</v>
      </c>
      <c r="C60" s="11" t="s">
        <v>66</v>
      </c>
      <c r="D60" s="11"/>
      <c r="E60" s="12"/>
      <c r="F60" s="12"/>
      <c r="G60" s="12"/>
      <c r="H60" s="40" t="n">
        <v>0</v>
      </c>
      <c r="I60" s="52" t="n">
        <v>0</v>
      </c>
      <c r="J60" s="42" t="n">
        <f aca="false">I60-H60</f>
        <v>0</v>
      </c>
      <c r="K60" s="43" t="str">
        <f aca="false">IF(H60=0,"N/A",(J60/H60)*100)</f>
        <v>N/A</v>
      </c>
      <c r="L60" s="39"/>
      <c r="M60" s="17"/>
    </row>
    <row r="61" customFormat="false" ht="12.75" hidden="false" customHeight="false" outlineLevel="0" collapsed="false">
      <c r="A61" s="17"/>
      <c r="B61" s="12" t="n">
        <f aca="false">B60+1</f>
        <v>871</v>
      </c>
      <c r="C61" s="11" t="s">
        <v>67</v>
      </c>
      <c r="D61" s="17"/>
      <c r="E61" s="17"/>
      <c r="F61" s="17"/>
      <c r="G61" s="17"/>
      <c r="H61" s="45" t="n">
        <f aca="false">H59-H60</f>
        <v>0</v>
      </c>
      <c r="I61" s="45" t="n">
        <f aca="false">I59-I60</f>
        <v>0</v>
      </c>
      <c r="J61" s="45" t="n">
        <f aca="false">I61-H61</f>
        <v>0</v>
      </c>
      <c r="K61" s="46" t="str">
        <f aca="false">IF(H61=0,"N/A",(J61/H61)*100)</f>
        <v>N/A</v>
      </c>
      <c r="L61" s="56"/>
      <c r="M61" s="17"/>
    </row>
    <row r="62" customFormat="false" ht="12" hidden="false" customHeight="false" outlineLevel="0" collapsed="false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customFormat="false" ht="12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</row>
  </sheetData>
  <sheetProtection sheet="true" objects="true" scenarios="true"/>
  <printOptions headings="false" gridLines="false" gridLinesSet="true" horizontalCentered="false" verticalCentered="false"/>
  <pageMargins left="0.747916666666667" right="0.747916666666667" top="0.984027777777778" bottom="0.984027777777778" header="0.5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&amp;C&amp;A&amp;RAnnex D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L7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9.05078125" defaultRowHeight="12" zeroHeight="false" outlineLevelRow="0" outlineLevelCol="0"/>
  <cols>
    <col collapsed="false" customWidth="true" hidden="false" outlineLevel="0" max="2" min="2" style="0" width="3.61"/>
    <col collapsed="false" customWidth="true" hidden="false" outlineLevel="0" max="3" min="3" style="0" width="16.84"/>
    <col collapsed="false" customWidth="true" hidden="false" outlineLevel="0" max="9" min="8" style="0" width="9.73"/>
    <col collapsed="false" customWidth="true" hidden="false" outlineLevel="0" max="11" min="11" style="0" width="7.6"/>
    <col collapsed="false" customWidth="true" hidden="false" outlineLevel="0" max="12" min="12" style="0" width="17.46"/>
  </cols>
  <sheetData>
    <row r="1" customFormat="false" ht="12.75" hidden="false" customHeight="false" outlineLevel="0" collapsed="false">
      <c r="A1" s="57" t="str">
        <f aca="false">'Table 1.0 I &amp; E - Annex D'!A1</f>
        <v>2002 Financial Forecasts Update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customFormat="false" ht="12.75" hidden="false" customHeight="false" outlineLevel="0" collapsed="false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customFormat="false" ht="12.75" hidden="false" customHeight="false" outlineLevel="0" collapsed="false">
      <c r="A3" s="13" t="s">
        <v>18</v>
      </c>
      <c r="B3" s="58" t="n">
        <v>2</v>
      </c>
      <c r="C3" s="1" t="s">
        <v>68</v>
      </c>
      <c r="D3" s="1"/>
      <c r="E3" s="12"/>
      <c r="F3" s="12"/>
      <c r="G3" s="12"/>
      <c r="H3" s="12"/>
      <c r="I3" s="12"/>
      <c r="J3" s="12"/>
      <c r="K3" s="12"/>
      <c r="L3" s="12"/>
    </row>
    <row r="4" customFormat="false" ht="51" hidden="false" customHeight="false" outlineLevel="0" collapsed="false">
      <c r="A4" s="15" t="str">
        <f aca="false">'Table 1.0 I &amp; E - Annex D'!A4</f>
        <v>COLLEGE NAME</v>
      </c>
      <c r="B4" s="12"/>
      <c r="C4" s="11"/>
      <c r="D4" s="11"/>
      <c r="E4" s="12"/>
      <c r="F4" s="12"/>
      <c r="G4" s="12"/>
      <c r="H4" s="59" t="s">
        <v>21</v>
      </c>
      <c r="I4" s="29" t="s">
        <v>22</v>
      </c>
      <c r="J4" s="60" t="s">
        <v>23</v>
      </c>
      <c r="K4" s="61" t="s">
        <v>24</v>
      </c>
      <c r="L4" s="29" t="s">
        <v>25</v>
      </c>
    </row>
    <row r="5" customFormat="false" ht="12.75" hidden="false" customHeight="false" outlineLevel="0" collapsed="false">
      <c r="A5" s="12"/>
      <c r="B5" s="12"/>
      <c r="C5" s="11"/>
      <c r="D5" s="11"/>
      <c r="E5" s="12"/>
      <c r="F5" s="12"/>
      <c r="G5" s="12"/>
      <c r="H5" s="33" t="s">
        <v>27</v>
      </c>
      <c r="I5" s="33" t="s">
        <v>27</v>
      </c>
      <c r="J5" s="33"/>
      <c r="K5" s="62"/>
      <c r="L5" s="62"/>
    </row>
    <row r="6" customFormat="false" ht="12.75" hidden="false" customHeight="false" outlineLevel="0" collapsed="false">
      <c r="A6" s="12"/>
      <c r="B6" s="12"/>
      <c r="C6" s="22" t="s">
        <v>69</v>
      </c>
      <c r="D6" s="11"/>
      <c r="E6" s="12"/>
      <c r="F6" s="12"/>
      <c r="G6" s="12"/>
      <c r="H6" s="35" t="s">
        <v>29</v>
      </c>
      <c r="I6" s="35" t="s">
        <v>29</v>
      </c>
      <c r="J6" s="35" t="s">
        <v>29</v>
      </c>
      <c r="K6" s="63"/>
      <c r="L6" s="39"/>
    </row>
    <row r="7" customFormat="false" ht="12.75" hidden="false" customHeight="false" outlineLevel="0" collapsed="false">
      <c r="A7" s="12"/>
      <c r="B7" s="12" t="n">
        <v>1</v>
      </c>
      <c r="C7" s="11" t="s">
        <v>70</v>
      </c>
      <c r="D7" s="57"/>
      <c r="E7" s="12"/>
      <c r="F7" s="12"/>
      <c r="G7" s="12"/>
      <c r="H7" s="40" t="n">
        <v>0</v>
      </c>
      <c r="I7" s="52" t="n">
        <v>0</v>
      </c>
      <c r="J7" s="42" t="n">
        <f aca="false">I7-H7</f>
        <v>0</v>
      </c>
      <c r="K7" s="64" t="str">
        <f aca="false">IF(H7=0,"N/A",(J7/H7)*100)</f>
        <v>N/A</v>
      </c>
      <c r="L7" s="53"/>
    </row>
    <row r="8" customFormat="false" ht="12.75" hidden="false" customHeight="false" outlineLevel="0" collapsed="false">
      <c r="A8" s="12"/>
      <c r="B8" s="12" t="n">
        <v>2</v>
      </c>
      <c r="C8" s="12" t="s">
        <v>71</v>
      </c>
      <c r="D8" s="57"/>
      <c r="E8" s="12"/>
      <c r="F8" s="12"/>
      <c r="G8" s="12"/>
      <c r="H8" s="40" t="n">
        <v>0</v>
      </c>
      <c r="I8" s="52" t="n">
        <v>0</v>
      </c>
      <c r="J8" s="42" t="n">
        <f aca="false">I8-H8</f>
        <v>0</v>
      </c>
      <c r="K8" s="64" t="str">
        <f aca="false">IF(H8=0,"N/A",(J8/H8)*100)</f>
        <v>N/A</v>
      </c>
      <c r="L8" s="53"/>
    </row>
    <row r="9" customFormat="false" ht="12.75" hidden="false" customHeight="false" outlineLevel="0" collapsed="false">
      <c r="A9" s="12"/>
      <c r="B9" s="12" t="n">
        <v>3</v>
      </c>
      <c r="C9" s="11" t="s">
        <v>72</v>
      </c>
      <c r="D9" s="57"/>
      <c r="E9" s="12"/>
      <c r="F9" s="12"/>
      <c r="G9" s="12"/>
      <c r="H9" s="40" t="n">
        <v>0</v>
      </c>
      <c r="I9" s="52" t="n">
        <v>0</v>
      </c>
      <c r="J9" s="42" t="n">
        <f aca="false">I9-H9</f>
        <v>0</v>
      </c>
      <c r="K9" s="64" t="str">
        <f aca="false">IF(H9=0,"N/A",(J9/H9)*100)</f>
        <v>N/A</v>
      </c>
      <c r="L9" s="53"/>
    </row>
    <row r="10" customFormat="false" ht="12.75" hidden="false" customHeight="false" outlineLevel="0" collapsed="false">
      <c r="A10" s="12"/>
      <c r="B10" s="12" t="n">
        <v>4</v>
      </c>
      <c r="C10" s="11" t="s">
        <v>73</v>
      </c>
      <c r="D10" s="57"/>
      <c r="E10" s="12"/>
      <c r="F10" s="12"/>
      <c r="G10" s="12"/>
      <c r="H10" s="40" t="n">
        <v>0</v>
      </c>
      <c r="I10" s="52" t="n">
        <v>0</v>
      </c>
      <c r="J10" s="42" t="n">
        <f aca="false">I10-H10</f>
        <v>0</v>
      </c>
      <c r="K10" s="64" t="str">
        <f aca="false">IF(H10=0,"N/A",(J10/H10)*100)</f>
        <v>N/A</v>
      </c>
      <c r="L10" s="53"/>
    </row>
    <row r="11" customFormat="false" ht="12.75" hidden="false" customHeight="false" outlineLevel="0" collapsed="false">
      <c r="A11" s="12"/>
      <c r="B11" s="12" t="n">
        <v>5</v>
      </c>
      <c r="C11" s="11" t="s">
        <v>74</v>
      </c>
      <c r="D11" s="57"/>
      <c r="E11" s="12"/>
      <c r="F11" s="12"/>
      <c r="G11" s="12"/>
      <c r="H11" s="40" t="n">
        <v>0</v>
      </c>
      <c r="I11" s="52" t="n">
        <v>0</v>
      </c>
      <c r="J11" s="42" t="n">
        <f aca="false">I11-H11</f>
        <v>0</v>
      </c>
      <c r="K11" s="64" t="str">
        <f aca="false">IF(H11=0,"N/A",(J11/H11)*100)</f>
        <v>N/A</v>
      </c>
      <c r="L11" s="53"/>
    </row>
    <row r="12" customFormat="false" ht="12.75" hidden="false" customHeight="false" outlineLevel="0" collapsed="false">
      <c r="A12" s="12"/>
      <c r="B12" s="12" t="n">
        <v>6</v>
      </c>
      <c r="C12" s="11" t="s">
        <v>75</v>
      </c>
      <c r="D12" s="57"/>
      <c r="E12" s="12"/>
      <c r="F12" s="12"/>
      <c r="G12" s="12"/>
      <c r="H12" s="40" t="n">
        <v>0</v>
      </c>
      <c r="I12" s="52" t="n">
        <v>0</v>
      </c>
      <c r="J12" s="42" t="n">
        <f aca="false">I12-H12</f>
        <v>0</v>
      </c>
      <c r="K12" s="64" t="str">
        <f aca="false">IF(H12=0,"N/A",(J12/H12)*100)</f>
        <v>N/A</v>
      </c>
      <c r="L12" s="53"/>
    </row>
    <row r="13" customFormat="false" ht="12.75" hidden="false" customHeight="false" outlineLevel="0" collapsed="false">
      <c r="A13" s="12"/>
      <c r="B13" s="12" t="n">
        <v>7</v>
      </c>
      <c r="C13" s="11" t="s">
        <v>76</v>
      </c>
      <c r="D13" s="57"/>
      <c r="E13" s="12"/>
      <c r="F13" s="12"/>
      <c r="G13" s="12"/>
      <c r="H13" s="46" t="n">
        <f aca="false">SUM(H7:H12)</f>
        <v>0</v>
      </c>
      <c r="I13" s="46" t="n">
        <f aca="false">SUM(I7:I12)</f>
        <v>0</v>
      </c>
      <c r="J13" s="45" t="n">
        <f aca="false">I13-H13</f>
        <v>0</v>
      </c>
      <c r="K13" s="65" t="str">
        <f aca="false">IF(H13=0,"N/A",(J13/H13)*100)</f>
        <v>N/A</v>
      </c>
      <c r="L13" s="47"/>
    </row>
    <row r="14" customFormat="false" ht="12.75" hidden="false" customHeight="false" outlineLevel="0" collapsed="false">
      <c r="A14" s="12"/>
      <c r="B14" s="12"/>
      <c r="C14" s="12"/>
      <c r="D14" s="12"/>
      <c r="E14" s="12"/>
      <c r="F14" s="12"/>
      <c r="G14" s="12"/>
      <c r="H14" s="66"/>
      <c r="I14" s="66"/>
      <c r="J14" s="38"/>
      <c r="K14" s="67"/>
      <c r="L14" s="39"/>
    </row>
    <row r="15" customFormat="false" ht="12.75" hidden="false" customHeight="false" outlineLevel="0" collapsed="false">
      <c r="A15" s="12"/>
      <c r="B15" s="12" t="n">
        <v>8</v>
      </c>
      <c r="C15" s="11" t="s">
        <v>77</v>
      </c>
      <c r="D15" s="11"/>
      <c r="E15" s="12"/>
      <c r="F15" s="12"/>
      <c r="G15" s="12"/>
      <c r="H15" s="40" t="n">
        <v>0</v>
      </c>
      <c r="I15" s="52" t="n">
        <v>0</v>
      </c>
      <c r="J15" s="42" t="n">
        <f aca="false">I15-H15</f>
        <v>0</v>
      </c>
      <c r="K15" s="64" t="str">
        <f aca="false">IF(H15=0,"N/A",(J15/H15)*100)</f>
        <v>N/A</v>
      </c>
      <c r="L15" s="53"/>
    </row>
    <row r="16" customFormat="false" ht="12.75" hidden="false" customHeight="false" outlineLevel="0" collapsed="false">
      <c r="A16" s="12"/>
      <c r="B16" s="12"/>
      <c r="C16" s="12"/>
      <c r="D16" s="12"/>
      <c r="E16" s="12"/>
      <c r="F16" s="12"/>
      <c r="G16" s="12"/>
      <c r="H16" s="66"/>
      <c r="I16" s="38"/>
      <c r="J16" s="38"/>
      <c r="K16" s="67"/>
      <c r="L16" s="39"/>
    </row>
    <row r="17" customFormat="false" ht="12.75" hidden="false" customHeight="false" outlineLevel="0" collapsed="false">
      <c r="A17" s="12"/>
      <c r="B17" s="12"/>
      <c r="C17" s="22" t="s">
        <v>78</v>
      </c>
      <c r="D17" s="11"/>
      <c r="E17" s="12"/>
      <c r="F17" s="12"/>
      <c r="G17" s="12"/>
      <c r="H17" s="66"/>
      <c r="I17" s="38"/>
      <c r="J17" s="38"/>
      <c r="K17" s="67"/>
      <c r="L17" s="39"/>
    </row>
    <row r="18" customFormat="false" ht="12.75" hidden="false" customHeight="false" outlineLevel="0" collapsed="false">
      <c r="A18" s="12"/>
      <c r="B18" s="12" t="n">
        <v>9</v>
      </c>
      <c r="C18" s="11" t="s">
        <v>79</v>
      </c>
      <c r="D18" s="57"/>
      <c r="E18" s="12"/>
      <c r="F18" s="12"/>
      <c r="G18" s="12"/>
      <c r="H18" s="40" t="n">
        <v>0</v>
      </c>
      <c r="I18" s="52" t="n">
        <v>0</v>
      </c>
      <c r="J18" s="42" t="n">
        <f aca="false">I18-H18</f>
        <v>0</v>
      </c>
      <c r="K18" s="64" t="str">
        <f aca="false">IF(H18=0,"N/A",(J18/H18)*100)</f>
        <v>N/A</v>
      </c>
      <c r="L18" s="53"/>
    </row>
    <row r="19" customFormat="false" ht="12.75" hidden="false" customHeight="false" outlineLevel="0" collapsed="false">
      <c r="A19" s="12"/>
      <c r="B19" s="12" t="n">
        <v>10</v>
      </c>
      <c r="C19" s="11" t="s">
        <v>80</v>
      </c>
      <c r="D19" s="57"/>
      <c r="E19" s="12"/>
      <c r="F19" s="12"/>
      <c r="G19" s="12"/>
      <c r="H19" s="40" t="n">
        <v>0</v>
      </c>
      <c r="I19" s="52" t="n">
        <v>0</v>
      </c>
      <c r="J19" s="42" t="n">
        <f aca="false">I19-H19</f>
        <v>0</v>
      </c>
      <c r="K19" s="64" t="str">
        <f aca="false">IF(H19=0,"N/A",(J19/H19)*100)</f>
        <v>N/A</v>
      </c>
      <c r="L19" s="53"/>
    </row>
    <row r="20" customFormat="false" ht="12.75" hidden="false" customHeight="false" outlineLevel="0" collapsed="false">
      <c r="A20" s="12"/>
      <c r="B20" s="12" t="n">
        <v>11</v>
      </c>
      <c r="C20" s="11" t="s">
        <v>75</v>
      </c>
      <c r="D20" s="57"/>
      <c r="E20" s="12"/>
      <c r="F20" s="12"/>
      <c r="G20" s="12"/>
      <c r="H20" s="40" t="n">
        <v>0</v>
      </c>
      <c r="I20" s="52" t="n">
        <v>0</v>
      </c>
      <c r="J20" s="42" t="n">
        <f aca="false">I20-H20</f>
        <v>0</v>
      </c>
      <c r="K20" s="64" t="str">
        <f aca="false">IF(H20=0,"N/A",(J20/H20)*100)</f>
        <v>N/A</v>
      </c>
      <c r="L20" s="53"/>
    </row>
    <row r="21" customFormat="false" ht="12.75" hidden="false" customHeight="false" outlineLevel="0" collapsed="false">
      <c r="A21" s="12"/>
      <c r="B21" s="12" t="n">
        <v>12</v>
      </c>
      <c r="C21" s="11" t="s">
        <v>81</v>
      </c>
      <c r="D21" s="57"/>
      <c r="E21" s="12"/>
      <c r="F21" s="12"/>
      <c r="G21" s="12"/>
      <c r="H21" s="40" t="n">
        <v>0</v>
      </c>
      <c r="I21" s="52" t="n">
        <v>0</v>
      </c>
      <c r="J21" s="42" t="n">
        <f aca="false">I21-H21</f>
        <v>0</v>
      </c>
      <c r="K21" s="64" t="str">
        <f aca="false">IF(H21=0,"N/A",(J21/H21)*100)</f>
        <v>N/A</v>
      </c>
      <c r="L21" s="53"/>
    </row>
    <row r="22" customFormat="false" ht="12.75" hidden="false" customHeight="false" outlineLevel="0" collapsed="false">
      <c r="A22" s="12"/>
      <c r="B22" s="12" t="n">
        <v>13</v>
      </c>
      <c r="C22" s="11" t="s">
        <v>82</v>
      </c>
      <c r="D22" s="57"/>
      <c r="E22" s="12"/>
      <c r="F22" s="12"/>
      <c r="G22" s="12"/>
      <c r="H22" s="40" t="n">
        <v>0</v>
      </c>
      <c r="I22" s="52" t="n">
        <v>0</v>
      </c>
      <c r="J22" s="42" t="n">
        <f aca="false">I22-H22</f>
        <v>0</v>
      </c>
      <c r="K22" s="64" t="str">
        <f aca="false">IF(H22=0,"N/A",(J22/H22)*100)</f>
        <v>N/A</v>
      </c>
      <c r="L22" s="53"/>
    </row>
    <row r="23" customFormat="false" ht="12.75" hidden="false" customHeight="false" outlineLevel="0" collapsed="false">
      <c r="A23" s="12"/>
      <c r="B23" s="12" t="n">
        <v>14</v>
      </c>
      <c r="C23" s="11" t="s">
        <v>83</v>
      </c>
      <c r="D23" s="57"/>
      <c r="E23" s="12"/>
      <c r="F23" s="12"/>
      <c r="G23" s="12"/>
      <c r="H23" s="46" t="n">
        <f aca="false">SUM(H18:H22)</f>
        <v>0</v>
      </c>
      <c r="I23" s="46" t="n">
        <f aca="false">SUM(I18:I22)</f>
        <v>0</v>
      </c>
      <c r="J23" s="45" t="n">
        <f aca="false">I23-H23</f>
        <v>0</v>
      </c>
      <c r="K23" s="65" t="str">
        <f aca="false">IF(H23=0,"N/A",(J23/H23)*100)</f>
        <v>N/A</v>
      </c>
      <c r="L23" s="47"/>
    </row>
    <row r="24" customFormat="false" ht="12.75" hidden="false" customHeight="false" outlineLevel="0" collapsed="false">
      <c r="A24" s="12"/>
      <c r="B24" s="12"/>
      <c r="C24" s="12"/>
      <c r="D24" s="12"/>
      <c r="E24" s="12"/>
      <c r="F24" s="12"/>
      <c r="G24" s="12"/>
      <c r="H24" s="66"/>
      <c r="I24" s="38"/>
      <c r="J24" s="38"/>
      <c r="K24" s="67"/>
      <c r="L24" s="39"/>
    </row>
    <row r="25" customFormat="false" ht="12.75" hidden="false" customHeight="false" outlineLevel="0" collapsed="false">
      <c r="A25" s="12"/>
      <c r="B25" s="12"/>
      <c r="C25" s="22" t="s">
        <v>84</v>
      </c>
      <c r="D25" s="11"/>
      <c r="E25" s="12"/>
      <c r="F25" s="12"/>
      <c r="G25" s="12"/>
      <c r="H25" s="66"/>
      <c r="I25" s="38"/>
      <c r="J25" s="38"/>
      <c r="K25" s="67"/>
      <c r="L25" s="39"/>
    </row>
    <row r="26" customFormat="false" ht="12.75" hidden="false" customHeight="false" outlineLevel="0" collapsed="false">
      <c r="A26" s="12"/>
      <c r="B26" s="12" t="n">
        <v>15</v>
      </c>
      <c r="C26" s="11" t="s">
        <v>85</v>
      </c>
      <c r="D26" s="57"/>
      <c r="E26" s="12"/>
      <c r="F26" s="12"/>
      <c r="G26" s="12"/>
      <c r="H26" s="40" t="n">
        <v>0</v>
      </c>
      <c r="I26" s="52" t="n">
        <v>0</v>
      </c>
      <c r="J26" s="42" t="n">
        <f aca="false">I26-H26</f>
        <v>0</v>
      </c>
      <c r="K26" s="64" t="str">
        <f aca="false">IF(H26=0,"N/A",(J26/H26)*100)</f>
        <v>N/A</v>
      </c>
      <c r="L26" s="53"/>
    </row>
    <row r="27" customFormat="false" ht="12.75" hidden="false" customHeight="false" outlineLevel="0" collapsed="false">
      <c r="A27" s="12"/>
      <c r="B27" s="12" t="n">
        <v>16</v>
      </c>
      <c r="C27" s="11" t="s">
        <v>86</v>
      </c>
      <c r="D27" s="57"/>
      <c r="E27" s="12"/>
      <c r="F27" s="12"/>
      <c r="G27" s="12"/>
      <c r="H27" s="40" t="n">
        <v>0</v>
      </c>
      <c r="I27" s="52" t="n">
        <v>0</v>
      </c>
      <c r="J27" s="42" t="n">
        <f aca="false">I27-H27</f>
        <v>0</v>
      </c>
      <c r="K27" s="64" t="str">
        <f aca="false">IF(H27=0,"N/A",(J27/H27)*100)</f>
        <v>N/A</v>
      </c>
      <c r="L27" s="53"/>
    </row>
    <row r="28" customFormat="false" ht="12.75" hidden="false" customHeight="false" outlineLevel="0" collapsed="false">
      <c r="A28" s="12"/>
      <c r="B28" s="12" t="n">
        <v>17</v>
      </c>
      <c r="C28" s="11" t="s">
        <v>87</v>
      </c>
      <c r="D28" s="57"/>
      <c r="E28" s="12"/>
      <c r="F28" s="12"/>
      <c r="G28" s="12"/>
      <c r="H28" s="40" t="n">
        <v>0</v>
      </c>
      <c r="I28" s="52" t="n">
        <v>0</v>
      </c>
      <c r="J28" s="42" t="n">
        <f aca="false">I28-H28</f>
        <v>0</v>
      </c>
      <c r="K28" s="64" t="str">
        <f aca="false">IF(H28=0,"N/A",(J28/H28)*100)</f>
        <v>N/A</v>
      </c>
      <c r="L28" s="53"/>
    </row>
    <row r="29" customFormat="false" ht="12.75" hidden="false" customHeight="false" outlineLevel="0" collapsed="false">
      <c r="A29" s="12"/>
      <c r="B29" s="12" t="n">
        <v>18</v>
      </c>
      <c r="C29" s="11" t="s">
        <v>88</v>
      </c>
      <c r="D29" s="57"/>
      <c r="E29" s="12"/>
      <c r="F29" s="12"/>
      <c r="G29" s="12"/>
      <c r="H29" s="40" t="n">
        <v>0</v>
      </c>
      <c r="I29" s="52" t="n">
        <v>0</v>
      </c>
      <c r="J29" s="42" t="n">
        <f aca="false">I29-H29</f>
        <v>0</v>
      </c>
      <c r="K29" s="64" t="str">
        <f aca="false">IF(H29=0,"N/A",(J29/H29)*100)</f>
        <v>N/A</v>
      </c>
      <c r="L29" s="53"/>
    </row>
    <row r="30" customFormat="false" ht="12.75" hidden="false" customHeight="false" outlineLevel="0" collapsed="false">
      <c r="A30" s="12"/>
      <c r="B30" s="12" t="n">
        <v>19</v>
      </c>
      <c r="C30" s="11" t="s">
        <v>89</v>
      </c>
      <c r="D30" s="57"/>
      <c r="E30" s="12"/>
      <c r="F30" s="12"/>
      <c r="G30" s="12"/>
      <c r="H30" s="40" t="n">
        <v>0</v>
      </c>
      <c r="I30" s="52" t="n">
        <v>0</v>
      </c>
      <c r="J30" s="42" t="n">
        <f aca="false">I30-H30</f>
        <v>0</v>
      </c>
      <c r="K30" s="64" t="str">
        <f aca="false">IF(H30=0,"N/A",(J30/H30)*100)</f>
        <v>N/A</v>
      </c>
      <c r="L30" s="53"/>
    </row>
    <row r="31" customFormat="false" ht="12.75" hidden="false" customHeight="false" outlineLevel="0" collapsed="false">
      <c r="A31" s="12"/>
      <c r="B31" s="12" t="n">
        <v>20</v>
      </c>
      <c r="C31" s="11" t="s">
        <v>90</v>
      </c>
      <c r="D31" s="57"/>
      <c r="E31" s="12"/>
      <c r="F31" s="12"/>
      <c r="G31" s="12"/>
      <c r="H31" s="40" t="n">
        <v>0</v>
      </c>
      <c r="I31" s="52" t="n">
        <v>0</v>
      </c>
      <c r="J31" s="42" t="n">
        <f aca="false">I31-H31</f>
        <v>0</v>
      </c>
      <c r="K31" s="64" t="str">
        <f aca="false">IF(H31=0,"N/A",(J31/H31)*100)</f>
        <v>N/A</v>
      </c>
      <c r="L31" s="53"/>
    </row>
    <row r="32" customFormat="false" ht="12.75" hidden="false" customHeight="false" outlineLevel="0" collapsed="false">
      <c r="A32" s="12"/>
      <c r="B32" s="12" t="n">
        <v>21</v>
      </c>
      <c r="C32" s="11" t="s">
        <v>82</v>
      </c>
      <c r="D32" s="57"/>
      <c r="E32" s="12"/>
      <c r="F32" s="12"/>
      <c r="G32" s="12"/>
      <c r="H32" s="40" t="n">
        <v>0</v>
      </c>
      <c r="I32" s="52" t="n">
        <v>0</v>
      </c>
      <c r="J32" s="42" t="n">
        <f aca="false">I32-H32</f>
        <v>0</v>
      </c>
      <c r="K32" s="64" t="str">
        <f aca="false">IF(H32=0,"N/A",(J32/H32)*100)</f>
        <v>N/A</v>
      </c>
      <c r="L32" s="53"/>
    </row>
    <row r="33" customFormat="false" ht="12.75" hidden="false" customHeight="false" outlineLevel="0" collapsed="false">
      <c r="A33" s="12"/>
      <c r="B33" s="12" t="n">
        <v>22</v>
      </c>
      <c r="C33" s="11" t="s">
        <v>91</v>
      </c>
      <c r="D33" s="57"/>
      <c r="E33" s="12"/>
      <c r="F33" s="12"/>
      <c r="G33" s="12"/>
      <c r="H33" s="46" t="n">
        <f aca="false">SUM(H26:H32)</f>
        <v>0</v>
      </c>
      <c r="I33" s="46" t="n">
        <f aca="false">SUM(I26:I32)</f>
        <v>0</v>
      </c>
      <c r="J33" s="45" t="n">
        <f aca="false">I33-H33</f>
        <v>0</v>
      </c>
      <c r="K33" s="65" t="str">
        <f aca="false">IF(H33=0,"N/A",(J33/H33)*100)</f>
        <v>N/A</v>
      </c>
      <c r="L33" s="47"/>
    </row>
    <row r="34" customFormat="false" ht="12.75" hidden="false" customHeight="false" outlineLevel="0" collapsed="false">
      <c r="A34" s="12"/>
      <c r="B34" s="12"/>
      <c r="C34" s="12"/>
      <c r="D34" s="12"/>
      <c r="E34" s="12"/>
      <c r="F34" s="12"/>
      <c r="G34" s="12"/>
      <c r="H34" s="66"/>
      <c r="I34" s="38"/>
      <c r="J34" s="38"/>
      <c r="K34" s="67"/>
      <c r="L34" s="39"/>
    </row>
    <row r="35" customFormat="false" ht="12.75" hidden="false" customHeight="false" outlineLevel="0" collapsed="false">
      <c r="A35" s="12"/>
      <c r="B35" s="12" t="n">
        <v>23</v>
      </c>
      <c r="C35" s="11" t="s">
        <v>92</v>
      </c>
      <c r="D35" s="11"/>
      <c r="E35" s="12"/>
      <c r="F35" s="12"/>
      <c r="G35" s="12"/>
      <c r="H35" s="46" t="n">
        <f aca="false">H23-H33</f>
        <v>0</v>
      </c>
      <c r="I35" s="46" t="n">
        <f aca="false">I23-I33</f>
        <v>0</v>
      </c>
      <c r="J35" s="45" t="n">
        <f aca="false">I35-H35</f>
        <v>0</v>
      </c>
      <c r="K35" s="65" t="str">
        <f aca="false">IF(H35=0,"N/A",(J35/H35)*100)</f>
        <v>N/A</v>
      </c>
      <c r="L35" s="47"/>
    </row>
    <row r="36" customFormat="false" ht="12.75" hidden="false" customHeight="false" outlineLevel="0" collapsed="false">
      <c r="A36" s="12"/>
      <c r="B36" s="12"/>
      <c r="C36" s="12"/>
      <c r="D36" s="12"/>
      <c r="E36" s="12"/>
      <c r="F36" s="12"/>
      <c r="G36" s="12"/>
      <c r="H36" s="66"/>
      <c r="I36" s="38"/>
      <c r="J36" s="38"/>
      <c r="K36" s="67"/>
      <c r="L36" s="39"/>
    </row>
    <row r="37" customFormat="false" ht="12.75" hidden="false" customHeight="false" outlineLevel="0" collapsed="false">
      <c r="A37" s="12"/>
      <c r="B37" s="12" t="n">
        <v>24</v>
      </c>
      <c r="C37" s="11" t="s">
        <v>93</v>
      </c>
      <c r="D37" s="11"/>
      <c r="E37" s="12"/>
      <c r="F37" s="12"/>
      <c r="G37" s="12"/>
      <c r="H37" s="46" t="n">
        <f aca="false">H13+H15+H35</f>
        <v>0</v>
      </c>
      <c r="I37" s="46" t="n">
        <f aca="false">I13+I15+I35</f>
        <v>0</v>
      </c>
      <c r="J37" s="45" t="n">
        <f aca="false">I37-H37</f>
        <v>0</v>
      </c>
      <c r="K37" s="65" t="str">
        <f aca="false">IF(H37=0,"N/A",(J37/H37)*100)</f>
        <v>N/A</v>
      </c>
      <c r="L37" s="47"/>
    </row>
    <row r="38" customFormat="false" ht="12.75" hidden="false" customHeight="false" outlineLevel="0" collapsed="false">
      <c r="A38" s="12"/>
      <c r="B38" s="12"/>
      <c r="C38" s="12"/>
      <c r="D38" s="12"/>
      <c r="E38" s="12"/>
      <c r="F38" s="12"/>
      <c r="G38" s="12"/>
      <c r="H38" s="66"/>
      <c r="I38" s="68" t="s">
        <v>94</v>
      </c>
      <c r="J38" s="68" t="s">
        <v>94</v>
      </c>
      <c r="K38" s="69" t="s">
        <v>94</v>
      </c>
      <c r="L38" s="70"/>
    </row>
    <row r="39" customFormat="false" ht="12.75" hidden="false" customHeight="false" outlineLevel="0" collapsed="false">
      <c r="A39" s="12"/>
      <c r="B39" s="12"/>
      <c r="C39" s="22" t="s">
        <v>95</v>
      </c>
      <c r="D39" s="11"/>
      <c r="E39" s="11"/>
      <c r="F39" s="11"/>
      <c r="G39" s="11"/>
      <c r="H39" s="66"/>
      <c r="I39" s="66"/>
      <c r="J39" s="66"/>
      <c r="K39" s="71"/>
      <c r="L39" s="53"/>
    </row>
    <row r="40" customFormat="false" ht="12.75" hidden="false" customHeight="false" outlineLevel="0" collapsed="false">
      <c r="A40" s="12"/>
      <c r="B40" s="12" t="n">
        <v>25</v>
      </c>
      <c r="C40" s="11" t="s">
        <v>86</v>
      </c>
      <c r="D40" s="57"/>
      <c r="E40" s="11"/>
      <c r="F40" s="11"/>
      <c r="G40" s="11"/>
      <c r="H40" s="40" t="n">
        <v>0</v>
      </c>
      <c r="I40" s="52" t="n">
        <v>0</v>
      </c>
      <c r="J40" s="42" t="n">
        <f aca="false">I40-H40</f>
        <v>0</v>
      </c>
      <c r="K40" s="64" t="str">
        <f aca="false">IF(H40=0,"N/A",(J40/H40)*100)</f>
        <v>N/A</v>
      </c>
      <c r="L40" s="53"/>
    </row>
    <row r="41" customFormat="false" ht="12.75" hidden="false" customHeight="false" outlineLevel="0" collapsed="false">
      <c r="A41" s="12"/>
      <c r="B41" s="12" t="n">
        <v>26</v>
      </c>
      <c r="C41" s="11" t="s">
        <v>96</v>
      </c>
      <c r="D41" s="57"/>
      <c r="E41" s="11"/>
      <c r="F41" s="11"/>
      <c r="G41" s="11"/>
      <c r="H41" s="40" t="n">
        <v>0</v>
      </c>
      <c r="I41" s="52" t="n">
        <v>0</v>
      </c>
      <c r="J41" s="42" t="n">
        <f aca="false">I41-H41</f>
        <v>0</v>
      </c>
      <c r="K41" s="64" t="str">
        <f aca="false">IF(H41=0,"N/A",(J41/H41)*100)</f>
        <v>N/A</v>
      </c>
      <c r="L41" s="53"/>
    </row>
    <row r="42" customFormat="false" ht="12.75" hidden="false" customHeight="false" outlineLevel="0" collapsed="false">
      <c r="A42" s="12"/>
      <c r="B42" s="12" t="n">
        <v>27</v>
      </c>
      <c r="C42" s="11" t="s">
        <v>97</v>
      </c>
      <c r="D42" s="57"/>
      <c r="E42" s="11"/>
      <c r="F42" s="11"/>
      <c r="G42" s="11"/>
      <c r="H42" s="40" t="n">
        <v>0</v>
      </c>
      <c r="I42" s="52" t="n">
        <v>0</v>
      </c>
      <c r="J42" s="42" t="n">
        <f aca="false">I42-H42</f>
        <v>0</v>
      </c>
      <c r="K42" s="64" t="str">
        <f aca="false">IF(H42=0,"N/A",(J42/H42)*100)</f>
        <v>N/A</v>
      </c>
      <c r="L42" s="53"/>
    </row>
    <row r="43" customFormat="false" ht="12.75" hidden="false" customHeight="false" outlineLevel="0" collapsed="false">
      <c r="A43" s="12"/>
      <c r="B43" s="12" t="n">
        <v>28</v>
      </c>
      <c r="C43" s="11" t="s">
        <v>90</v>
      </c>
      <c r="D43" s="57"/>
      <c r="E43" s="11"/>
      <c r="F43" s="11"/>
      <c r="G43" s="11"/>
      <c r="H43" s="40" t="n">
        <v>0</v>
      </c>
      <c r="I43" s="52" t="n">
        <v>0</v>
      </c>
      <c r="J43" s="42" t="n">
        <f aca="false">I43-H43</f>
        <v>0</v>
      </c>
      <c r="K43" s="64" t="str">
        <f aca="false">IF(H43=0,"N/A",(J43/H43)*100)</f>
        <v>N/A</v>
      </c>
      <c r="L43" s="53"/>
    </row>
    <row r="44" customFormat="false" ht="12.75" hidden="false" customHeight="false" outlineLevel="0" collapsed="false">
      <c r="A44" s="12"/>
      <c r="B44" s="12" t="n">
        <v>29</v>
      </c>
      <c r="C44" s="11" t="s">
        <v>98</v>
      </c>
      <c r="D44" s="57"/>
      <c r="E44" s="11"/>
      <c r="F44" s="11"/>
      <c r="G44" s="11"/>
      <c r="H44" s="46" t="n">
        <f aca="false">SUM(H40:H43)</f>
        <v>0</v>
      </c>
      <c r="I44" s="46" t="n">
        <f aca="false">SUM(I40:I43)</f>
        <v>0</v>
      </c>
      <c r="J44" s="45" t="n">
        <f aca="false">I44-H44</f>
        <v>0</v>
      </c>
      <c r="K44" s="65" t="str">
        <f aca="false">IF(H44=0,"N/A",(J44/H44)*100)</f>
        <v>N/A</v>
      </c>
      <c r="L44" s="72"/>
    </row>
    <row r="45" customFormat="false" ht="12.75" hidden="false" customHeight="false" outlineLevel="0" collapsed="false">
      <c r="A45" s="12"/>
      <c r="B45" s="12"/>
      <c r="C45" s="12"/>
      <c r="D45" s="12"/>
      <c r="E45" s="12"/>
      <c r="F45" s="12"/>
      <c r="G45" s="12"/>
      <c r="H45" s="66"/>
      <c r="I45" s="38"/>
      <c r="J45" s="38"/>
      <c r="K45" s="67"/>
      <c r="L45" s="39"/>
    </row>
    <row r="46" customFormat="false" ht="12.75" hidden="false" customHeight="false" outlineLevel="0" collapsed="false">
      <c r="A46" s="12"/>
      <c r="B46" s="12"/>
      <c r="C46" s="22" t="s">
        <v>99</v>
      </c>
      <c r="D46" s="11"/>
      <c r="E46" s="12"/>
      <c r="F46" s="12"/>
      <c r="G46" s="12"/>
      <c r="H46" s="66"/>
      <c r="I46" s="38"/>
      <c r="J46" s="38"/>
      <c r="K46" s="67"/>
      <c r="L46" s="53"/>
    </row>
    <row r="47" customFormat="false" ht="12.75" hidden="false" customHeight="false" outlineLevel="0" collapsed="false">
      <c r="A47" s="12"/>
      <c r="B47" s="12" t="n">
        <v>30</v>
      </c>
      <c r="C47" s="11" t="s">
        <v>100</v>
      </c>
      <c r="D47" s="57"/>
      <c r="E47" s="12"/>
      <c r="F47" s="12"/>
      <c r="G47" s="12"/>
      <c r="H47" s="40" t="n">
        <v>0</v>
      </c>
      <c r="I47" s="52" t="n">
        <v>0</v>
      </c>
      <c r="J47" s="42" t="n">
        <f aca="false">I47-H47</f>
        <v>0</v>
      </c>
      <c r="K47" s="64" t="str">
        <f aca="false">IF(H47=0,"N/A",(J47/H47)*100)</f>
        <v>N/A</v>
      </c>
      <c r="L47" s="53"/>
    </row>
    <row r="48" customFormat="false" ht="12.75" hidden="false" customHeight="false" outlineLevel="0" collapsed="false">
      <c r="A48" s="12"/>
      <c r="B48" s="12"/>
      <c r="C48" s="12"/>
      <c r="D48" s="12"/>
      <c r="E48" s="12"/>
      <c r="F48" s="12"/>
      <c r="G48" s="12"/>
      <c r="H48" s="66"/>
      <c r="I48" s="38"/>
      <c r="J48" s="38"/>
      <c r="K48" s="67"/>
      <c r="L48" s="39"/>
    </row>
    <row r="49" customFormat="false" ht="12.75" hidden="false" customHeight="false" outlineLevel="0" collapsed="false">
      <c r="A49" s="12"/>
      <c r="B49" s="12" t="n">
        <v>31</v>
      </c>
      <c r="C49" s="1" t="s">
        <v>101</v>
      </c>
      <c r="D49" s="11"/>
      <c r="E49" s="12"/>
      <c r="F49" s="12"/>
      <c r="G49" s="12"/>
      <c r="H49" s="46" t="n">
        <f aca="false">H37-H44-H47</f>
        <v>0</v>
      </c>
      <c r="I49" s="46" t="n">
        <f aca="false">I37-I44-I47</f>
        <v>0</v>
      </c>
      <c r="J49" s="45" t="n">
        <f aca="false">I49-H49</f>
        <v>0</v>
      </c>
      <c r="K49" s="65" t="str">
        <f aca="false">IF(H49=0,"N/A",(J49/H49)*100)</f>
        <v>N/A</v>
      </c>
      <c r="L49" s="47"/>
    </row>
    <row r="50" customFormat="false" ht="12.75" hidden="false" customHeight="false" outlineLevel="0" collapsed="false">
      <c r="A50" s="12"/>
      <c r="B50" s="12"/>
      <c r="C50" s="12"/>
      <c r="D50" s="12"/>
      <c r="E50" s="12"/>
      <c r="F50" s="12"/>
      <c r="G50" s="12"/>
      <c r="H50" s="66"/>
      <c r="I50" s="38"/>
      <c r="J50" s="38"/>
      <c r="K50" s="67"/>
      <c r="L50" s="39"/>
    </row>
    <row r="51" customFormat="false" ht="12.75" hidden="false" customHeight="false" outlineLevel="0" collapsed="false">
      <c r="A51" s="12"/>
      <c r="B51" s="12"/>
      <c r="C51" s="22" t="s">
        <v>102</v>
      </c>
      <c r="D51" s="11"/>
      <c r="E51" s="12"/>
      <c r="F51" s="12"/>
      <c r="G51" s="12"/>
      <c r="H51" s="66"/>
      <c r="I51" s="38"/>
      <c r="J51" s="38"/>
      <c r="K51" s="67"/>
      <c r="L51" s="53"/>
    </row>
    <row r="52" customFormat="false" ht="12.75" hidden="false" customHeight="false" outlineLevel="0" collapsed="false">
      <c r="A52" s="12"/>
      <c r="B52" s="12" t="n">
        <v>32</v>
      </c>
      <c r="C52" s="11" t="s">
        <v>103</v>
      </c>
      <c r="D52" s="57"/>
      <c r="E52" s="12"/>
      <c r="F52" s="12"/>
      <c r="G52" s="12"/>
      <c r="H52" s="40" t="n">
        <v>0</v>
      </c>
      <c r="I52" s="52" t="n">
        <v>0</v>
      </c>
      <c r="J52" s="42" t="n">
        <f aca="false">I52-H52</f>
        <v>0</v>
      </c>
      <c r="K52" s="64" t="str">
        <f aca="false">IF(H52=0,"N/A",(J52/H52)*100)</f>
        <v>N/A</v>
      </c>
      <c r="L52" s="53"/>
    </row>
    <row r="53" customFormat="false" ht="12.75" hidden="false" customHeight="false" outlineLevel="0" collapsed="false">
      <c r="A53" s="12"/>
      <c r="B53" s="12" t="n">
        <v>33</v>
      </c>
      <c r="C53" s="11" t="s">
        <v>104</v>
      </c>
      <c r="D53" s="57"/>
      <c r="E53" s="12"/>
      <c r="F53" s="12"/>
      <c r="G53" s="12"/>
      <c r="H53" s="40" t="n">
        <v>0</v>
      </c>
      <c r="I53" s="52" t="n">
        <v>0</v>
      </c>
      <c r="J53" s="42" t="n">
        <f aca="false">I53-H53</f>
        <v>0</v>
      </c>
      <c r="K53" s="64" t="str">
        <f aca="false">IF(H53=0,"N/A",(J53/H53)*100)</f>
        <v>N/A</v>
      </c>
      <c r="L53" s="53"/>
    </row>
    <row r="54" customFormat="false" ht="12.75" hidden="false" customHeight="false" outlineLevel="0" collapsed="false">
      <c r="A54" s="12"/>
      <c r="B54" s="12" t="n">
        <v>34</v>
      </c>
      <c r="C54" s="11" t="s">
        <v>105</v>
      </c>
      <c r="D54" s="57"/>
      <c r="E54" s="12"/>
      <c r="F54" s="12"/>
      <c r="G54" s="12"/>
      <c r="H54" s="40" t="n">
        <v>0</v>
      </c>
      <c r="I54" s="52" t="n">
        <v>0</v>
      </c>
      <c r="J54" s="42" t="n">
        <f aca="false">I54-H54</f>
        <v>0</v>
      </c>
      <c r="K54" s="64" t="str">
        <f aca="false">IF(H54=0,"N/A",(J54/H54)*100)</f>
        <v>N/A</v>
      </c>
      <c r="L54" s="53"/>
    </row>
    <row r="55" customFormat="false" ht="12.75" hidden="false" customHeight="false" outlineLevel="0" collapsed="false">
      <c r="A55" s="12"/>
      <c r="B55" s="12" t="n">
        <v>35</v>
      </c>
      <c r="C55" s="11" t="s">
        <v>106</v>
      </c>
      <c r="D55" s="57"/>
      <c r="E55" s="12"/>
      <c r="F55" s="12"/>
      <c r="G55" s="12"/>
      <c r="H55" s="40" t="n">
        <v>0</v>
      </c>
      <c r="I55" s="52" t="n">
        <v>0</v>
      </c>
      <c r="J55" s="42" t="n">
        <f aca="false">I55-H55</f>
        <v>0</v>
      </c>
      <c r="K55" s="64" t="str">
        <f aca="false">IF(H55=0,"N/A",(J55/H55)*100)</f>
        <v>N/A</v>
      </c>
      <c r="L55" s="53"/>
    </row>
    <row r="56" customFormat="false" ht="12.75" hidden="false" customHeight="false" outlineLevel="0" collapsed="false">
      <c r="A56" s="12"/>
      <c r="B56" s="12" t="n">
        <v>36</v>
      </c>
      <c r="C56" s="11" t="s">
        <v>107</v>
      </c>
      <c r="D56" s="57"/>
      <c r="E56" s="12"/>
      <c r="F56" s="12"/>
      <c r="G56" s="12"/>
      <c r="H56" s="46" t="n">
        <f aca="false">SUM(H52:H55)</f>
        <v>0</v>
      </c>
      <c r="I56" s="46" t="n">
        <f aca="false">SUM(I52:I55)</f>
        <v>0</v>
      </c>
      <c r="J56" s="45" t="n">
        <f aca="false">I56-H56</f>
        <v>0</v>
      </c>
      <c r="K56" s="65" t="str">
        <f aca="false">IF(H56=0,"N/A",(J56/H56)*100)</f>
        <v>N/A</v>
      </c>
      <c r="L56" s="72"/>
    </row>
    <row r="57" customFormat="false" ht="12.75" hidden="false" customHeight="false" outlineLevel="0" collapsed="false">
      <c r="A57" s="12"/>
      <c r="B57" s="12"/>
      <c r="C57" s="12"/>
      <c r="D57" s="12"/>
      <c r="E57" s="12"/>
      <c r="F57" s="12"/>
      <c r="G57" s="12"/>
      <c r="H57" s="66"/>
      <c r="I57" s="38"/>
      <c r="J57" s="38"/>
      <c r="K57" s="67"/>
      <c r="L57" s="39"/>
    </row>
    <row r="58" customFormat="false" ht="12.75" hidden="false" customHeight="false" outlineLevel="0" collapsed="false">
      <c r="A58" s="12"/>
      <c r="B58" s="12"/>
      <c r="C58" s="22" t="s">
        <v>108</v>
      </c>
      <c r="D58" s="12"/>
      <c r="E58" s="12"/>
      <c r="F58" s="12"/>
      <c r="G58" s="12"/>
      <c r="H58" s="66"/>
      <c r="I58" s="38"/>
      <c r="J58" s="38"/>
      <c r="K58" s="67"/>
      <c r="L58" s="39"/>
    </row>
    <row r="59" customFormat="false" ht="12.75" hidden="false" customHeight="false" outlineLevel="0" collapsed="false">
      <c r="A59" s="12"/>
      <c r="B59" s="12" t="n">
        <v>37</v>
      </c>
      <c r="C59" s="11" t="s">
        <v>108</v>
      </c>
      <c r="D59" s="11"/>
      <c r="E59" s="12"/>
      <c r="F59" s="12"/>
      <c r="G59" s="12"/>
      <c r="H59" s="43" t="n">
        <f aca="false">H15</f>
        <v>0</v>
      </c>
      <c r="I59" s="43" t="n">
        <f aca="false">I15</f>
        <v>0</v>
      </c>
      <c r="J59" s="42" t="n">
        <f aca="false">I59-H59</f>
        <v>0</v>
      </c>
      <c r="K59" s="64" t="str">
        <f aca="false">IF(H59=0,"N/A",(J59/H59)*100)</f>
        <v>N/A</v>
      </c>
      <c r="L59" s="39"/>
    </row>
    <row r="60" customFormat="false" ht="12.75" hidden="false" customHeight="false" outlineLevel="0" collapsed="false">
      <c r="A60" s="12"/>
      <c r="B60" s="12"/>
      <c r="C60" s="12"/>
      <c r="D60" s="12"/>
      <c r="E60" s="12"/>
      <c r="F60" s="12"/>
      <c r="G60" s="12"/>
      <c r="H60" s="66"/>
      <c r="I60" s="38"/>
      <c r="J60" s="38"/>
      <c r="K60" s="67"/>
      <c r="L60" s="39"/>
    </row>
    <row r="61" customFormat="false" ht="12.75" hidden="false" customHeight="false" outlineLevel="0" collapsed="false">
      <c r="A61" s="12"/>
      <c r="B61" s="12"/>
      <c r="C61" s="22" t="s">
        <v>109</v>
      </c>
      <c r="D61" s="11"/>
      <c r="E61" s="12"/>
      <c r="F61" s="12"/>
      <c r="G61" s="12"/>
      <c r="H61" s="66"/>
      <c r="I61" s="38"/>
      <c r="J61" s="38"/>
      <c r="K61" s="67"/>
      <c r="L61" s="39"/>
    </row>
    <row r="62" customFormat="false" ht="12.75" hidden="false" customHeight="false" outlineLevel="0" collapsed="false">
      <c r="A62" s="12"/>
      <c r="B62" s="12" t="n">
        <v>38</v>
      </c>
      <c r="C62" s="11" t="s">
        <v>110</v>
      </c>
      <c r="D62" s="57"/>
      <c r="E62" s="12"/>
      <c r="F62" s="12"/>
      <c r="G62" s="12"/>
      <c r="H62" s="73" t="n">
        <v>0</v>
      </c>
      <c r="I62" s="52" t="n">
        <v>0</v>
      </c>
      <c r="J62" s="42" t="n">
        <f aca="false">I62-H62</f>
        <v>0</v>
      </c>
      <c r="K62" s="64" t="str">
        <f aca="false">IF(H62=0,"N/A",(J62/H62)*100)</f>
        <v>N/A</v>
      </c>
      <c r="L62" s="53"/>
    </row>
    <row r="63" customFormat="false" ht="12.75" hidden="false" customHeight="false" outlineLevel="0" collapsed="false">
      <c r="A63" s="12"/>
      <c r="B63" s="12" t="n">
        <v>39</v>
      </c>
      <c r="C63" s="11" t="s">
        <v>111</v>
      </c>
      <c r="D63" s="57"/>
      <c r="E63" s="12"/>
      <c r="F63" s="12"/>
      <c r="G63" s="12"/>
      <c r="H63" s="40" t="n">
        <v>0</v>
      </c>
      <c r="I63" s="52" t="n">
        <v>0</v>
      </c>
      <c r="J63" s="42" t="n">
        <f aca="false">I63-H63</f>
        <v>0</v>
      </c>
      <c r="K63" s="64" t="str">
        <f aca="false">IF(H63=0,"N/A",(J63/H63)*100)</f>
        <v>N/A</v>
      </c>
      <c r="L63" s="53"/>
    </row>
    <row r="64" customFormat="false" ht="12.75" hidden="false" customHeight="false" outlineLevel="0" collapsed="false">
      <c r="A64" s="12"/>
      <c r="B64" s="12" t="n">
        <v>40</v>
      </c>
      <c r="C64" s="12" t="s">
        <v>112</v>
      </c>
      <c r="D64" s="57"/>
      <c r="E64" s="12"/>
      <c r="F64" s="12"/>
      <c r="G64" s="12"/>
      <c r="H64" s="40" t="n">
        <v>0</v>
      </c>
      <c r="I64" s="52" t="n">
        <v>0</v>
      </c>
      <c r="J64" s="42" t="n">
        <f aca="false">I64-H64</f>
        <v>0</v>
      </c>
      <c r="K64" s="64" t="str">
        <f aca="false">IF(H64=0,"N/A",(J64/H64)*100)</f>
        <v>N/A</v>
      </c>
      <c r="L64" s="53"/>
    </row>
    <row r="65" customFormat="false" ht="12.75" hidden="false" customHeight="false" outlineLevel="0" collapsed="false">
      <c r="A65" s="12"/>
      <c r="B65" s="12" t="n">
        <v>41</v>
      </c>
      <c r="C65" s="11" t="s">
        <v>113</v>
      </c>
      <c r="D65" s="57"/>
      <c r="E65" s="12"/>
      <c r="F65" s="12"/>
      <c r="G65" s="12"/>
      <c r="H65" s="40" t="n">
        <v>0</v>
      </c>
      <c r="I65" s="52" t="n">
        <v>0</v>
      </c>
      <c r="J65" s="42" t="n">
        <f aca="false">I65-H65</f>
        <v>0</v>
      </c>
      <c r="K65" s="64" t="str">
        <f aca="false">IF(H65=0,"N/A",(J65/H65)*100)</f>
        <v>N/A</v>
      </c>
      <c r="L65" s="53"/>
    </row>
    <row r="66" customFormat="false" ht="12.75" hidden="false" customHeight="false" outlineLevel="0" collapsed="false">
      <c r="A66" s="12"/>
      <c r="B66" s="12" t="n">
        <v>42</v>
      </c>
      <c r="C66" s="11" t="s">
        <v>52</v>
      </c>
      <c r="D66" s="57"/>
      <c r="E66" s="12"/>
      <c r="F66" s="12"/>
      <c r="G66" s="12"/>
      <c r="H66" s="40" t="n">
        <v>0</v>
      </c>
      <c r="I66" s="52" t="n">
        <v>0</v>
      </c>
      <c r="J66" s="42" t="n">
        <f aca="false">I66-H66</f>
        <v>0</v>
      </c>
      <c r="K66" s="64" t="str">
        <f aca="false">IF(H66=0,"N/A",(J66/H66)*100)</f>
        <v>N/A</v>
      </c>
      <c r="L66" s="53"/>
    </row>
    <row r="67" customFormat="false" ht="12.75" hidden="false" customHeight="false" outlineLevel="0" collapsed="false">
      <c r="A67" s="12"/>
      <c r="B67" s="12" t="n">
        <v>43</v>
      </c>
      <c r="C67" s="11" t="s">
        <v>114</v>
      </c>
      <c r="D67" s="57"/>
      <c r="E67" s="12"/>
      <c r="F67" s="12"/>
      <c r="G67" s="12"/>
      <c r="H67" s="46" t="n">
        <f aca="false">SUM(H62:H66)</f>
        <v>0</v>
      </c>
      <c r="I67" s="46" t="n">
        <f aca="false">SUM(I62:I66)</f>
        <v>0</v>
      </c>
      <c r="J67" s="45" t="n">
        <f aca="false">I67-H67</f>
        <v>0</v>
      </c>
      <c r="K67" s="65" t="str">
        <f aca="false">IF(H67=0,"N/A",(J67/H67)*100)</f>
        <v>N/A</v>
      </c>
      <c r="L67" s="47"/>
    </row>
    <row r="68" customFormat="false" ht="12.75" hidden="false" customHeight="false" outlineLevel="0" collapsed="false">
      <c r="A68" s="12"/>
      <c r="B68" s="12"/>
      <c r="C68" s="12"/>
      <c r="D68" s="12"/>
      <c r="E68" s="12"/>
      <c r="F68" s="12"/>
      <c r="G68" s="12"/>
      <c r="H68" s="74"/>
      <c r="I68" s="38"/>
      <c r="J68" s="38"/>
      <c r="K68" s="75"/>
      <c r="L68" s="39"/>
    </row>
    <row r="69" customFormat="false" ht="12.75" hidden="false" customHeight="false" outlineLevel="0" collapsed="false">
      <c r="A69" s="12"/>
      <c r="B69" s="12" t="n">
        <v>44</v>
      </c>
      <c r="C69" s="1" t="s">
        <v>115</v>
      </c>
      <c r="D69" s="11"/>
      <c r="E69" s="12"/>
      <c r="F69" s="12"/>
      <c r="G69" s="12"/>
      <c r="H69" s="46" t="n">
        <f aca="false">H56+H59+H67</f>
        <v>0</v>
      </c>
      <c r="I69" s="46" t="n">
        <f aca="false">I56+I59+I67</f>
        <v>0</v>
      </c>
      <c r="J69" s="45" t="n">
        <f aca="false">I69-H69</f>
        <v>0</v>
      </c>
      <c r="K69" s="65" t="str">
        <f aca="false">K49</f>
        <v>N/A</v>
      </c>
      <c r="L69" s="47"/>
    </row>
    <row r="70" customFormat="false" ht="12.75" hidden="false" customHeight="false" outlineLevel="0" collapsed="false">
      <c r="A70" s="12"/>
      <c r="B70" s="12"/>
      <c r="C70" s="11"/>
      <c r="D70" s="11"/>
      <c r="E70" s="12"/>
      <c r="F70" s="12"/>
      <c r="G70" s="12"/>
      <c r="H70" s="74"/>
      <c r="I70" s="38"/>
      <c r="J70" s="38"/>
      <c r="K70" s="76"/>
      <c r="L70" s="39"/>
    </row>
    <row r="71" customFormat="false" ht="12.75" hidden="false" customHeight="false" outlineLevel="0" collapsed="false">
      <c r="A71" s="12"/>
      <c r="B71" s="12" t="n">
        <v>45</v>
      </c>
      <c r="C71" s="11" t="s">
        <v>116</v>
      </c>
      <c r="D71" s="11"/>
      <c r="E71" s="12"/>
      <c r="F71" s="12"/>
      <c r="G71" s="12"/>
      <c r="H71" s="77" t="n">
        <f aca="false">H65</f>
        <v>0</v>
      </c>
      <c r="I71" s="77" t="n">
        <f aca="false">I65</f>
        <v>0</v>
      </c>
      <c r="J71" s="77" t="n">
        <f aca="false">J65</f>
        <v>0</v>
      </c>
      <c r="K71" s="65" t="str">
        <f aca="false">IF(H71=0,"N/A",(J71/H71)*100)</f>
        <v>N/A</v>
      </c>
      <c r="L71" s="47"/>
    </row>
    <row r="72" customFormat="false" ht="12.75" hidden="false" customHeight="false" outlineLevel="0" collapsed="false">
      <c r="A72" s="12"/>
      <c r="B72" s="12"/>
      <c r="C72" s="1" t="s">
        <v>117</v>
      </c>
      <c r="D72" s="11"/>
      <c r="E72" s="12"/>
      <c r="F72" s="12"/>
      <c r="G72" s="12"/>
      <c r="H72" s="12"/>
      <c r="I72" s="12"/>
      <c r="J72" s="12"/>
      <c r="K72" s="12"/>
      <c r="L72" s="39"/>
    </row>
    <row r="73" customFormat="false" ht="12.75" hidden="false" customHeight="false" outlineLevel="0" collapsed="false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39"/>
    </row>
    <row r="74" customFormat="false" ht="12.75" hidden="false" customHeight="false" outlineLevel="0" collapsed="false">
      <c r="A74" s="12"/>
      <c r="B74" s="12"/>
      <c r="C74" s="11" t="s">
        <v>118</v>
      </c>
      <c r="D74" s="12"/>
      <c r="E74" s="57"/>
      <c r="F74" s="11"/>
      <c r="G74" s="11"/>
      <c r="H74" s="46" t="n">
        <f aca="false">H49-H69</f>
        <v>0</v>
      </c>
      <c r="I74" s="78" t="n">
        <f aca="false">I49-I69</f>
        <v>0</v>
      </c>
      <c r="J74" s="78" t="n">
        <f aca="false">J49-J69</f>
        <v>0</v>
      </c>
      <c r="K74" s="65" t="str">
        <f aca="false">IF(H74=0,"N/A",(J74/H74)*100)</f>
        <v>N/A</v>
      </c>
      <c r="L74" s="47"/>
    </row>
    <row r="75" customFormat="false" ht="12.75" hidden="false" customHeight="false" outlineLevel="0" collapsed="false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</row>
  </sheetData>
  <sheetProtection sheet="true" objects="true" scenarios="true"/>
  <printOptions headings="false" gridLines="false" gridLinesSet="true" horizontalCentered="false" verticalCentered="false"/>
  <pageMargins left="0.747916666666667" right="0.747916666666667" top="0.984027777777778" bottom="0.984027777777778" header="0.5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&amp;C&amp;A&amp;RAnnex E</oddHeader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V7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9.05078125" defaultRowHeight="12" zeroHeight="false" outlineLevelRow="0" outlineLevelCol="0"/>
  <cols>
    <col collapsed="false" customWidth="true" hidden="false" outlineLevel="0" max="2" min="2" style="0" width="3.61"/>
    <col collapsed="false" customWidth="true" hidden="false" outlineLevel="0" max="3" min="3" style="0" width="16.34"/>
    <col collapsed="false" customWidth="true" hidden="false" outlineLevel="0" max="6" min="6" style="0" width="11.6"/>
    <col collapsed="false" customWidth="true" hidden="false" outlineLevel="0" max="9" min="9" style="0" width="10.1"/>
    <col collapsed="false" customWidth="true" hidden="false" outlineLevel="0" max="12" min="11" style="0" width="10.35"/>
  </cols>
  <sheetData>
    <row r="1" customFormat="false" ht="12.75" hidden="false" customHeight="false" outlineLevel="0" collapsed="false">
      <c r="A1" s="12" t="str">
        <f aca="false">'Table 1.0 I &amp; E - Annex D'!A1</f>
        <v>2002 Financial Forecasts Update</v>
      </c>
      <c r="B1" s="12"/>
      <c r="C1" s="11"/>
      <c r="D1" s="1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24"/>
      <c r="T1" s="24"/>
      <c r="U1" s="26"/>
    </row>
    <row r="2" customFormat="false" ht="12.75" hidden="false" customHeight="false" outlineLevel="0" collapsed="false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24"/>
      <c r="T2" s="24"/>
      <c r="U2" s="26"/>
    </row>
    <row r="3" customFormat="false" ht="12.75" hidden="false" customHeight="false" outlineLevel="0" collapsed="false">
      <c r="A3" s="13" t="s">
        <v>18</v>
      </c>
      <c r="B3" s="80" t="n">
        <v>3</v>
      </c>
      <c r="C3" s="1" t="s">
        <v>119</v>
      </c>
      <c r="D3" s="1"/>
      <c r="E3" s="12"/>
      <c r="F3" s="12"/>
      <c r="G3" s="12"/>
      <c r="H3" s="81" t="s">
        <v>120</v>
      </c>
      <c r="I3" s="12"/>
      <c r="J3" s="12"/>
      <c r="K3" s="12"/>
      <c r="L3" s="12"/>
      <c r="M3" s="19"/>
      <c r="N3" s="12"/>
      <c r="O3" s="12"/>
      <c r="P3" s="19"/>
      <c r="Q3" s="19"/>
      <c r="R3" s="12"/>
      <c r="S3" s="24"/>
      <c r="T3" s="24"/>
      <c r="U3" s="26"/>
    </row>
    <row r="4" customFormat="false" ht="12.75" hidden="false" customHeight="false" outlineLevel="0" collapsed="false">
      <c r="A4" s="15" t="str">
        <f aca="false">'Table 1.0 I &amp; E - Annex D'!A4</f>
        <v>COLLEGE NAME</v>
      </c>
      <c r="B4" s="12"/>
      <c r="C4" s="17"/>
      <c r="D4" s="17"/>
      <c r="E4" s="12"/>
      <c r="F4" s="12"/>
      <c r="G4" s="12"/>
      <c r="H4" s="82" t="s">
        <v>121</v>
      </c>
      <c r="I4" s="83" t="s">
        <v>122</v>
      </c>
      <c r="J4" s="83" t="s">
        <v>123</v>
      </c>
      <c r="K4" s="83" t="s">
        <v>124</v>
      </c>
      <c r="L4" s="83" t="s">
        <v>125</v>
      </c>
      <c r="M4" s="83" t="s">
        <v>126</v>
      </c>
      <c r="N4" s="83" t="s">
        <v>127</v>
      </c>
      <c r="O4" s="83" t="s">
        <v>128</v>
      </c>
      <c r="P4" s="83" t="s">
        <v>129</v>
      </c>
      <c r="Q4" s="83" t="s">
        <v>130</v>
      </c>
      <c r="R4" s="83" t="s">
        <v>131</v>
      </c>
      <c r="S4" s="83" t="s">
        <v>132</v>
      </c>
      <c r="T4" s="84" t="s">
        <v>133</v>
      </c>
      <c r="U4" s="85"/>
    </row>
    <row r="5" customFormat="false" ht="12.75" hidden="false" customHeight="false" outlineLevel="0" collapsed="false">
      <c r="A5" s="12"/>
      <c r="B5" s="12"/>
      <c r="C5" s="86" t="s">
        <v>134</v>
      </c>
      <c r="D5" s="12"/>
      <c r="E5" s="12"/>
      <c r="F5" s="12"/>
      <c r="G5" s="87" t="s">
        <v>135</v>
      </c>
      <c r="H5" s="88"/>
      <c r="I5" s="89"/>
      <c r="J5" s="89"/>
      <c r="K5" s="89"/>
      <c r="L5" s="12"/>
      <c r="M5" s="19"/>
      <c r="N5" s="19"/>
      <c r="O5" s="19"/>
      <c r="P5" s="19"/>
      <c r="Q5" s="19"/>
      <c r="R5" s="19"/>
      <c r="S5" s="90"/>
      <c r="T5" s="67"/>
      <c r="U5" s="85"/>
    </row>
    <row r="6" customFormat="false" ht="12.75" hidden="false" customHeight="false" outlineLevel="0" collapsed="false">
      <c r="A6" s="12"/>
      <c r="B6" s="12"/>
      <c r="C6" s="91" t="s">
        <v>31</v>
      </c>
      <c r="D6" s="24"/>
      <c r="E6" s="24"/>
      <c r="F6" s="12"/>
      <c r="G6" s="24"/>
      <c r="H6" s="88"/>
      <c r="I6" s="89"/>
      <c r="J6" s="89"/>
      <c r="K6" s="89"/>
      <c r="L6" s="92"/>
      <c r="M6" s="93"/>
      <c r="N6" s="93"/>
      <c r="O6" s="93"/>
      <c r="P6" s="94"/>
      <c r="Q6" s="94"/>
      <c r="R6" s="94"/>
      <c r="S6" s="90"/>
      <c r="T6" s="95"/>
      <c r="U6" s="85"/>
    </row>
    <row r="7" customFormat="false" ht="12.75" hidden="false" customHeight="false" outlineLevel="0" collapsed="false">
      <c r="A7" s="12"/>
      <c r="B7" s="12" t="n">
        <v>1</v>
      </c>
      <c r="C7" s="12" t="s">
        <v>136</v>
      </c>
      <c r="D7" s="12"/>
      <c r="E7" s="12"/>
      <c r="F7" s="12"/>
      <c r="G7" s="12"/>
      <c r="H7" s="96" t="n">
        <v>0</v>
      </c>
      <c r="I7" s="97" t="n">
        <v>0</v>
      </c>
      <c r="J7" s="97" t="n">
        <v>0</v>
      </c>
      <c r="K7" s="97" t="n">
        <v>0</v>
      </c>
      <c r="L7" s="97" t="n">
        <v>0</v>
      </c>
      <c r="M7" s="97" t="n">
        <v>0</v>
      </c>
      <c r="N7" s="97" t="n">
        <v>0</v>
      </c>
      <c r="O7" s="97" t="n">
        <v>0</v>
      </c>
      <c r="P7" s="97" t="n">
        <v>0</v>
      </c>
      <c r="Q7" s="97" t="n">
        <v>0</v>
      </c>
      <c r="R7" s="97" t="n">
        <v>0</v>
      </c>
      <c r="S7" s="97" t="n">
        <v>0</v>
      </c>
      <c r="T7" s="98" t="n">
        <f aca="false">SUM(H7:S7)</f>
        <v>0</v>
      </c>
      <c r="U7" s="85"/>
    </row>
    <row r="8" customFormat="false" ht="12.75" hidden="false" customHeight="false" outlineLevel="0" collapsed="false">
      <c r="A8" s="12"/>
      <c r="B8" s="12" t="n">
        <v>2</v>
      </c>
      <c r="C8" s="12" t="s">
        <v>137</v>
      </c>
      <c r="D8" s="12"/>
      <c r="E8" s="12"/>
      <c r="F8" s="12"/>
      <c r="G8" s="12"/>
      <c r="H8" s="96" t="n">
        <v>0</v>
      </c>
      <c r="I8" s="97" t="n">
        <v>0</v>
      </c>
      <c r="J8" s="97" t="n">
        <v>0</v>
      </c>
      <c r="K8" s="97" t="n">
        <v>0</v>
      </c>
      <c r="L8" s="97" t="n">
        <v>0</v>
      </c>
      <c r="M8" s="97" t="n">
        <v>0</v>
      </c>
      <c r="N8" s="97" t="n">
        <v>0</v>
      </c>
      <c r="O8" s="97" t="n">
        <v>0</v>
      </c>
      <c r="P8" s="97" t="n">
        <v>0</v>
      </c>
      <c r="Q8" s="97" t="n">
        <v>0</v>
      </c>
      <c r="R8" s="97" t="n">
        <v>0</v>
      </c>
      <c r="S8" s="97" t="n">
        <v>0</v>
      </c>
      <c r="T8" s="98" t="n">
        <f aca="false">SUM(H8:S8)</f>
        <v>0</v>
      </c>
      <c r="U8" s="85"/>
    </row>
    <row r="9" customFormat="false" ht="12.75" hidden="false" customHeight="false" outlineLevel="0" collapsed="false">
      <c r="A9" s="12"/>
      <c r="B9" s="12" t="n">
        <v>3</v>
      </c>
      <c r="C9" s="12" t="s">
        <v>138</v>
      </c>
      <c r="D9" s="24"/>
      <c r="E9" s="24"/>
      <c r="F9" s="12"/>
      <c r="G9" s="24"/>
      <c r="H9" s="96" t="n">
        <v>0</v>
      </c>
      <c r="I9" s="97" t="n">
        <v>0</v>
      </c>
      <c r="J9" s="97" t="n">
        <v>0</v>
      </c>
      <c r="K9" s="97" t="n">
        <v>0</v>
      </c>
      <c r="L9" s="97" t="n">
        <v>0</v>
      </c>
      <c r="M9" s="97" t="n">
        <v>0</v>
      </c>
      <c r="N9" s="97" t="n">
        <v>0</v>
      </c>
      <c r="O9" s="97" t="n">
        <v>0</v>
      </c>
      <c r="P9" s="97" t="n">
        <v>0</v>
      </c>
      <c r="Q9" s="97" t="n">
        <v>0</v>
      </c>
      <c r="R9" s="97" t="n">
        <v>0</v>
      </c>
      <c r="S9" s="97" t="n">
        <v>0</v>
      </c>
      <c r="T9" s="99" t="n">
        <f aca="false">SUM(H9:S9)</f>
        <v>0</v>
      </c>
      <c r="U9" s="85"/>
    </row>
    <row r="10" customFormat="false" ht="12.75" hidden="false" customHeight="false" outlineLevel="0" collapsed="false">
      <c r="A10" s="12"/>
      <c r="B10" s="12" t="n">
        <v>4</v>
      </c>
      <c r="C10" s="12" t="s">
        <v>139</v>
      </c>
      <c r="D10" s="24"/>
      <c r="E10" s="24"/>
      <c r="F10" s="12"/>
      <c r="G10" s="24"/>
      <c r="H10" s="100" t="n">
        <f aca="false">SUM(H7:H9)</f>
        <v>0</v>
      </c>
      <c r="I10" s="78" t="n">
        <f aca="false">SUM(I7:I9)</f>
        <v>0</v>
      </c>
      <c r="J10" s="78" t="n">
        <f aca="false">SUM(J7:J9)</f>
        <v>0</v>
      </c>
      <c r="K10" s="78" t="n">
        <f aca="false">SUM(K7:K9)</f>
        <v>0</v>
      </c>
      <c r="L10" s="78" t="n">
        <f aca="false">SUM(L7:L9)</f>
        <v>0</v>
      </c>
      <c r="M10" s="78" t="n">
        <f aca="false">SUM(M7:M9)</f>
        <v>0</v>
      </c>
      <c r="N10" s="78" t="n">
        <f aca="false">SUM(N7:N9)</f>
        <v>0</v>
      </c>
      <c r="O10" s="78" t="n">
        <f aca="false">SUM(O7:O9)</f>
        <v>0</v>
      </c>
      <c r="P10" s="78" t="n">
        <f aca="false">SUM(P7:P9)</f>
        <v>0</v>
      </c>
      <c r="Q10" s="78" t="n">
        <f aca="false">SUM(Q7:Q9)</f>
        <v>0</v>
      </c>
      <c r="R10" s="78" t="n">
        <f aca="false">SUM(R7:R9)</f>
        <v>0</v>
      </c>
      <c r="S10" s="78" t="n">
        <f aca="false">SUM(S7:S9)</f>
        <v>0</v>
      </c>
      <c r="T10" s="65" t="n">
        <f aca="false">SUM(T7:T9)</f>
        <v>0</v>
      </c>
      <c r="U10" s="85"/>
    </row>
    <row r="11" customFormat="false" ht="12.75" hidden="false" customHeight="false" outlineLevel="0" collapsed="false">
      <c r="A11" s="12"/>
      <c r="B11" s="12"/>
      <c r="C11" s="91" t="s">
        <v>39</v>
      </c>
      <c r="D11" s="24"/>
      <c r="E11" s="24"/>
      <c r="F11" s="12"/>
      <c r="G11" s="24"/>
      <c r="H11" s="101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71"/>
      <c r="U11" s="85"/>
    </row>
    <row r="12" customFormat="false" ht="12.75" hidden="false" customHeight="false" outlineLevel="0" collapsed="false">
      <c r="A12" s="12"/>
      <c r="B12" s="12" t="n">
        <v>5</v>
      </c>
      <c r="C12" s="11" t="s">
        <v>140</v>
      </c>
      <c r="D12" s="12"/>
      <c r="E12" s="12"/>
      <c r="F12" s="12"/>
      <c r="G12" s="12"/>
      <c r="H12" s="96" t="n">
        <v>0</v>
      </c>
      <c r="I12" s="97" t="n">
        <v>0</v>
      </c>
      <c r="J12" s="97" t="n">
        <v>0</v>
      </c>
      <c r="K12" s="97" t="n">
        <v>0</v>
      </c>
      <c r="L12" s="97" t="n">
        <v>0</v>
      </c>
      <c r="M12" s="97" t="n">
        <v>0</v>
      </c>
      <c r="N12" s="97" t="n">
        <v>0</v>
      </c>
      <c r="O12" s="97" t="n">
        <v>0</v>
      </c>
      <c r="P12" s="97" t="n">
        <v>0</v>
      </c>
      <c r="Q12" s="97" t="n">
        <v>0</v>
      </c>
      <c r="R12" s="97" t="n">
        <v>0</v>
      </c>
      <c r="S12" s="97" t="n">
        <v>0</v>
      </c>
      <c r="T12" s="98" t="n">
        <f aca="false">SUM(H12:S12)</f>
        <v>0</v>
      </c>
      <c r="U12" s="85"/>
    </row>
    <row r="13" customFormat="false" ht="12.75" hidden="false" customHeight="false" outlineLevel="0" collapsed="false">
      <c r="A13" s="12"/>
      <c r="B13" s="12" t="n">
        <v>6</v>
      </c>
      <c r="C13" s="11" t="s">
        <v>141</v>
      </c>
      <c r="D13" s="12"/>
      <c r="E13" s="12"/>
      <c r="F13" s="12"/>
      <c r="G13" s="12"/>
      <c r="H13" s="96" t="n">
        <v>0</v>
      </c>
      <c r="I13" s="97" t="n">
        <v>0</v>
      </c>
      <c r="J13" s="97" t="n">
        <v>0</v>
      </c>
      <c r="K13" s="97" t="n">
        <v>0</v>
      </c>
      <c r="L13" s="97" t="n">
        <v>0</v>
      </c>
      <c r="M13" s="97" t="n">
        <v>0</v>
      </c>
      <c r="N13" s="97" t="n">
        <v>0</v>
      </c>
      <c r="O13" s="97" t="n">
        <v>0</v>
      </c>
      <c r="P13" s="97" t="n">
        <v>0</v>
      </c>
      <c r="Q13" s="97" t="n">
        <v>0</v>
      </c>
      <c r="R13" s="97" t="n">
        <v>0</v>
      </c>
      <c r="S13" s="97" t="n">
        <v>0</v>
      </c>
      <c r="T13" s="98" t="n">
        <f aca="false">SUM(H13:S13)</f>
        <v>0</v>
      </c>
      <c r="U13" s="85"/>
    </row>
    <row r="14" customFormat="false" ht="12.75" hidden="false" customHeight="false" outlineLevel="0" collapsed="false">
      <c r="A14" s="12"/>
      <c r="B14" s="12" t="n">
        <v>7</v>
      </c>
      <c r="C14" s="11" t="s">
        <v>142</v>
      </c>
      <c r="D14" s="12"/>
      <c r="E14" s="12"/>
      <c r="F14" s="12"/>
      <c r="G14" s="12"/>
      <c r="H14" s="96" t="n">
        <v>0</v>
      </c>
      <c r="I14" s="97" t="n">
        <v>0</v>
      </c>
      <c r="J14" s="97" t="n">
        <v>0</v>
      </c>
      <c r="K14" s="97" t="n">
        <v>0</v>
      </c>
      <c r="L14" s="97" t="n">
        <v>0</v>
      </c>
      <c r="M14" s="97" t="n">
        <v>0</v>
      </c>
      <c r="N14" s="97" t="n">
        <v>0</v>
      </c>
      <c r="O14" s="97" t="n">
        <v>0</v>
      </c>
      <c r="P14" s="97" t="n">
        <v>0</v>
      </c>
      <c r="Q14" s="97" t="n">
        <v>0</v>
      </c>
      <c r="R14" s="97" t="n">
        <v>0</v>
      </c>
      <c r="S14" s="97" t="n">
        <v>0</v>
      </c>
      <c r="T14" s="99" t="n">
        <f aca="false">SUM(H14:S14)</f>
        <v>0</v>
      </c>
      <c r="U14" s="85"/>
    </row>
    <row r="15" customFormat="false" ht="12.75" hidden="false" customHeight="false" outlineLevel="0" collapsed="false">
      <c r="A15" s="12"/>
      <c r="B15" s="12" t="n">
        <v>8</v>
      </c>
      <c r="C15" s="12" t="s">
        <v>143</v>
      </c>
      <c r="D15" s="12"/>
      <c r="E15" s="12"/>
      <c r="F15" s="12"/>
      <c r="G15" s="12"/>
      <c r="H15" s="100" t="n">
        <f aca="false">SUM(H12:H14)</f>
        <v>0</v>
      </c>
      <c r="I15" s="78" t="n">
        <f aca="false">SUM(I12:I14)</f>
        <v>0</v>
      </c>
      <c r="J15" s="78" t="n">
        <f aca="false">SUM(J12:J14)</f>
        <v>0</v>
      </c>
      <c r="K15" s="78" t="n">
        <f aca="false">SUM(K12:K14)</f>
        <v>0</v>
      </c>
      <c r="L15" s="78" t="n">
        <f aca="false">SUM(L12:L14)</f>
        <v>0</v>
      </c>
      <c r="M15" s="78" t="n">
        <f aca="false">SUM(M12:M14)</f>
        <v>0</v>
      </c>
      <c r="N15" s="78" t="n">
        <f aca="false">SUM(N12:N14)</f>
        <v>0</v>
      </c>
      <c r="O15" s="78" t="n">
        <f aca="false">SUM(O12:O14)</f>
        <v>0</v>
      </c>
      <c r="P15" s="78" t="n">
        <f aca="false">SUM(P12:P14)</f>
        <v>0</v>
      </c>
      <c r="Q15" s="78" t="n">
        <f aca="false">SUM(Q12:Q14)</f>
        <v>0</v>
      </c>
      <c r="R15" s="78" t="n">
        <f aca="false">SUM(R12:R14)</f>
        <v>0</v>
      </c>
      <c r="S15" s="78" t="n">
        <f aca="false">SUM(S12:S14)</f>
        <v>0</v>
      </c>
      <c r="T15" s="65" t="n">
        <f aca="false">SUM(T12:T14)</f>
        <v>0</v>
      </c>
      <c r="U15" s="85"/>
    </row>
    <row r="16" customFormat="false" ht="12.75" hidden="false" customHeight="false" outlineLevel="0" collapsed="false">
      <c r="A16" s="12"/>
      <c r="B16" s="12" t="n">
        <v>9</v>
      </c>
      <c r="C16" s="11" t="s">
        <v>144</v>
      </c>
      <c r="D16" s="12"/>
      <c r="E16" s="12"/>
      <c r="F16" s="12"/>
      <c r="G16" s="12"/>
      <c r="H16" s="96" t="n">
        <v>0</v>
      </c>
      <c r="I16" s="97" t="n">
        <v>0</v>
      </c>
      <c r="J16" s="97" t="n">
        <v>0</v>
      </c>
      <c r="K16" s="97" t="n">
        <v>0</v>
      </c>
      <c r="L16" s="97" t="n">
        <v>0</v>
      </c>
      <c r="M16" s="97" t="n">
        <v>0</v>
      </c>
      <c r="N16" s="97" t="n">
        <v>0</v>
      </c>
      <c r="O16" s="97" t="n">
        <v>0</v>
      </c>
      <c r="P16" s="97" t="n">
        <v>0</v>
      </c>
      <c r="Q16" s="97" t="n">
        <v>0</v>
      </c>
      <c r="R16" s="97" t="n">
        <v>0</v>
      </c>
      <c r="S16" s="97" t="n">
        <v>0</v>
      </c>
      <c r="T16" s="65" t="n">
        <f aca="false">SUM(H16:S16)</f>
        <v>0</v>
      </c>
      <c r="U16" s="85"/>
    </row>
    <row r="17" customFormat="false" ht="12.75" hidden="false" customHeight="false" outlineLevel="0" collapsed="false">
      <c r="A17" s="12"/>
      <c r="B17" s="12" t="n">
        <v>10</v>
      </c>
      <c r="C17" s="11" t="s">
        <v>145</v>
      </c>
      <c r="D17" s="24"/>
      <c r="E17" s="24"/>
      <c r="F17" s="12"/>
      <c r="G17" s="24"/>
      <c r="H17" s="100" t="n">
        <f aca="false">H10-H15+H16</f>
        <v>0</v>
      </c>
      <c r="I17" s="78" t="n">
        <f aca="false">I10-I15+I16</f>
        <v>0</v>
      </c>
      <c r="J17" s="78" t="n">
        <f aca="false">J10-J15+J16</f>
        <v>0</v>
      </c>
      <c r="K17" s="78" t="n">
        <f aca="false">K10-K15+K16</f>
        <v>0</v>
      </c>
      <c r="L17" s="78" t="n">
        <f aca="false">L10-L15+L16</f>
        <v>0</v>
      </c>
      <c r="M17" s="78" t="n">
        <f aca="false">M10-M15+M16</f>
        <v>0</v>
      </c>
      <c r="N17" s="78" t="n">
        <f aca="false">N10-N15+N16</f>
        <v>0</v>
      </c>
      <c r="O17" s="78" t="n">
        <f aca="false">O10-O15+O16</f>
        <v>0</v>
      </c>
      <c r="P17" s="78" t="n">
        <f aca="false">P10-P15+P16</f>
        <v>0</v>
      </c>
      <c r="Q17" s="78" t="n">
        <f aca="false">Q10-Q15+Q16</f>
        <v>0</v>
      </c>
      <c r="R17" s="78" t="n">
        <f aca="false">R10-R15+R16</f>
        <v>0</v>
      </c>
      <c r="S17" s="78" t="n">
        <f aca="false">S10-S15+S16</f>
        <v>0</v>
      </c>
      <c r="T17" s="65" t="n">
        <f aca="false">SUM(H17:S17)</f>
        <v>0</v>
      </c>
      <c r="U17" s="85"/>
    </row>
    <row r="18" customFormat="false" ht="12.75" hidden="false" customHeight="false" outlineLevel="0" collapsed="false">
      <c r="A18" s="12"/>
      <c r="B18" s="12" t="n">
        <v>11</v>
      </c>
      <c r="C18" s="11" t="s">
        <v>146</v>
      </c>
      <c r="D18" s="12"/>
      <c r="E18" s="12"/>
      <c r="F18" s="12"/>
      <c r="G18" s="12"/>
      <c r="H18" s="96" t="n">
        <v>0</v>
      </c>
      <c r="I18" s="103" t="n">
        <f aca="false">H19</f>
        <v>0</v>
      </c>
      <c r="J18" s="103" t="n">
        <f aca="false">I19</f>
        <v>0</v>
      </c>
      <c r="K18" s="103" t="n">
        <f aca="false">J19</f>
        <v>0</v>
      </c>
      <c r="L18" s="103" t="n">
        <f aca="false">K19</f>
        <v>0</v>
      </c>
      <c r="M18" s="103" t="n">
        <f aca="false">L19</f>
        <v>0</v>
      </c>
      <c r="N18" s="103" t="n">
        <f aca="false">M19</f>
        <v>0</v>
      </c>
      <c r="O18" s="103" t="n">
        <f aca="false">N19</f>
        <v>0</v>
      </c>
      <c r="P18" s="103" t="n">
        <f aca="false">O19</f>
        <v>0</v>
      </c>
      <c r="Q18" s="103" t="n">
        <f aca="false">P19</f>
        <v>0</v>
      </c>
      <c r="R18" s="103" t="n">
        <f aca="false">Q19</f>
        <v>0</v>
      </c>
      <c r="S18" s="103" t="n">
        <f aca="false">R19</f>
        <v>0</v>
      </c>
      <c r="T18" s="65" t="n">
        <f aca="false">H18</f>
        <v>0</v>
      </c>
      <c r="U18" s="85"/>
    </row>
    <row r="19" customFormat="false" ht="12.75" hidden="false" customHeight="false" outlineLevel="0" collapsed="false">
      <c r="A19" s="12"/>
      <c r="B19" s="12" t="n">
        <v>12</v>
      </c>
      <c r="C19" s="11" t="s">
        <v>147</v>
      </c>
      <c r="D19" s="12"/>
      <c r="E19" s="12"/>
      <c r="F19" s="12"/>
      <c r="G19" s="12"/>
      <c r="H19" s="100" t="n">
        <f aca="false">SUM(H17:H18)</f>
        <v>0</v>
      </c>
      <c r="I19" s="78" t="n">
        <f aca="false">SUM(I17:I18)</f>
        <v>0</v>
      </c>
      <c r="J19" s="78" t="n">
        <f aca="false">SUM(J17:J18)</f>
        <v>0</v>
      </c>
      <c r="K19" s="78" t="n">
        <f aca="false">SUM(K17:K18)</f>
        <v>0</v>
      </c>
      <c r="L19" s="78" t="n">
        <f aca="false">SUM(L17:L18)</f>
        <v>0</v>
      </c>
      <c r="M19" s="78" t="n">
        <f aca="false">SUM(M17:M18)</f>
        <v>0</v>
      </c>
      <c r="N19" s="78" t="n">
        <f aca="false">SUM(N17:N18)</f>
        <v>0</v>
      </c>
      <c r="O19" s="78" t="n">
        <f aca="false">SUM(O17:O18)</f>
        <v>0</v>
      </c>
      <c r="P19" s="78" t="n">
        <f aca="false">SUM(P17:P18)</f>
        <v>0</v>
      </c>
      <c r="Q19" s="78" t="n">
        <f aca="false">SUM(Q17:Q18)</f>
        <v>0</v>
      </c>
      <c r="R19" s="78" t="n">
        <f aca="false">SUM(R17:R18)</f>
        <v>0</v>
      </c>
      <c r="S19" s="78" t="n">
        <f aca="false">SUM(S17:S18)</f>
        <v>0</v>
      </c>
      <c r="T19" s="65" t="n">
        <f aca="false">S19</f>
        <v>0</v>
      </c>
      <c r="U19" s="85"/>
    </row>
    <row r="20" customFormat="false" ht="12.75" hidden="false" customHeight="false" outlineLevel="0" collapsed="false">
      <c r="A20" s="12"/>
      <c r="B20" s="12"/>
      <c r="C20" s="11"/>
      <c r="D20" s="12"/>
      <c r="E20" s="12"/>
      <c r="F20" s="12"/>
      <c r="G20" s="12"/>
      <c r="H20" s="10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105"/>
      <c r="U20" s="85"/>
    </row>
    <row r="21" customFormat="false" ht="12.75" hidden="false" customHeight="false" outlineLevel="0" collapsed="false">
      <c r="A21" s="12"/>
      <c r="B21" s="12"/>
      <c r="C21" s="22" t="s">
        <v>148</v>
      </c>
      <c r="D21" s="12"/>
      <c r="E21" s="12"/>
      <c r="F21" s="12"/>
      <c r="G21" s="12"/>
      <c r="H21" s="106"/>
      <c r="I21" s="12"/>
      <c r="J21" s="24"/>
      <c r="K21" s="12"/>
      <c r="L21" s="24"/>
      <c r="M21" s="12"/>
      <c r="N21" s="24"/>
      <c r="O21" s="12"/>
      <c r="P21" s="24"/>
      <c r="Q21" s="12"/>
      <c r="R21" s="24"/>
      <c r="S21" s="12"/>
      <c r="T21" s="105"/>
      <c r="U21" s="85"/>
    </row>
    <row r="22" customFormat="false" ht="12.75" hidden="false" customHeight="false" outlineLevel="0" collapsed="false">
      <c r="A22" s="12"/>
      <c r="B22" s="12" t="n">
        <v>13</v>
      </c>
      <c r="C22" s="12" t="s">
        <v>149</v>
      </c>
      <c r="D22" s="17"/>
      <c r="E22" s="12"/>
      <c r="F22" s="12"/>
      <c r="G22" s="12"/>
      <c r="H22" s="96" t="n">
        <v>0</v>
      </c>
      <c r="I22" s="97" t="n">
        <v>0</v>
      </c>
      <c r="J22" s="97" t="n">
        <v>0</v>
      </c>
      <c r="K22" s="97" t="n">
        <v>0</v>
      </c>
      <c r="L22" s="97" t="n">
        <v>0</v>
      </c>
      <c r="M22" s="97" t="n">
        <v>0</v>
      </c>
      <c r="N22" s="97" t="n">
        <v>0</v>
      </c>
      <c r="O22" s="97" t="n">
        <v>0</v>
      </c>
      <c r="P22" s="97" t="n">
        <v>0</v>
      </c>
      <c r="Q22" s="97" t="n">
        <v>0</v>
      </c>
      <c r="R22" s="97" t="n">
        <v>0</v>
      </c>
      <c r="S22" s="97" t="n">
        <v>0</v>
      </c>
      <c r="T22" s="98" t="n">
        <f aca="false">S22</f>
        <v>0</v>
      </c>
      <c r="U22" s="85"/>
    </row>
    <row r="23" customFormat="false" ht="12.75" hidden="false" customHeight="false" outlineLevel="0" collapsed="false">
      <c r="A23" s="12"/>
      <c r="B23" s="12" t="n">
        <v>14</v>
      </c>
      <c r="C23" s="12" t="s">
        <v>150</v>
      </c>
      <c r="D23" s="17"/>
      <c r="E23" s="12"/>
      <c r="F23" s="12"/>
      <c r="G23" s="12"/>
      <c r="H23" s="107" t="n">
        <v>0</v>
      </c>
      <c r="I23" s="97" t="n">
        <v>0</v>
      </c>
      <c r="J23" s="97" t="n">
        <v>0</v>
      </c>
      <c r="K23" s="97" t="n">
        <v>0</v>
      </c>
      <c r="L23" s="97" t="n">
        <v>0</v>
      </c>
      <c r="M23" s="97" t="n">
        <v>0</v>
      </c>
      <c r="N23" s="97" t="n">
        <v>0</v>
      </c>
      <c r="O23" s="97" t="n">
        <v>0</v>
      </c>
      <c r="P23" s="97" t="n">
        <v>0</v>
      </c>
      <c r="Q23" s="97" t="n">
        <v>0</v>
      </c>
      <c r="R23" s="97" t="n">
        <v>0</v>
      </c>
      <c r="S23" s="97" t="n">
        <v>0</v>
      </c>
      <c r="T23" s="99" t="n">
        <f aca="false">S23</f>
        <v>0</v>
      </c>
      <c r="U23" s="85"/>
    </row>
    <row r="24" customFormat="false" ht="12.75" hidden="false" customHeight="false" outlineLevel="0" collapsed="false">
      <c r="A24" s="12"/>
      <c r="B24" s="12" t="n">
        <v>15</v>
      </c>
      <c r="C24" s="86" t="s">
        <v>151</v>
      </c>
      <c r="D24" s="17"/>
      <c r="E24" s="24"/>
      <c r="F24" s="12"/>
      <c r="G24" s="24"/>
      <c r="H24" s="100" t="n">
        <f aca="false">SUM(H22:H23)</f>
        <v>0</v>
      </c>
      <c r="I24" s="78" t="n">
        <f aca="false">SUM(I22:I23)</f>
        <v>0</v>
      </c>
      <c r="J24" s="78" t="n">
        <f aca="false">SUM(J22:J23)</f>
        <v>0</v>
      </c>
      <c r="K24" s="78" t="n">
        <f aca="false">SUM(K22:K23)</f>
        <v>0</v>
      </c>
      <c r="L24" s="78" t="n">
        <f aca="false">SUM(L22:L23)</f>
        <v>0</v>
      </c>
      <c r="M24" s="78" t="n">
        <f aca="false">SUM(M22:M23)</f>
        <v>0</v>
      </c>
      <c r="N24" s="78" t="n">
        <f aca="false">SUM(N22:N23)</f>
        <v>0</v>
      </c>
      <c r="O24" s="78" t="n">
        <f aca="false">SUM(O22:O23)</f>
        <v>0</v>
      </c>
      <c r="P24" s="78" t="n">
        <f aca="false">SUM(P22:P23)</f>
        <v>0</v>
      </c>
      <c r="Q24" s="78" t="n">
        <f aca="false">SUM(Q22:Q23)</f>
        <v>0</v>
      </c>
      <c r="R24" s="78" t="n">
        <f aca="false">SUM(R22:R23)</f>
        <v>0</v>
      </c>
      <c r="S24" s="78" t="n">
        <f aca="false">SUM(S22:S23)</f>
        <v>0</v>
      </c>
      <c r="T24" s="65" t="n">
        <f aca="false">SUM(T22:T23)</f>
        <v>0</v>
      </c>
      <c r="U24" s="85"/>
    </row>
    <row r="25" customFormat="false" ht="12.75" hidden="false" customHeight="false" outlineLevel="0" collapsed="false">
      <c r="A25" s="12"/>
      <c r="B25" s="12"/>
      <c r="C25" s="108" t="s">
        <v>152</v>
      </c>
      <c r="D25" s="11"/>
      <c r="E25" s="24"/>
      <c r="F25" s="24"/>
      <c r="G25" s="24"/>
      <c r="H25" s="109" t="n">
        <f aca="false">H24-H19</f>
        <v>0</v>
      </c>
      <c r="I25" s="109" t="n">
        <f aca="false">I24-I19</f>
        <v>0</v>
      </c>
      <c r="J25" s="109" t="n">
        <f aca="false">J24-J19</f>
        <v>0</v>
      </c>
      <c r="K25" s="109" t="n">
        <f aca="false">K24-K19</f>
        <v>0</v>
      </c>
      <c r="L25" s="109" t="n">
        <f aca="false">L24-L19</f>
        <v>0</v>
      </c>
      <c r="M25" s="109" t="n">
        <f aca="false">M24-M19</f>
        <v>0</v>
      </c>
      <c r="N25" s="109" t="n">
        <f aca="false">N24-N19</f>
        <v>0</v>
      </c>
      <c r="O25" s="109" t="n">
        <f aca="false">O24-O19</f>
        <v>0</v>
      </c>
      <c r="P25" s="109" t="n">
        <f aca="false">P24-P19</f>
        <v>0</v>
      </c>
      <c r="Q25" s="109" t="n">
        <f aca="false">Q24-Q19</f>
        <v>0</v>
      </c>
      <c r="R25" s="109" t="n">
        <f aca="false">R24-R19</f>
        <v>0</v>
      </c>
      <c r="S25" s="109" t="n">
        <f aca="false">S24-S19</f>
        <v>0</v>
      </c>
      <c r="T25" s="109" t="n">
        <f aca="false">T24-T19</f>
        <v>0</v>
      </c>
      <c r="U25" s="85"/>
    </row>
    <row r="26" customFormat="false" ht="12.75" hidden="false" customHeight="false" outlineLevel="0" collapsed="false">
      <c r="A26" s="12"/>
      <c r="B26" s="12"/>
      <c r="C26" s="108" t="s">
        <v>153</v>
      </c>
      <c r="D26" s="11"/>
      <c r="E26" s="24"/>
      <c r="F26" s="24"/>
      <c r="G26" s="24"/>
      <c r="H26" s="9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110" t="n">
        <f aca="false">T19-('Table 2.0 BS - Annex E'!H20+'Table 2.0 BS - Annex E'!H21+'Table 2.0 BS - Annex E'!H22)</f>
        <v>0</v>
      </c>
      <c r="U26" s="85"/>
    </row>
    <row r="27" customFormat="false" ht="12.75" hidden="false" customHeight="false" outlineLevel="0" collapsed="false">
      <c r="A27" s="12"/>
      <c r="B27" s="12"/>
      <c r="C27" s="108"/>
      <c r="D27" s="11"/>
      <c r="E27" s="24"/>
      <c r="F27" s="24"/>
      <c r="G27" s="24"/>
      <c r="H27" s="111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112"/>
      <c r="U27" s="85"/>
    </row>
    <row r="28" customFormat="false" ht="12" hidden="false" customHeight="true" outlineLevel="0" collapsed="false">
      <c r="A28" s="12"/>
      <c r="B28" s="12"/>
      <c r="C28" s="1" t="s">
        <v>154</v>
      </c>
      <c r="D28" s="24"/>
      <c r="E28" s="24"/>
      <c r="F28" s="12"/>
      <c r="G28" s="24"/>
      <c r="H28" s="82" t="s">
        <v>121</v>
      </c>
      <c r="I28" s="83" t="s">
        <v>122</v>
      </c>
      <c r="J28" s="83" t="s">
        <v>123</v>
      </c>
      <c r="K28" s="83" t="s">
        <v>124</v>
      </c>
      <c r="L28" s="83" t="s">
        <v>125</v>
      </c>
      <c r="M28" s="83" t="s">
        <v>126</v>
      </c>
      <c r="N28" s="83" t="s">
        <v>127</v>
      </c>
      <c r="O28" s="83" t="s">
        <v>128</v>
      </c>
      <c r="P28" s="83" t="s">
        <v>129</v>
      </c>
      <c r="Q28" s="83" t="s">
        <v>130</v>
      </c>
      <c r="R28" s="83" t="s">
        <v>131</v>
      </c>
      <c r="S28" s="83" t="s">
        <v>132</v>
      </c>
      <c r="T28" s="84" t="s">
        <v>133</v>
      </c>
      <c r="U28" s="85"/>
    </row>
    <row r="29" customFormat="false" ht="12.75" hidden="false" customHeight="false" outlineLevel="0" collapsed="false">
      <c r="A29" s="12"/>
      <c r="B29" s="12"/>
      <c r="C29" s="91" t="s">
        <v>31</v>
      </c>
      <c r="D29" s="24"/>
      <c r="E29" s="24"/>
      <c r="F29" s="12"/>
      <c r="G29" s="24"/>
      <c r="H29" s="113" t="s">
        <v>155</v>
      </c>
      <c r="I29" s="114" t="s">
        <v>155</v>
      </c>
      <c r="J29" s="114" t="s">
        <v>155</v>
      </c>
      <c r="K29" s="114" t="s">
        <v>155</v>
      </c>
      <c r="L29" s="114" t="s">
        <v>155</v>
      </c>
      <c r="M29" s="114" t="s">
        <v>155</v>
      </c>
      <c r="N29" s="115" t="s">
        <v>156</v>
      </c>
      <c r="O29" s="115" t="s">
        <v>156</v>
      </c>
      <c r="P29" s="115" t="s">
        <v>156</v>
      </c>
      <c r="Q29" s="115" t="s">
        <v>156</v>
      </c>
      <c r="R29" s="115" t="s">
        <v>156</v>
      </c>
      <c r="S29" s="115" t="s">
        <v>156</v>
      </c>
      <c r="T29" s="95"/>
      <c r="U29" s="85"/>
    </row>
    <row r="30" customFormat="false" ht="12.75" hidden="false" customHeight="false" outlineLevel="0" collapsed="false">
      <c r="A30" s="12"/>
      <c r="B30" s="12" t="n">
        <v>16</v>
      </c>
      <c r="C30" s="12" t="s">
        <v>136</v>
      </c>
      <c r="D30" s="12"/>
      <c r="E30" s="12"/>
      <c r="F30" s="12"/>
      <c r="G30" s="12"/>
      <c r="H30" s="116" t="n">
        <v>0</v>
      </c>
      <c r="I30" s="117" t="n">
        <v>0</v>
      </c>
      <c r="J30" s="117" t="n">
        <v>0</v>
      </c>
      <c r="K30" s="117" t="n">
        <v>0</v>
      </c>
      <c r="L30" s="117" t="n">
        <v>0</v>
      </c>
      <c r="M30" s="117" t="n">
        <v>0</v>
      </c>
      <c r="N30" s="118" t="n">
        <v>0</v>
      </c>
      <c r="O30" s="118" t="n">
        <v>0</v>
      </c>
      <c r="P30" s="118" t="n">
        <v>0</v>
      </c>
      <c r="Q30" s="118" t="n">
        <v>0</v>
      </c>
      <c r="R30" s="118" t="n">
        <v>0</v>
      </c>
      <c r="S30" s="118" t="n">
        <v>0</v>
      </c>
      <c r="T30" s="98" t="n">
        <f aca="false">SUM(H30:S30)</f>
        <v>0</v>
      </c>
      <c r="U30" s="85"/>
    </row>
    <row r="31" customFormat="false" ht="12.75" hidden="false" customHeight="false" outlineLevel="0" collapsed="false">
      <c r="A31" s="12"/>
      <c r="B31" s="12" t="n">
        <v>17</v>
      </c>
      <c r="C31" s="12" t="s">
        <v>137</v>
      </c>
      <c r="D31" s="12"/>
      <c r="E31" s="12"/>
      <c r="F31" s="12"/>
      <c r="G31" s="12"/>
      <c r="H31" s="116" t="n">
        <v>0</v>
      </c>
      <c r="I31" s="117" t="n">
        <v>0</v>
      </c>
      <c r="J31" s="117" t="n">
        <v>0</v>
      </c>
      <c r="K31" s="117" t="n">
        <v>0</v>
      </c>
      <c r="L31" s="117" t="n">
        <v>0</v>
      </c>
      <c r="M31" s="117" t="n">
        <v>0</v>
      </c>
      <c r="N31" s="118" t="n">
        <v>0</v>
      </c>
      <c r="O31" s="118" t="n">
        <v>0</v>
      </c>
      <c r="P31" s="118" t="n">
        <v>0</v>
      </c>
      <c r="Q31" s="118" t="n">
        <v>0</v>
      </c>
      <c r="R31" s="118" t="n">
        <v>0</v>
      </c>
      <c r="S31" s="118" t="n">
        <v>0</v>
      </c>
      <c r="T31" s="98" t="n">
        <f aca="false">SUM(H31:S31)</f>
        <v>0</v>
      </c>
      <c r="U31" s="85"/>
    </row>
    <row r="32" customFormat="false" ht="12.75" hidden="false" customHeight="false" outlineLevel="0" collapsed="false">
      <c r="A32" s="12"/>
      <c r="B32" s="12" t="n">
        <v>18</v>
      </c>
      <c r="C32" s="12" t="s">
        <v>138</v>
      </c>
      <c r="D32" s="24"/>
      <c r="E32" s="24"/>
      <c r="F32" s="12"/>
      <c r="G32" s="24"/>
      <c r="H32" s="116" t="n">
        <v>0</v>
      </c>
      <c r="I32" s="117" t="n">
        <v>0</v>
      </c>
      <c r="J32" s="117" t="n">
        <v>0</v>
      </c>
      <c r="K32" s="117" t="n">
        <v>0</v>
      </c>
      <c r="L32" s="117" t="n">
        <v>0</v>
      </c>
      <c r="M32" s="117" t="n">
        <v>0</v>
      </c>
      <c r="N32" s="118" t="n">
        <v>0</v>
      </c>
      <c r="O32" s="118" t="n">
        <v>0</v>
      </c>
      <c r="P32" s="118" t="n">
        <v>0</v>
      </c>
      <c r="Q32" s="118" t="n">
        <v>0</v>
      </c>
      <c r="R32" s="118" t="n">
        <v>0</v>
      </c>
      <c r="S32" s="118" t="n">
        <v>0</v>
      </c>
      <c r="T32" s="99" t="n">
        <f aca="false">SUM(H32:S32)</f>
        <v>0</v>
      </c>
      <c r="U32" s="85"/>
    </row>
    <row r="33" customFormat="false" ht="12.75" hidden="false" customHeight="false" outlineLevel="0" collapsed="false">
      <c r="A33" s="12"/>
      <c r="B33" s="12" t="n">
        <v>19</v>
      </c>
      <c r="C33" s="12" t="s">
        <v>139</v>
      </c>
      <c r="D33" s="24"/>
      <c r="E33" s="24"/>
      <c r="F33" s="12"/>
      <c r="G33" s="24"/>
      <c r="H33" s="119" t="n">
        <f aca="false">SUM(H30:H32)</f>
        <v>0</v>
      </c>
      <c r="I33" s="120" t="n">
        <f aca="false">SUM(I30:I32)</f>
        <v>0</v>
      </c>
      <c r="J33" s="120" t="n">
        <f aca="false">SUM(J30:J32)</f>
        <v>0</v>
      </c>
      <c r="K33" s="120" t="n">
        <f aca="false">SUM(K30:K32)</f>
        <v>0</v>
      </c>
      <c r="L33" s="120" t="n">
        <f aca="false">SUM(L30:L32)</f>
        <v>0</v>
      </c>
      <c r="M33" s="120" t="n">
        <f aca="false">SUM(M30:M32)</f>
        <v>0</v>
      </c>
      <c r="N33" s="78" t="n">
        <f aca="false">SUM(N30:N32)</f>
        <v>0</v>
      </c>
      <c r="O33" s="78" t="n">
        <f aca="false">SUM(O30:O32)</f>
        <v>0</v>
      </c>
      <c r="P33" s="78" t="n">
        <f aca="false">SUM(P30:P32)</f>
        <v>0</v>
      </c>
      <c r="Q33" s="78" t="n">
        <f aca="false">SUM(Q30:Q32)</f>
        <v>0</v>
      </c>
      <c r="R33" s="78" t="n">
        <f aca="false">SUM(R30:R32)</f>
        <v>0</v>
      </c>
      <c r="S33" s="78" t="n">
        <f aca="false">SUM(S30:S32)</f>
        <v>0</v>
      </c>
      <c r="T33" s="65" t="n">
        <f aca="false">SUM(T30:T32)</f>
        <v>0</v>
      </c>
      <c r="U33" s="85"/>
    </row>
    <row r="34" customFormat="false" ht="12.75" hidden="false" customHeight="false" outlineLevel="0" collapsed="false">
      <c r="A34" s="12"/>
      <c r="B34" s="12"/>
      <c r="C34" s="91" t="s">
        <v>39</v>
      </c>
      <c r="D34" s="24"/>
      <c r="E34" s="24"/>
      <c r="F34" s="12"/>
      <c r="G34" s="24"/>
      <c r="H34" s="121"/>
      <c r="I34" s="86"/>
      <c r="J34" s="122"/>
      <c r="K34" s="86"/>
      <c r="L34" s="86"/>
      <c r="M34" s="122"/>
      <c r="N34" s="12"/>
      <c r="O34" s="24"/>
      <c r="P34" s="12"/>
      <c r="Q34" s="24"/>
      <c r="R34" s="12"/>
      <c r="S34" s="24"/>
      <c r="T34" s="67"/>
      <c r="U34" s="12"/>
    </row>
    <row r="35" customFormat="false" ht="12.75" hidden="false" customHeight="false" outlineLevel="0" collapsed="false">
      <c r="A35" s="12"/>
      <c r="B35" s="12" t="n">
        <v>20</v>
      </c>
      <c r="C35" s="11" t="s">
        <v>140</v>
      </c>
      <c r="D35" s="12"/>
      <c r="E35" s="12"/>
      <c r="F35" s="12"/>
      <c r="G35" s="12"/>
      <c r="H35" s="116" t="n">
        <v>0</v>
      </c>
      <c r="I35" s="117" t="n">
        <v>0</v>
      </c>
      <c r="J35" s="117" t="n">
        <v>0</v>
      </c>
      <c r="K35" s="117" t="n">
        <v>0</v>
      </c>
      <c r="L35" s="117" t="n">
        <v>0</v>
      </c>
      <c r="M35" s="117" t="n">
        <v>0</v>
      </c>
      <c r="N35" s="118" t="n">
        <v>0</v>
      </c>
      <c r="O35" s="118" t="n">
        <v>0</v>
      </c>
      <c r="P35" s="118" t="n">
        <v>0</v>
      </c>
      <c r="Q35" s="118" t="n">
        <v>0</v>
      </c>
      <c r="R35" s="118" t="n">
        <v>0</v>
      </c>
      <c r="S35" s="118" t="n">
        <v>0</v>
      </c>
      <c r="T35" s="98" t="n">
        <f aca="false">SUM(H35:S35)</f>
        <v>0</v>
      </c>
      <c r="U35" s="85"/>
    </row>
    <row r="36" customFormat="false" ht="12.75" hidden="false" customHeight="false" outlineLevel="0" collapsed="false">
      <c r="A36" s="12"/>
      <c r="B36" s="12" t="n">
        <v>21</v>
      </c>
      <c r="C36" s="11" t="s">
        <v>141</v>
      </c>
      <c r="D36" s="12"/>
      <c r="E36" s="12"/>
      <c r="F36" s="12"/>
      <c r="G36" s="12"/>
      <c r="H36" s="116" t="n">
        <v>0</v>
      </c>
      <c r="I36" s="117" t="n">
        <v>0</v>
      </c>
      <c r="J36" s="117" t="n">
        <v>0</v>
      </c>
      <c r="K36" s="117" t="n">
        <v>0</v>
      </c>
      <c r="L36" s="117" t="n">
        <v>0</v>
      </c>
      <c r="M36" s="117" t="n">
        <v>0</v>
      </c>
      <c r="N36" s="118" t="n">
        <v>0</v>
      </c>
      <c r="O36" s="118" t="n">
        <v>0</v>
      </c>
      <c r="P36" s="118" t="n">
        <v>0</v>
      </c>
      <c r="Q36" s="118" t="n">
        <v>0</v>
      </c>
      <c r="R36" s="118" t="n">
        <v>0</v>
      </c>
      <c r="S36" s="118" t="n">
        <v>0</v>
      </c>
      <c r="T36" s="98" t="n">
        <f aca="false">SUM(H36:S36)</f>
        <v>0</v>
      </c>
      <c r="U36" s="85"/>
    </row>
    <row r="37" customFormat="false" ht="12.75" hidden="false" customHeight="false" outlineLevel="0" collapsed="false">
      <c r="A37" s="12"/>
      <c r="B37" s="12" t="n">
        <v>22</v>
      </c>
      <c r="C37" s="11" t="s">
        <v>142</v>
      </c>
      <c r="D37" s="12"/>
      <c r="E37" s="12"/>
      <c r="F37" s="12"/>
      <c r="G37" s="12"/>
      <c r="H37" s="116" t="n">
        <v>0</v>
      </c>
      <c r="I37" s="117" t="n">
        <v>0</v>
      </c>
      <c r="J37" s="117" t="n">
        <v>0</v>
      </c>
      <c r="K37" s="117" t="n">
        <v>0</v>
      </c>
      <c r="L37" s="117" t="n">
        <v>0</v>
      </c>
      <c r="M37" s="117" t="n">
        <v>0</v>
      </c>
      <c r="N37" s="118" t="n">
        <v>0</v>
      </c>
      <c r="O37" s="118" t="n">
        <v>0</v>
      </c>
      <c r="P37" s="118" t="n">
        <v>0</v>
      </c>
      <c r="Q37" s="118" t="n">
        <v>0</v>
      </c>
      <c r="R37" s="118" t="n">
        <v>0</v>
      </c>
      <c r="S37" s="118" t="n">
        <v>0</v>
      </c>
      <c r="T37" s="99" t="n">
        <f aca="false">SUM(H37:S37)</f>
        <v>0</v>
      </c>
      <c r="U37" s="85"/>
    </row>
    <row r="38" customFormat="false" ht="12.75" hidden="false" customHeight="false" outlineLevel="0" collapsed="false">
      <c r="A38" s="12"/>
      <c r="B38" s="12" t="n">
        <v>23</v>
      </c>
      <c r="C38" s="12" t="s">
        <v>143</v>
      </c>
      <c r="D38" s="12"/>
      <c r="E38" s="12"/>
      <c r="F38" s="12"/>
      <c r="G38" s="12"/>
      <c r="H38" s="119" t="n">
        <f aca="false">SUM(H35:H37)</f>
        <v>0</v>
      </c>
      <c r="I38" s="120" t="n">
        <f aca="false">SUM(I35:I37)</f>
        <v>0</v>
      </c>
      <c r="J38" s="120" t="n">
        <f aca="false">SUM(J35:J37)</f>
        <v>0</v>
      </c>
      <c r="K38" s="120" t="n">
        <f aca="false">SUM(K35:K37)</f>
        <v>0</v>
      </c>
      <c r="L38" s="120" t="n">
        <f aca="false">SUM(L35:L37)</f>
        <v>0</v>
      </c>
      <c r="M38" s="120" t="n">
        <f aca="false">SUM(M35:M37)</f>
        <v>0</v>
      </c>
      <c r="N38" s="78" t="n">
        <f aca="false">SUM(N35:N37)</f>
        <v>0</v>
      </c>
      <c r="O38" s="78" t="n">
        <f aca="false">SUM(O35:O37)</f>
        <v>0</v>
      </c>
      <c r="P38" s="78" t="n">
        <f aca="false">SUM(P35:P37)</f>
        <v>0</v>
      </c>
      <c r="Q38" s="78" t="n">
        <f aca="false">SUM(Q35:Q37)</f>
        <v>0</v>
      </c>
      <c r="R38" s="78" t="n">
        <f aca="false">SUM(R35:R37)</f>
        <v>0</v>
      </c>
      <c r="S38" s="78" t="n">
        <f aca="false">SUM(S35:S37)</f>
        <v>0</v>
      </c>
      <c r="T38" s="65" t="n">
        <f aca="false">SUM(T35:T37)</f>
        <v>0</v>
      </c>
      <c r="U38" s="85"/>
    </row>
    <row r="39" customFormat="false" ht="12.75" hidden="false" customHeight="false" outlineLevel="0" collapsed="false">
      <c r="A39" s="12"/>
      <c r="B39" s="12" t="n">
        <v>24</v>
      </c>
      <c r="C39" s="11" t="s">
        <v>157</v>
      </c>
      <c r="D39" s="12"/>
      <c r="E39" s="12"/>
      <c r="F39" s="12"/>
      <c r="G39" s="12"/>
      <c r="H39" s="116" t="n">
        <v>0</v>
      </c>
      <c r="I39" s="117" t="n">
        <v>0</v>
      </c>
      <c r="J39" s="117" t="n">
        <v>0</v>
      </c>
      <c r="K39" s="117" t="n">
        <v>0</v>
      </c>
      <c r="L39" s="117" t="n">
        <v>0</v>
      </c>
      <c r="M39" s="117" t="n">
        <v>0</v>
      </c>
      <c r="N39" s="118" t="n">
        <v>0</v>
      </c>
      <c r="O39" s="118" t="n">
        <v>0</v>
      </c>
      <c r="P39" s="118" t="n">
        <v>0</v>
      </c>
      <c r="Q39" s="118" t="n">
        <v>0</v>
      </c>
      <c r="R39" s="118" t="n">
        <v>0</v>
      </c>
      <c r="S39" s="118" t="n">
        <v>0</v>
      </c>
      <c r="T39" s="65" t="n">
        <f aca="false">SUM(H39:S39)</f>
        <v>0</v>
      </c>
      <c r="U39" s="85"/>
    </row>
    <row r="40" customFormat="false" ht="12.75" hidden="false" customHeight="false" outlineLevel="0" collapsed="false">
      <c r="A40" s="12"/>
      <c r="B40" s="12" t="n">
        <v>25</v>
      </c>
      <c r="C40" s="11" t="s">
        <v>145</v>
      </c>
      <c r="D40" s="24"/>
      <c r="E40" s="24"/>
      <c r="F40" s="12"/>
      <c r="G40" s="24"/>
      <c r="H40" s="119" t="n">
        <f aca="false">H33-H38+H39</f>
        <v>0</v>
      </c>
      <c r="I40" s="120" t="n">
        <f aca="false">I33-I38+I39</f>
        <v>0</v>
      </c>
      <c r="J40" s="120" t="n">
        <f aca="false">J33-J38+J39</f>
        <v>0</v>
      </c>
      <c r="K40" s="120" t="n">
        <f aca="false">K33-K38+K39</f>
        <v>0</v>
      </c>
      <c r="L40" s="120" t="n">
        <f aca="false">L33-L38+L39</f>
        <v>0</v>
      </c>
      <c r="M40" s="120" t="n">
        <f aca="false">M33-M38+M39</f>
        <v>0</v>
      </c>
      <c r="N40" s="78" t="n">
        <f aca="false">N33-N38+N39</f>
        <v>0</v>
      </c>
      <c r="O40" s="78" t="n">
        <f aca="false">O33-O38+O39</f>
        <v>0</v>
      </c>
      <c r="P40" s="78" t="n">
        <f aca="false">P33-P38+P39</f>
        <v>0</v>
      </c>
      <c r="Q40" s="78" t="n">
        <f aca="false">Q33-Q38+Q39</f>
        <v>0</v>
      </c>
      <c r="R40" s="78" t="n">
        <f aca="false">R33-R38+R39</f>
        <v>0</v>
      </c>
      <c r="S40" s="78" t="n">
        <f aca="false">S33-S38+S39</f>
        <v>0</v>
      </c>
      <c r="T40" s="65" t="n">
        <f aca="false">SUM(H40:S40)</f>
        <v>0</v>
      </c>
      <c r="U40" s="85"/>
    </row>
    <row r="41" customFormat="false" ht="12.75" hidden="false" customHeight="false" outlineLevel="0" collapsed="false">
      <c r="A41" s="12"/>
      <c r="B41" s="12" t="n">
        <v>26</v>
      </c>
      <c r="C41" s="11" t="s">
        <v>146</v>
      </c>
      <c r="D41" s="12"/>
      <c r="E41" s="12"/>
      <c r="F41" s="12"/>
      <c r="G41" s="12"/>
      <c r="H41" s="116" t="n">
        <v>0</v>
      </c>
      <c r="I41" s="123" t="n">
        <f aca="false">H42</f>
        <v>0</v>
      </c>
      <c r="J41" s="123" t="n">
        <f aca="false">I42</f>
        <v>0</v>
      </c>
      <c r="K41" s="123" t="n">
        <f aca="false">J42</f>
        <v>0</v>
      </c>
      <c r="L41" s="123" t="n">
        <f aca="false">K42</f>
        <v>0</v>
      </c>
      <c r="M41" s="123" t="n">
        <f aca="false">L42</f>
        <v>0</v>
      </c>
      <c r="N41" s="124" t="n">
        <f aca="false">M42</f>
        <v>0</v>
      </c>
      <c r="O41" s="124" t="n">
        <f aca="false">N42</f>
        <v>0</v>
      </c>
      <c r="P41" s="124" t="n">
        <f aca="false">O42</f>
        <v>0</v>
      </c>
      <c r="Q41" s="124" t="n">
        <f aca="false">P42</f>
        <v>0</v>
      </c>
      <c r="R41" s="124" t="n">
        <f aca="false">Q42</f>
        <v>0</v>
      </c>
      <c r="S41" s="124" t="n">
        <f aca="false">R42</f>
        <v>0</v>
      </c>
      <c r="T41" s="65" t="n">
        <f aca="false">H41</f>
        <v>0</v>
      </c>
      <c r="U41" s="26"/>
    </row>
    <row r="42" customFormat="false" ht="12.75" hidden="false" customHeight="false" outlineLevel="0" collapsed="false">
      <c r="A42" s="12"/>
      <c r="B42" s="12" t="n">
        <v>27</v>
      </c>
      <c r="C42" s="11" t="s">
        <v>147</v>
      </c>
      <c r="D42" s="12"/>
      <c r="E42" s="12"/>
      <c r="F42" s="12"/>
      <c r="G42" s="12"/>
      <c r="H42" s="119" t="n">
        <f aca="false">SUM(H40:H41)</f>
        <v>0</v>
      </c>
      <c r="I42" s="120" t="n">
        <f aca="false">SUM(I40:I41)</f>
        <v>0</v>
      </c>
      <c r="J42" s="120" t="n">
        <f aca="false">SUM(J40:J41)</f>
        <v>0</v>
      </c>
      <c r="K42" s="120" t="n">
        <f aca="false">SUM(K40:K41)</f>
        <v>0</v>
      </c>
      <c r="L42" s="120" t="n">
        <f aca="false">SUM(L40:L41)</f>
        <v>0</v>
      </c>
      <c r="M42" s="120" t="n">
        <f aca="false">SUM(M40:M41)</f>
        <v>0</v>
      </c>
      <c r="N42" s="78" t="n">
        <f aca="false">SUM(N40:N41)</f>
        <v>0</v>
      </c>
      <c r="O42" s="78" t="n">
        <f aca="false">SUM(O40:O41)</f>
        <v>0</v>
      </c>
      <c r="P42" s="78" t="n">
        <f aca="false">SUM(P40:P41)</f>
        <v>0</v>
      </c>
      <c r="Q42" s="78" t="n">
        <f aca="false">SUM(Q40:Q41)</f>
        <v>0</v>
      </c>
      <c r="R42" s="78" t="n">
        <f aca="false">SUM(R40:R41)</f>
        <v>0</v>
      </c>
      <c r="S42" s="78" t="n">
        <f aca="false">SUM(S40:S41)</f>
        <v>0</v>
      </c>
      <c r="T42" s="65" t="n">
        <f aca="false">S42</f>
        <v>0</v>
      </c>
      <c r="U42" s="26"/>
    </row>
    <row r="43" customFormat="false" ht="12.75" hidden="false" customHeight="false" outlineLevel="0" collapsed="false">
      <c r="A43" s="12"/>
      <c r="B43" s="12"/>
      <c r="C43" s="11"/>
      <c r="D43" s="12"/>
      <c r="E43" s="12"/>
      <c r="F43" s="12"/>
      <c r="G43" s="12"/>
      <c r="H43" s="121"/>
      <c r="I43" s="122"/>
      <c r="J43" s="122"/>
      <c r="K43" s="122"/>
      <c r="L43" s="122"/>
      <c r="M43" s="122"/>
      <c r="N43" s="24"/>
      <c r="O43" s="24"/>
      <c r="P43" s="24"/>
      <c r="Q43" s="24"/>
      <c r="R43" s="24"/>
      <c r="S43" s="24"/>
      <c r="T43" s="105"/>
      <c r="U43" s="24"/>
    </row>
    <row r="44" customFormat="false" ht="12.75" hidden="false" customHeight="false" outlineLevel="0" collapsed="false">
      <c r="A44" s="12"/>
      <c r="B44" s="12"/>
      <c r="C44" s="22" t="s">
        <v>148</v>
      </c>
      <c r="D44" s="12"/>
      <c r="E44" s="12"/>
      <c r="F44" s="12"/>
      <c r="G44" s="12"/>
      <c r="H44" s="121"/>
      <c r="I44" s="86"/>
      <c r="J44" s="122"/>
      <c r="K44" s="86"/>
      <c r="L44" s="86"/>
      <c r="M44" s="122"/>
      <c r="N44" s="12"/>
      <c r="O44" s="24"/>
      <c r="P44" s="12"/>
      <c r="Q44" s="24"/>
      <c r="R44" s="12"/>
      <c r="S44" s="24"/>
      <c r="T44" s="67"/>
      <c r="U44" s="12"/>
    </row>
    <row r="45" customFormat="false" ht="12.75" hidden="false" customHeight="false" outlineLevel="0" collapsed="false">
      <c r="A45" s="12"/>
      <c r="B45" s="12" t="n">
        <v>28</v>
      </c>
      <c r="C45" s="12" t="s">
        <v>149</v>
      </c>
      <c r="D45" s="17"/>
      <c r="E45" s="12"/>
      <c r="F45" s="12"/>
      <c r="G45" s="12"/>
      <c r="H45" s="116" t="n">
        <v>0</v>
      </c>
      <c r="I45" s="117" t="n">
        <v>0</v>
      </c>
      <c r="J45" s="117" t="n">
        <v>0</v>
      </c>
      <c r="K45" s="117" t="n">
        <v>0</v>
      </c>
      <c r="L45" s="117" t="n">
        <v>0</v>
      </c>
      <c r="M45" s="117" t="n">
        <v>0</v>
      </c>
      <c r="N45" s="118" t="n">
        <v>0</v>
      </c>
      <c r="O45" s="118" t="n">
        <v>0</v>
      </c>
      <c r="P45" s="118" t="n">
        <v>0</v>
      </c>
      <c r="Q45" s="118" t="n">
        <v>0</v>
      </c>
      <c r="R45" s="118" t="n">
        <v>0</v>
      </c>
      <c r="S45" s="118" t="n">
        <v>0</v>
      </c>
      <c r="T45" s="98" t="n">
        <f aca="false">S45</f>
        <v>0</v>
      </c>
      <c r="U45" s="26"/>
    </row>
    <row r="46" customFormat="false" ht="12.75" hidden="false" customHeight="false" outlineLevel="0" collapsed="false">
      <c r="A46" s="12"/>
      <c r="B46" s="12" t="n">
        <v>29</v>
      </c>
      <c r="C46" s="12" t="s">
        <v>150</v>
      </c>
      <c r="D46" s="17"/>
      <c r="E46" s="12"/>
      <c r="F46" s="12"/>
      <c r="G46" s="12"/>
      <c r="H46" s="116" t="n">
        <v>0</v>
      </c>
      <c r="I46" s="117" t="n">
        <v>0</v>
      </c>
      <c r="J46" s="117" t="n">
        <v>0</v>
      </c>
      <c r="K46" s="117" t="n">
        <v>0</v>
      </c>
      <c r="L46" s="117" t="n">
        <v>0</v>
      </c>
      <c r="M46" s="117" t="n">
        <v>0</v>
      </c>
      <c r="N46" s="118" t="n">
        <v>0</v>
      </c>
      <c r="O46" s="118" t="n">
        <v>0</v>
      </c>
      <c r="P46" s="118" t="n">
        <v>0</v>
      </c>
      <c r="Q46" s="118" t="n">
        <v>0</v>
      </c>
      <c r="R46" s="118" t="n">
        <v>0</v>
      </c>
      <c r="S46" s="118" t="n">
        <v>0</v>
      </c>
      <c r="T46" s="99" t="n">
        <f aca="false">S46</f>
        <v>0</v>
      </c>
      <c r="U46" s="26"/>
    </row>
    <row r="47" customFormat="false" ht="12.75" hidden="false" customHeight="false" outlineLevel="0" collapsed="false">
      <c r="A47" s="12"/>
      <c r="B47" s="12" t="n">
        <v>30</v>
      </c>
      <c r="C47" s="86" t="s">
        <v>151</v>
      </c>
      <c r="D47" s="17"/>
      <c r="E47" s="24"/>
      <c r="F47" s="12"/>
      <c r="G47" s="24"/>
      <c r="H47" s="119" t="n">
        <f aca="false">SUM(H45:H46)</f>
        <v>0</v>
      </c>
      <c r="I47" s="120" t="n">
        <f aca="false">SUM(I45:I46)</f>
        <v>0</v>
      </c>
      <c r="J47" s="120" t="n">
        <f aca="false">SUM(J45:J46)</f>
        <v>0</v>
      </c>
      <c r="K47" s="120" t="n">
        <f aca="false">SUM(K45:K46)</f>
        <v>0</v>
      </c>
      <c r="L47" s="120" t="n">
        <f aca="false">SUM(L45:L46)</f>
        <v>0</v>
      </c>
      <c r="M47" s="120" t="n">
        <f aca="false">SUM(M45:M46)</f>
        <v>0</v>
      </c>
      <c r="N47" s="78" t="n">
        <f aca="false">SUM(N45:N46)</f>
        <v>0</v>
      </c>
      <c r="O47" s="78" t="n">
        <f aca="false">SUM(O45:O46)</f>
        <v>0</v>
      </c>
      <c r="P47" s="78" t="n">
        <f aca="false">SUM(P45:P46)</f>
        <v>0</v>
      </c>
      <c r="Q47" s="78" t="n">
        <f aca="false">SUM(Q45:Q46)</f>
        <v>0</v>
      </c>
      <c r="R47" s="78" t="n">
        <f aca="false">SUM(R45:R46)</f>
        <v>0</v>
      </c>
      <c r="S47" s="78" t="n">
        <f aca="false">SUM(S45:S46)</f>
        <v>0</v>
      </c>
      <c r="T47" s="65" t="n">
        <f aca="false">SUM(T45:T46)</f>
        <v>0</v>
      </c>
      <c r="U47" s="26"/>
    </row>
    <row r="48" customFormat="false" ht="12.75" hidden="false" customHeight="false" outlineLevel="0" collapsed="false">
      <c r="A48" s="12"/>
      <c r="B48" s="12"/>
      <c r="C48" s="108" t="s">
        <v>152</v>
      </c>
      <c r="D48" s="11"/>
      <c r="E48" s="24"/>
      <c r="F48" s="24"/>
      <c r="G48" s="24"/>
      <c r="H48" s="125" t="n">
        <f aca="false">H47-H42</f>
        <v>0</v>
      </c>
      <c r="I48" s="126" t="n">
        <f aca="false">I47-I42</f>
        <v>0</v>
      </c>
      <c r="J48" s="126" t="n">
        <f aca="false">J47-J42</f>
        <v>0</v>
      </c>
      <c r="K48" s="126" t="n">
        <f aca="false">K47-K42</f>
        <v>0</v>
      </c>
      <c r="L48" s="126" t="n">
        <f aca="false">L47-L42</f>
        <v>0</v>
      </c>
      <c r="M48" s="126" t="n">
        <f aca="false">M47-M42</f>
        <v>0</v>
      </c>
      <c r="N48" s="127" t="n">
        <f aca="false">N47-N42</f>
        <v>0</v>
      </c>
      <c r="O48" s="127" t="n">
        <f aca="false">O47-O42</f>
        <v>0</v>
      </c>
      <c r="P48" s="127" t="n">
        <f aca="false">P47-P42</f>
        <v>0</v>
      </c>
      <c r="Q48" s="127" t="n">
        <f aca="false">Q47-Q42</f>
        <v>0</v>
      </c>
      <c r="R48" s="127" t="n">
        <f aca="false">R47-R42</f>
        <v>0</v>
      </c>
      <c r="S48" s="127" t="n">
        <f aca="false">S47-S42</f>
        <v>0</v>
      </c>
      <c r="T48" s="127" t="n">
        <f aca="false">T47-T42</f>
        <v>0</v>
      </c>
      <c r="U48" s="118"/>
    </row>
    <row r="49" customFormat="false" ht="12.75" hidden="false" customHeight="false" outlineLevel="0" collapsed="false">
      <c r="A49" s="12"/>
      <c r="B49" s="12"/>
      <c r="C49" s="108" t="s">
        <v>153</v>
      </c>
      <c r="D49" s="11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110" t="n">
        <f aca="false">T42-('Table 2.0 BS - Annex E'!I20+'Table 2.0 BS - Annex E'!I21+'Table 2.0 BS - Annex E'!I22)</f>
        <v>0</v>
      </c>
      <c r="U49" s="24"/>
      <c r="V49" s="24"/>
    </row>
    <row r="50" customFormat="false" ht="12" hidden="false" customHeight="false" outlineLevel="0" collapsed="false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</row>
    <row r="51" customFormat="false" ht="12.75" hidden="false" customHeight="false" outlineLevel="0" collapsed="false">
      <c r="A51" s="17"/>
      <c r="B51" s="57" t="n">
        <v>31</v>
      </c>
      <c r="C51" s="57" t="s">
        <v>158</v>
      </c>
      <c r="D51" s="57"/>
      <c r="E51" s="57"/>
      <c r="F51" s="57"/>
      <c r="G51" s="57"/>
      <c r="H51" s="128" t="n">
        <f aca="false">H42-H19</f>
        <v>0</v>
      </c>
      <c r="I51" s="129" t="n">
        <f aca="false">I42-I19</f>
        <v>0</v>
      </c>
      <c r="J51" s="129" t="n">
        <f aca="false">J42-J19</f>
        <v>0</v>
      </c>
      <c r="K51" s="129" t="n">
        <f aca="false">K42-K19</f>
        <v>0</v>
      </c>
      <c r="L51" s="129" t="n">
        <f aca="false">L42-L19</f>
        <v>0</v>
      </c>
      <c r="M51" s="129" t="n">
        <f aca="false">M42-M19</f>
        <v>0</v>
      </c>
      <c r="N51" s="129" t="n">
        <f aca="false">N42-N19</f>
        <v>0</v>
      </c>
      <c r="O51" s="129" t="n">
        <f aca="false">O42-O19</f>
        <v>0</v>
      </c>
      <c r="P51" s="129" t="n">
        <f aca="false">P42-P19</f>
        <v>0</v>
      </c>
      <c r="Q51" s="129" t="n">
        <f aca="false">Q42-Q19</f>
        <v>0</v>
      </c>
      <c r="R51" s="129" t="n">
        <f aca="false">R42-R19</f>
        <v>0</v>
      </c>
      <c r="S51" s="129" t="n">
        <f aca="false">S42-S19</f>
        <v>0</v>
      </c>
      <c r="T51" s="130" t="n">
        <f aca="false">T42-T19</f>
        <v>0</v>
      </c>
    </row>
    <row r="52" customFormat="false" ht="12.75" hidden="false" customHeight="false" outlineLevel="0" collapsed="false">
      <c r="A52" s="17"/>
      <c r="B52" s="57"/>
      <c r="C52" s="57" t="s">
        <v>159</v>
      </c>
      <c r="D52" s="57"/>
      <c r="E52" s="57"/>
      <c r="F52" s="57"/>
      <c r="G52" s="5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</row>
    <row r="53" customFormat="false" ht="12.75" hidden="false" customHeight="false" outlineLevel="0" collapsed="false">
      <c r="A53" s="17"/>
      <c r="B53" s="57"/>
      <c r="C53" s="57" t="s">
        <v>160</v>
      </c>
      <c r="D53" s="57"/>
      <c r="E53" s="57"/>
      <c r="F53" s="57"/>
      <c r="G53" s="57"/>
      <c r="H53" s="103" t="str">
        <f aca="false">IF(H19=0,"N/A",(H51/H19)*100)</f>
        <v>N/A</v>
      </c>
      <c r="I53" s="103" t="str">
        <f aca="false">IF(I19=0,"N/A",(I51/I19)*100)</f>
        <v>N/A</v>
      </c>
      <c r="J53" s="103" t="str">
        <f aca="false">IF(J19=0,"N/A",(J51/J19)*100)</f>
        <v>N/A</v>
      </c>
      <c r="K53" s="103" t="str">
        <f aca="false">IF(K19=0,"N/A",(K51/K19)*100)</f>
        <v>N/A</v>
      </c>
      <c r="L53" s="103" t="str">
        <f aca="false">IF(L19=0,"N/A",(L51/L19)*100)</f>
        <v>N/A</v>
      </c>
      <c r="M53" s="103" t="str">
        <f aca="false">IF(M19=0,"N/A",(M51/M19)*100)</f>
        <v>N/A</v>
      </c>
      <c r="N53" s="103" t="str">
        <f aca="false">IF(N19=0,"N/A",(N51/N19)*100)</f>
        <v>N/A</v>
      </c>
      <c r="O53" s="103" t="str">
        <f aca="false">IF(O19=0,"N/A",(O51/O19)*100)</f>
        <v>N/A</v>
      </c>
      <c r="P53" s="103" t="str">
        <f aca="false">IF(P19=0,"N/A",(P51/P19)*100)</f>
        <v>N/A</v>
      </c>
      <c r="Q53" s="103" t="str">
        <f aca="false">IF(Q19=0,"N/A",(Q51/Q19)*100)</f>
        <v>N/A</v>
      </c>
      <c r="R53" s="103" t="str">
        <f aca="false">IF(R19=0,"N/A",(R51/R19)*100)</f>
        <v>N/A</v>
      </c>
      <c r="S53" s="103" t="str">
        <f aca="false">IF(S19=0,"N/A",(S51/S19)*100)</f>
        <v>N/A</v>
      </c>
      <c r="T53" s="103" t="str">
        <f aca="false">IF(T19=0,"N/A",(T51/T19)*100)</f>
        <v>N/A</v>
      </c>
    </row>
    <row r="54" customFormat="false" ht="12.75" hidden="false" customHeight="false" outlineLevel="0" collapsed="false">
      <c r="A54" s="17"/>
      <c r="B54" s="57"/>
      <c r="C54" s="57"/>
      <c r="D54" s="57"/>
      <c r="E54" s="57"/>
      <c r="F54" s="57"/>
      <c r="G54" s="5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</row>
    <row r="55" customFormat="false" ht="23.25" hidden="false" customHeight="true" outlineLevel="0" collapsed="false">
      <c r="A55" s="17"/>
      <c r="B55" s="17"/>
      <c r="C55" s="17"/>
      <c r="D55" s="17"/>
      <c r="E55" s="17"/>
      <c r="F55" s="17"/>
      <c r="G55" s="17"/>
      <c r="H55" s="131" t="s">
        <v>161</v>
      </c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</row>
    <row r="56" customFormat="false" ht="12" hidden="false" customHeight="false" outlineLevel="0" collapsed="false">
      <c r="A56" s="17"/>
      <c r="B56" s="17"/>
      <c r="C56" s="17"/>
      <c r="D56" s="17"/>
      <c r="E56" s="17"/>
      <c r="F56" s="17"/>
      <c r="G56" s="17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</row>
    <row r="57" customFormat="false" ht="12" hidden="false" customHeight="false" outlineLevel="0" collapsed="false">
      <c r="A57" s="17"/>
      <c r="B57" s="17"/>
      <c r="C57" s="17"/>
      <c r="D57" s="17"/>
      <c r="E57" s="17"/>
      <c r="F57" s="17"/>
      <c r="G57" s="17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</row>
    <row r="58" customFormat="false" ht="12" hidden="false" customHeight="false" outlineLevel="0" collapsed="false">
      <c r="A58" s="17"/>
      <c r="B58" s="17"/>
      <c r="C58" s="17"/>
      <c r="D58" s="17"/>
      <c r="E58" s="17"/>
      <c r="F58" s="17"/>
      <c r="G58" s="17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</row>
    <row r="59" customFormat="false" ht="12" hidden="false" customHeight="false" outlineLevel="0" collapsed="false">
      <c r="A59" s="17"/>
      <c r="B59" s="17"/>
      <c r="C59" s="17"/>
      <c r="D59" s="17"/>
      <c r="E59" s="17"/>
      <c r="F59" s="17"/>
      <c r="G59" s="17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</row>
    <row r="60" customFormat="false" ht="12" hidden="false" customHeight="false" outlineLevel="0" collapsed="false">
      <c r="A60" s="17"/>
      <c r="B60" s="17"/>
      <c r="C60" s="17"/>
      <c r="D60" s="17"/>
      <c r="E60" s="17"/>
      <c r="F60" s="17"/>
      <c r="G60" s="17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</row>
    <row r="61" customFormat="false" ht="12" hidden="false" customHeight="false" outlineLevel="0" collapsed="false">
      <c r="A61" s="17"/>
      <c r="B61" s="17"/>
      <c r="C61" s="17"/>
      <c r="D61" s="17"/>
      <c r="E61" s="17"/>
      <c r="F61" s="17"/>
      <c r="G61" s="17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</row>
    <row r="62" customFormat="false" ht="12" hidden="false" customHeight="false" outlineLevel="0" collapsed="false">
      <c r="A62" s="17"/>
      <c r="B62" s="17"/>
      <c r="C62" s="17"/>
      <c r="D62" s="17"/>
      <c r="E62" s="17"/>
      <c r="F62" s="17"/>
      <c r="G62" s="17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</row>
    <row r="63" customFormat="false" ht="2.25" hidden="false" customHeight="true" outlineLevel="0" collapsed="false">
      <c r="A63" s="17"/>
      <c r="B63" s="17"/>
      <c r="C63" s="17"/>
      <c r="D63" s="17"/>
      <c r="E63" s="17"/>
      <c r="F63" s="17"/>
      <c r="G63" s="17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</row>
    <row r="64" customFormat="false" ht="12" hidden="true" customHeight="true" outlineLevel="0" collapsed="false">
      <c r="A64" s="17"/>
      <c r="B64" s="17"/>
      <c r="C64" s="17"/>
      <c r="D64" s="17"/>
      <c r="E64" s="17"/>
      <c r="F64" s="17"/>
      <c r="G64" s="17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</row>
    <row r="65" customFormat="false" ht="12" hidden="true" customHeight="true" outlineLevel="0" collapsed="false">
      <c r="A65" s="17"/>
      <c r="B65" s="17"/>
      <c r="C65" s="17"/>
      <c r="D65" s="17"/>
      <c r="E65" s="17"/>
      <c r="F65" s="17"/>
      <c r="G65" s="17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</row>
    <row r="66" customFormat="false" ht="12" hidden="true" customHeight="true" outlineLevel="0" collapsed="false">
      <c r="A66" s="17"/>
      <c r="B66" s="17"/>
      <c r="C66" s="17"/>
      <c r="D66" s="17"/>
      <c r="E66" s="17"/>
      <c r="F66" s="17"/>
      <c r="G66" s="17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</row>
    <row r="67" customFormat="false" ht="12" hidden="true" customHeight="true" outlineLevel="0" collapsed="false">
      <c r="A67" s="17"/>
      <c r="B67" s="17"/>
      <c r="C67" s="17"/>
      <c r="D67" s="17"/>
      <c r="E67" s="17"/>
      <c r="F67" s="17"/>
      <c r="G67" s="17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</row>
    <row r="68" customFormat="false" ht="12" hidden="true" customHeight="true" outlineLevel="0" collapsed="false">
      <c r="A68" s="17"/>
      <c r="B68" s="17"/>
      <c r="C68" s="17"/>
      <c r="D68" s="17"/>
      <c r="E68" s="17"/>
      <c r="F68" s="17"/>
      <c r="G68" s="17"/>
      <c r="H68" s="132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132"/>
    </row>
    <row r="69" customFormat="false" ht="12" hidden="true" customHeight="true" outlineLevel="0" collapsed="false">
      <c r="A69" s="17"/>
      <c r="B69" s="17"/>
      <c r="C69" s="17"/>
      <c r="D69" s="17"/>
      <c r="E69" s="17"/>
      <c r="F69" s="17"/>
      <c r="G69" s="17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</row>
    <row r="70" customFormat="false" ht="12" hidden="true" customHeight="true" outlineLevel="0" collapsed="false">
      <c r="A70" s="17"/>
      <c r="B70" s="17"/>
      <c r="C70" s="17"/>
      <c r="D70" s="17"/>
      <c r="E70" s="17"/>
      <c r="F70" s="17"/>
      <c r="G70" s="17"/>
      <c r="H70" s="132"/>
      <c r="I70" s="132"/>
      <c r="J70" s="132"/>
      <c r="K70" s="132"/>
      <c r="L70" s="132"/>
      <c r="M70" s="132"/>
      <c r="N70" s="132"/>
      <c r="O70" s="132"/>
      <c r="P70" s="132"/>
      <c r="Q70" s="132"/>
      <c r="R70" s="132"/>
      <c r="S70" s="132"/>
      <c r="T70" s="132"/>
    </row>
    <row r="71" customFormat="false" ht="12" hidden="false" customHeight="false" outlineLevel="0" collapsed="false"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</row>
  </sheetData>
  <sheetProtection sheet="true" objects="true" scenarios="true"/>
  <mergeCells count="2">
    <mergeCell ref="H55:T55"/>
    <mergeCell ref="H56:T70"/>
  </mergeCells>
  <printOptions headings="false" gridLines="false" gridLinesSet="true" horizontalCentered="false" verticalCentered="false"/>
  <pageMargins left="0.747916666666667" right="0.747916666666667" top="0.984027777777778" bottom="0.984027777777778" header="0.5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&amp;C&amp;A&amp;RAnnex F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1998-02-17T16:51:39Z</dcterms:created>
  <dc:creator>Marion Marsden</dc:creator>
  <dc:description/>
  <dc:language>en-US</dc:language>
  <cp:lastModifiedBy>Nicola Byers</cp:lastModifiedBy>
  <cp:lastPrinted>2002-02-08T12:42:35Z</cp:lastPrinted>
  <cp:revision>0</cp:revision>
  <dc:subject/>
  <dc:title>FE Financial Forecasts-Draft 29 May 2000</dc:title>
</cp:coreProperties>
</file>