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NH Capital Homework #2" sheetId="1" state="visible" r:id="rId2"/>
  </sheets>
  <definedNames>
    <definedName function="false" hidden="false" localSheetId="0" name="solver_adj" vbProcedure="false">'CNH Capital Homework #2'!$B$53:$C$53,'CNH Capital Homework #2'!$B$57:$C$59</definedName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100</definedName>
    <definedName function="false" hidden="false" localSheetId="0" name="solver_lhs1" vbProcedure="false">'CNH Capital Homework #2'!$D$57:$D$59</definedName>
    <definedName function="false" hidden="false" localSheetId="0" name="solver_lhs2" vbProcedure="false">'CNH Capital Homework #2'!$B$60:$C$60</definedName>
    <definedName function="false" hidden="false" localSheetId="0" name="solver_lhs3" vbProcedure="false">'CNH Capital Homework #2'!$B$53:$C$53</definedName>
    <definedName function="false" hidden="false" localSheetId="0" name="solver_lhs4" vbProcedure="false">'CNH Capital Homework #2'!$B$57:$C$59</definedName>
    <definedName function="false" hidden="false" localSheetId="0" name="solver_lin" vbProcedure="false">1</definedName>
    <definedName function="false" hidden="false" localSheetId="0" name="solver_neg" vbProcedure="false">1</definedName>
    <definedName function="false" hidden="false" localSheetId="0" name="solver_num" vbProcedure="false">4</definedName>
    <definedName function="false" hidden="false" localSheetId="0" name="solver_nwt" vbProcedure="false">1</definedName>
    <definedName function="false" hidden="false" localSheetId="0" name="solver_opt" vbProcedure="false">'CNH Capital Homework #2'!$H$52</definedName>
    <definedName function="false" hidden="false" localSheetId="0" name="solver_pre" vbProcedure="false">0.000001</definedName>
    <definedName function="false" hidden="false" localSheetId="0" name="solver_rel1" vbProcedure="false">2</definedName>
    <definedName function="false" hidden="false" localSheetId="0" name="solver_rel2" vbProcedure="false">1</definedName>
    <definedName function="false" hidden="false" localSheetId="0" name="solver_rel3" vbProcedure="false">5</definedName>
    <definedName function="false" hidden="false" localSheetId="0" name="solver_rel4" vbProcedure="false">5</definedName>
    <definedName function="false" hidden="false" localSheetId="0" name="solver_rhs1" vbProcedure="false">'CNH Capital Homework #2'!$E$57:$E$59</definedName>
    <definedName function="false" hidden="false" localSheetId="0" name="solver_rhs2" vbProcedure="false">'CNH Capital Homework #2'!$B$61:$C$61</definedName>
    <definedName function="false" hidden="false" localSheetId="0" name="solver_rhs3" vbProcedure="false">#NAME?</definedName>
    <definedName function="false" hidden="false" localSheetId="0" name="solver_rhs4" vbProcedure="false">#NAME?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0.05</definedName>
    <definedName function="false" hidden="false" localSheetId="0" name="solver_typ" vbProcedure="false">2</definedName>
    <definedName function="false" hidden="false" localSheetId="0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<sst xmlns="http://schemas.openxmlformats.org/spreadsheetml/2006/main" count="60" uniqueCount="26">
  <si>
    <t xml:space="preserve">CNH Capital lockbox location problem</t>
  </si>
  <si>
    <t xml:space="preserve">Annual lockbox operating costs:</t>
  </si>
  <si>
    <t xml:space="preserve">Pennsylvania</t>
  </si>
  <si>
    <t xml:space="preserve">California</t>
  </si>
  <si>
    <t xml:space="preserve">fixed</t>
  </si>
  <si>
    <t xml:space="preserve">check processing</t>
  </si>
  <si>
    <t xml:space="preserve">clearing and processing float</t>
  </si>
  <si>
    <t xml:space="preserve">Average days of mail float between regions:</t>
  </si>
  <si>
    <t xml:space="preserve">East coast</t>
  </si>
  <si>
    <t xml:space="preserve">West coast</t>
  </si>
  <si>
    <t xml:space="preserve">Midwest</t>
  </si>
  <si>
    <t xml:space="preserve">Check origination data:</t>
  </si>
  <si>
    <t xml:space="preserve">average daily</t>
  </si>
  <si>
    <t xml:space="preserve">yearly checks</t>
  </si>
  <si>
    <t xml:space="preserve">Cost of Capital (required return):</t>
  </si>
  <si>
    <t xml:space="preserve">These data are calculated:</t>
  </si>
  <si>
    <t xml:space="preserve">Total days float:</t>
  </si>
  <si>
    <t xml:space="preserve">Opportunity cost of float:</t>
  </si>
  <si>
    <t xml:space="preserve">Check processing charge:</t>
  </si>
  <si>
    <t xml:space="preserve">Opportunity and check processing costs:</t>
  </si>
  <si>
    <t xml:space="preserve">This is the model:</t>
  </si>
  <si>
    <t xml:space="preserve">Open lock box j</t>
  </si>
  <si>
    <t xml:space="preserve">Objective Function Value:</t>
  </si>
  <si>
    <t xml:space="preserve">Assign Region i to lockbox j</t>
  </si>
  <si>
    <t xml:space="preserve">SUM</t>
  </si>
  <si>
    <t xml:space="preserve">RHS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</si>
</sst>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_);[RED]&quot;($&quot;#,##0\)"/>
    <numFmt numFmtId="166" formatCode="\$#,##0.00_);[RED]&quot;($&quot;#,##0.00\)"/>
    <numFmt numFmtId="167" formatCode="0.0"/>
    <numFmt numFmtId="168" formatCode="0%"/>
    <numFmt numFmtId="169" formatCode="0.00%"/>
    <numFmt numFmtId="170" formatCode="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4.53"/>
    <col collapsed="false" customWidth="true" hidden="false" outlineLevel="0" max="2" min="2" style="0" width="14.97"/>
    <col collapsed="false" customWidth="true" hidden="false" outlineLevel="0" max="3" min="3" style="0" width="13.97"/>
    <col collapsed="false" customWidth="true" hidden="false" outlineLevel="0" max="8" min="8" style="0" width="11.69"/>
  </cols>
  <sheetData>
    <row r="1" customFormat="false" ht="12.75" hidden="false" customHeight="false" outlineLevel="0" collapsed="false">
      <c r="A1" s="0" t="s">
        <v>0</v>
      </c>
    </row>
    <row r="3" customFormat="false" ht="12.75" hidden="false" customHeight="false" outlineLevel="0" collapsed="false">
      <c r="A3" s="0" t="s">
        <v>1</v>
      </c>
    </row>
    <row r="4" customFormat="false" ht="12.75" hidden="false" customHeight="false" outlineLevel="0" collapsed="false">
      <c r="B4" s="1" t="s">
        <v>2</v>
      </c>
      <c r="C4" s="1" t="s">
        <v>3</v>
      </c>
    </row>
    <row r="5" customFormat="false" ht="12.75" hidden="false" customHeight="false" outlineLevel="0" collapsed="false">
      <c r="A5" s="0" t="s">
        <v>4</v>
      </c>
      <c r="B5" s="2" t="n">
        <v>20000</v>
      </c>
      <c r="C5" s="2" t="n">
        <v>30000</v>
      </c>
    </row>
    <row r="6" customFormat="false" ht="12.75" hidden="false" customHeight="false" outlineLevel="0" collapsed="false">
      <c r="A6" s="0" t="s">
        <v>5</v>
      </c>
      <c r="B6" s="3" t="n">
        <v>0.2</v>
      </c>
      <c r="C6" s="3" t="n">
        <v>0.3</v>
      </c>
    </row>
    <row r="7" customFormat="false" ht="12.75" hidden="false" customHeight="false" outlineLevel="0" collapsed="false">
      <c r="A7" s="0" t="s">
        <v>6</v>
      </c>
      <c r="B7" s="4" t="n">
        <v>1.5</v>
      </c>
      <c r="C7" s="4" t="n">
        <v>1</v>
      </c>
    </row>
    <row r="9" customFormat="false" ht="12.75" hidden="false" customHeight="false" outlineLevel="0" collapsed="false">
      <c r="A9" s="0" t="s">
        <v>7</v>
      </c>
    </row>
    <row r="10" customFormat="false" ht="12.75" hidden="false" customHeight="false" outlineLevel="0" collapsed="false">
      <c r="B10" s="1" t="s">
        <v>2</v>
      </c>
      <c r="C10" s="1" t="s">
        <v>3</v>
      </c>
    </row>
    <row r="11" customFormat="false" ht="12.75" hidden="false" customHeight="false" outlineLevel="0" collapsed="false">
      <c r="A11" s="0" t="s">
        <v>8</v>
      </c>
      <c r="B11" s="4" t="n">
        <v>2.3</v>
      </c>
      <c r="C11" s="4" t="n">
        <v>3</v>
      </c>
    </row>
    <row r="12" customFormat="false" ht="12.75" hidden="false" customHeight="false" outlineLevel="0" collapsed="false">
      <c r="A12" s="0" t="s">
        <v>9</v>
      </c>
      <c r="B12" s="4" t="n">
        <v>3</v>
      </c>
      <c r="C12" s="4" t="n">
        <v>2.2</v>
      </c>
    </row>
    <row r="13" customFormat="false" ht="12.75" hidden="false" customHeight="false" outlineLevel="0" collapsed="false">
      <c r="A13" s="0" t="s">
        <v>10</v>
      </c>
      <c r="B13" s="4" t="n">
        <v>3.5</v>
      </c>
      <c r="C13" s="4" t="n">
        <v>3.2</v>
      </c>
    </row>
    <row r="15" customFormat="false" ht="12.75" hidden="false" customHeight="false" outlineLevel="0" collapsed="false">
      <c r="A15" s="0" t="s">
        <v>11</v>
      </c>
    </row>
    <row r="16" customFormat="false" ht="12.75" hidden="false" customHeight="false" outlineLevel="0" collapsed="false">
      <c r="B16" s="0" t="s">
        <v>12</v>
      </c>
      <c r="C16" s="0" t="s">
        <v>13</v>
      </c>
    </row>
    <row r="17" customFormat="false" ht="12.75" hidden="false" customHeight="false" outlineLevel="0" collapsed="false">
      <c r="A17" s="0" t="s">
        <v>8</v>
      </c>
      <c r="B17" s="2" t="n">
        <v>20000000</v>
      </c>
      <c r="C17" s="5" t="n">
        <v>2500000</v>
      </c>
    </row>
    <row r="18" customFormat="false" ht="12.75" hidden="false" customHeight="false" outlineLevel="0" collapsed="false">
      <c r="A18" s="0" t="s">
        <v>9</v>
      </c>
      <c r="B18" s="2" t="n">
        <v>30000000</v>
      </c>
      <c r="C18" s="5" t="n">
        <v>3500000</v>
      </c>
    </row>
    <row r="19" customFormat="false" ht="12.75" hidden="false" customHeight="false" outlineLevel="0" collapsed="false">
      <c r="A19" s="0" t="s">
        <v>10</v>
      </c>
      <c r="B19" s="2" t="n">
        <v>24000000</v>
      </c>
      <c r="C19" s="5" t="n">
        <v>4500000</v>
      </c>
    </row>
    <row r="21" customFormat="false" ht="12.75" hidden="false" customHeight="false" outlineLevel="0" collapsed="false">
      <c r="A21" s="0" t="s">
        <v>14</v>
      </c>
      <c r="C21" s="6" t="n">
        <v>0.085</v>
      </c>
    </row>
    <row r="23" customFormat="false" ht="12.75" hidden="false" customHeight="false" outlineLevel="0" collapsed="false">
      <c r="A23" s="0" t="s">
        <v>15</v>
      </c>
    </row>
    <row r="25" customFormat="false" ht="12.75" hidden="false" customHeight="false" outlineLevel="0" collapsed="false">
      <c r="A25" s="0" t="s">
        <v>16</v>
      </c>
    </row>
    <row r="26" customFormat="false" ht="12.75" hidden="false" customHeight="false" outlineLevel="0" collapsed="false">
      <c r="B26" s="1" t="s">
        <v>2</v>
      </c>
      <c r="C26" s="1" t="s">
        <v>3</v>
      </c>
    </row>
    <row r="27" customFormat="false" ht="12.75" hidden="false" customHeight="false" outlineLevel="0" collapsed="false">
      <c r="A27" s="0" t="s">
        <v>8</v>
      </c>
      <c r="B27" s="4" t="n">
        <f aca="false">B$7+B11</f>
        <v>3.8</v>
      </c>
      <c r="C27" s="4" t="n">
        <f aca="false">C$7+C11</f>
        <v>4</v>
      </c>
      <c r="D27" s="7"/>
    </row>
    <row r="28" customFormat="false" ht="12.75" hidden="false" customHeight="false" outlineLevel="0" collapsed="false">
      <c r="A28" s="0" t="s">
        <v>9</v>
      </c>
      <c r="B28" s="4" t="n">
        <f aca="false">B$7+B12</f>
        <v>4.5</v>
      </c>
      <c r="C28" s="4" t="n">
        <f aca="false">C$7+C12</f>
        <v>3.2</v>
      </c>
      <c r="D28" s="7"/>
    </row>
    <row r="29" customFormat="false" ht="12.75" hidden="false" customHeight="false" outlineLevel="0" collapsed="false">
      <c r="A29" s="0" t="s">
        <v>10</v>
      </c>
      <c r="B29" s="4" t="n">
        <f aca="false">B$7+B13</f>
        <v>5</v>
      </c>
      <c r="C29" s="4" t="n">
        <f aca="false">5</f>
        <v>5</v>
      </c>
      <c r="D29" s="7"/>
    </row>
    <row r="31" customFormat="false" ht="12.75" hidden="false" customHeight="false" outlineLevel="0" collapsed="false">
      <c r="A31" s="0" t="s">
        <v>17</v>
      </c>
    </row>
    <row r="32" customFormat="false" ht="12.75" hidden="false" customHeight="false" outlineLevel="0" collapsed="false">
      <c r="B32" s="1" t="s">
        <v>2</v>
      </c>
      <c r="C32" s="1" t="s">
        <v>3</v>
      </c>
      <c r="E32" s="1"/>
      <c r="F32" s="1"/>
    </row>
    <row r="33" customFormat="false" ht="12.75" hidden="false" customHeight="false" outlineLevel="0" collapsed="false">
      <c r="A33" s="0" t="s">
        <v>8</v>
      </c>
      <c r="B33" s="2" t="n">
        <f aca="false">$C$21*$B17*B27</f>
        <v>6460000</v>
      </c>
      <c r="C33" s="2" t="n">
        <f aca="false">$C$21*$B17*C27</f>
        <v>6800000</v>
      </c>
      <c r="E33" s="2"/>
      <c r="F33" s="2"/>
    </row>
    <row r="34" customFormat="false" ht="12.75" hidden="false" customHeight="false" outlineLevel="0" collapsed="false">
      <c r="A34" s="0" t="s">
        <v>9</v>
      </c>
      <c r="B34" s="2" t="n">
        <f aca="false">$C$21*$B18*B28</f>
        <v>11475000</v>
      </c>
      <c r="C34" s="2" t="n">
        <f aca="false">$C$21*$B18*C28</f>
        <v>8160000</v>
      </c>
      <c r="E34" s="2"/>
      <c r="F34" s="2"/>
    </row>
    <row r="35" customFormat="false" ht="12.75" hidden="false" customHeight="false" outlineLevel="0" collapsed="false">
      <c r="A35" s="0" t="s">
        <v>10</v>
      </c>
      <c r="B35" s="2" t="n">
        <f aca="false">$C$21*$B19*B29</f>
        <v>10200000</v>
      </c>
      <c r="C35" s="2" t="n">
        <f aca="false">$C$21*$B19*C29</f>
        <v>10200000</v>
      </c>
      <c r="E35" s="2"/>
      <c r="F35" s="2"/>
    </row>
    <row r="37" customFormat="false" ht="12.75" hidden="false" customHeight="false" outlineLevel="0" collapsed="false">
      <c r="A37" s="0" t="s">
        <v>18</v>
      </c>
    </row>
    <row r="38" customFormat="false" ht="12.75" hidden="false" customHeight="false" outlineLevel="0" collapsed="false">
      <c r="B38" s="1" t="s">
        <v>2</v>
      </c>
      <c r="C38" s="1" t="s">
        <v>3</v>
      </c>
    </row>
    <row r="39" customFormat="false" ht="12.75" hidden="false" customHeight="false" outlineLevel="0" collapsed="false">
      <c r="A39" s="0" t="s">
        <v>8</v>
      </c>
      <c r="B39" s="2" t="n">
        <f aca="false">$C17*B$6</f>
        <v>500000</v>
      </c>
      <c r="C39" s="2" t="n">
        <f aca="false">$C17*C$6</f>
        <v>750000</v>
      </c>
    </row>
    <row r="40" customFormat="false" ht="12.75" hidden="false" customHeight="false" outlineLevel="0" collapsed="false">
      <c r="A40" s="0" t="s">
        <v>9</v>
      </c>
      <c r="B40" s="2" t="n">
        <f aca="false">$C18*B$6</f>
        <v>700000</v>
      </c>
      <c r="C40" s="2" t="n">
        <f aca="false">$C18*C$6</f>
        <v>1050000</v>
      </c>
    </row>
    <row r="41" customFormat="false" ht="12.75" hidden="false" customHeight="false" outlineLevel="0" collapsed="false">
      <c r="A41" s="0" t="s">
        <v>10</v>
      </c>
      <c r="B41" s="2" t="n">
        <f aca="false">$C19*B$6</f>
        <v>900000</v>
      </c>
      <c r="C41" s="2" t="n">
        <f aca="false">$C19*C$6</f>
        <v>1350000</v>
      </c>
    </row>
    <row r="42" customFormat="false" ht="12.75" hidden="false" customHeight="false" outlineLevel="0" collapsed="false">
      <c r="B42" s="2"/>
      <c r="C42" s="2"/>
    </row>
    <row r="43" customFormat="false" ht="12.75" hidden="false" customHeight="false" outlineLevel="0" collapsed="false">
      <c r="A43" s="0" t="s">
        <v>19</v>
      </c>
    </row>
    <row r="44" customFormat="false" ht="12.75" hidden="false" customHeight="false" outlineLevel="0" collapsed="false">
      <c r="B44" s="1" t="s">
        <v>2</v>
      </c>
      <c r="C44" s="1" t="s">
        <v>3</v>
      </c>
    </row>
    <row r="45" customFormat="false" ht="12.75" hidden="false" customHeight="false" outlineLevel="0" collapsed="false">
      <c r="A45" s="0" t="s">
        <v>8</v>
      </c>
      <c r="B45" s="2" t="n">
        <f aca="false">B33+B39</f>
        <v>6960000</v>
      </c>
      <c r="C45" s="2" t="n">
        <f aca="false">C33+C39</f>
        <v>7550000</v>
      </c>
    </row>
    <row r="46" customFormat="false" ht="12.75" hidden="false" customHeight="false" outlineLevel="0" collapsed="false">
      <c r="A46" s="0" t="s">
        <v>9</v>
      </c>
      <c r="B46" s="2" t="n">
        <f aca="false">B34+B40</f>
        <v>12175000</v>
      </c>
      <c r="C46" s="2" t="n">
        <f aca="false">C34+C40</f>
        <v>9210000</v>
      </c>
    </row>
    <row r="47" customFormat="false" ht="12.75" hidden="false" customHeight="false" outlineLevel="0" collapsed="false">
      <c r="A47" s="0" t="s">
        <v>10</v>
      </c>
      <c r="B47" s="2" t="n">
        <f aca="false">B35+B41</f>
        <v>11100000</v>
      </c>
      <c r="C47" s="2" t="n">
        <f aca="false">C35+C41</f>
        <v>11550000</v>
      </c>
    </row>
    <row r="48" customFormat="false" ht="12.75" hidden="false" customHeight="false" outlineLevel="0" collapsed="false">
      <c r="B48" s="2"/>
      <c r="C48" s="2"/>
    </row>
    <row r="49" customFormat="false" ht="12.75" hidden="false" customHeight="false" outlineLevel="0" collapsed="false">
      <c r="A49" s="0" t="s">
        <v>20</v>
      </c>
    </row>
    <row r="51" customFormat="false" ht="12.75" hidden="false" customHeight="false" outlineLevel="0" collapsed="false">
      <c r="A51" s="0" t="s">
        <v>21</v>
      </c>
    </row>
    <row r="52" customFormat="false" ht="12.75" hidden="false" customHeight="false" outlineLevel="0" collapsed="false">
      <c r="B52" s="0" t="s">
        <v>2</v>
      </c>
      <c r="C52" s="0" t="s">
        <v>3</v>
      </c>
      <c r="E52" s="0" t="s">
        <v>22</v>
      </c>
      <c r="H52" s="8" t="n">
        <f aca="false">SUMPRODUCT(B5:C5,B53:C53)+SUMPRODUCT(B45:C47,B57:C59)</f>
        <v>27770000</v>
      </c>
    </row>
    <row r="53" customFormat="false" ht="12.75" hidden="false" customHeight="false" outlineLevel="0" collapsed="false">
      <c r="B53" s="0" t="n">
        <v>1</v>
      </c>
      <c r="C53" s="0" t="n">
        <v>1</v>
      </c>
    </row>
    <row r="55" customFormat="false" ht="12.75" hidden="false" customHeight="false" outlineLevel="0" collapsed="false">
      <c r="A55" s="0" t="s">
        <v>23</v>
      </c>
    </row>
    <row r="56" customFormat="false" ht="12.75" hidden="false" customHeight="false" outlineLevel="0" collapsed="false">
      <c r="B56" s="0" t="s">
        <v>2</v>
      </c>
      <c r="C56" s="0" t="s">
        <v>3</v>
      </c>
      <c r="D56" s="0" t="s">
        <v>24</v>
      </c>
      <c r="E56" s="0" t="s">
        <v>25</v>
      </c>
    </row>
    <row r="57" customFormat="false" ht="12.75" hidden="false" customHeight="false" outlineLevel="0" collapsed="false">
      <c r="A57" s="0" t="s">
        <v>8</v>
      </c>
      <c r="B57" s="0" t="n">
        <v>1</v>
      </c>
      <c r="C57" s="0" t="n">
        <v>0</v>
      </c>
      <c r="D57" s="0" t="n">
        <f aca="false">SUM(B57:C57)</f>
        <v>1</v>
      </c>
      <c r="E57" s="0" t="n">
        <v>1</v>
      </c>
    </row>
    <row r="58" customFormat="false" ht="12.75" hidden="false" customHeight="false" outlineLevel="0" collapsed="false">
      <c r="A58" s="0" t="s">
        <v>9</v>
      </c>
      <c r="B58" s="0" t="n">
        <v>0</v>
      </c>
      <c r="C58" s="0" t="n">
        <v>1</v>
      </c>
      <c r="D58" s="0" t="n">
        <f aca="false">SUM(B58:C58)</f>
        <v>1</v>
      </c>
      <c r="E58" s="0" t="n">
        <v>1</v>
      </c>
    </row>
    <row r="59" customFormat="false" ht="12.75" hidden="false" customHeight="false" outlineLevel="0" collapsed="false">
      <c r="A59" s="0" t="s">
        <v>10</v>
      </c>
      <c r="B59" s="0" t="n">
        <v>0</v>
      </c>
      <c r="C59" s="0" t="n">
        <v>1</v>
      </c>
      <c r="D59" s="0" t="n">
        <f aca="false">SUM(B59:C59)</f>
        <v>1</v>
      </c>
      <c r="E59" s="0" t="n">
        <v>1</v>
      </c>
    </row>
    <row r="60" customFormat="false" ht="12.75" hidden="false" customHeight="false" outlineLevel="0" collapsed="false">
      <c r="A60" s="0" t="s">
        <v>24</v>
      </c>
      <c r="B60" s="0" t="n">
        <f aca="false">SUM(B57:B59)</f>
        <v>1</v>
      </c>
      <c r="C60" s="0" t="n">
        <f aca="false">SUM(C57:C59)</f>
        <v>2</v>
      </c>
    </row>
    <row r="61" customFormat="false" ht="12.75" hidden="false" customHeight="false" outlineLevel="0" collapsed="false">
      <c r="A61" s="0" t="s">
        <v>25</v>
      </c>
      <c r="B61" s="0" t="n">
        <f aca="false">3*B53</f>
        <v>3</v>
      </c>
      <c r="C61" s="0" t="n">
        <f aca="false">3*C53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2003-02-11T16:45:33Z</dcterms:created>
  <dc:creator>StokesJ</dc:creator>
  <dc:description/>
  <dc:language>en-US</dc:language>
  <cp:lastModifiedBy>StokesJ</cp:lastModifiedBy>
  <dcterms:modified xsi:type="dcterms:W3CDTF">2003-02-11T16:46:13Z</dcterms:modified>
  <cp:revision>0</cp:revision>
  <dc:subject/>
  <dc:title/>
</cp:coreProperties>
</file>