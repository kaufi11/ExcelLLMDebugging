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68.xml" ContentType="application/vnd.openxmlformats-officedocument.drawingml.chart+xml"/>
  <Override PartName="/xl/charts/chart70.xml" ContentType="application/vnd.openxmlformats-officedocument.drawingml.chart+xml"/>
  <Override PartName="/xl/charts/chart67.xml" ContentType="application/vnd.openxmlformats-officedocument.drawingml.chart+xml"/>
  <Override PartName="/xl/charts/chart66.xml" ContentType="application/vnd.openxmlformats-officedocument.drawingml.chart+xml"/>
  <Override PartName="/xl/charts/chart65.xml" ContentType="application/vnd.openxmlformats-officedocument.drawingml.chart+xml"/>
  <Override PartName="/xl/charts/_rels/chart75.xml.rels" ContentType="application/vnd.openxmlformats-package.relationships+xml"/>
  <Override PartName="/xl/charts/chart64.xml" ContentType="application/vnd.openxmlformats-officedocument.drawingml.chart+xml"/>
  <Override PartName="/xl/charts/chart75.xml" ContentType="application/vnd.openxmlformats-officedocument.drawingml.chart+xml"/>
  <Override PartName="/xl/charts/chart63.xml" ContentType="application/vnd.openxmlformats-officedocument.drawingml.chart+xml"/>
  <Override PartName="/xl/charts/chart74.xml" ContentType="application/vnd.openxmlformats-officedocument.drawingml.chart+xml"/>
  <Override PartName="/xl/charts/chart62.xml" ContentType="application/vnd.openxmlformats-officedocument.drawingml.chart+xml"/>
  <Override PartName="/xl/charts/chart73.xml" ContentType="application/vnd.openxmlformats-officedocument.drawingml.chart+xml"/>
  <Override PartName="/xl/charts/chart72.xml" ContentType="application/vnd.openxmlformats-officedocument.drawingml.chart+xml"/>
  <Override PartName="/xl/charts/chart57.xml" ContentType="application/vnd.openxmlformats-officedocument.drawingml.chart+xml"/>
  <Override PartName="/xl/charts/chart69.xml" ContentType="application/vnd.openxmlformats-officedocument.drawingml.chart+xml"/>
  <Override PartName="/xl/charts/chart71.xml" ContentType="application/vnd.openxmlformats-officedocument.drawingml.chart+xml"/>
  <Override PartName="/xl/charts/chart60.xml" ContentType="application/vnd.openxmlformats-officedocument.drawingml.chart+xml"/>
  <Override PartName="/xl/charts/chart58.xml" ContentType="application/vnd.openxmlformats-officedocument.drawingml.chart+xml"/>
  <Override PartName="/xl/charts/chart61.xml" ContentType="application/vnd.openxmlformats-officedocument.drawingml.chart+xml"/>
  <Override PartName="/xl/charts/chart59.xml" ContentType="application/vnd.openxmlformats-officedocument.drawingml.chart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true" date1904="true"/>
  <workbookProtection/>
  <bookViews>
    <workbookView showHorizontalScroll="true" showVerticalScroll="true" showSheetTabs="true" xWindow="0" yWindow="0" windowWidth="16384" windowHeight="8192" tabRatio="600" firstSheet="0" activeTab="4"/>
  </bookViews>
  <sheets>
    <sheet name="Raw Data" sheetId="1" state="visible" r:id="rId2"/>
    <sheet name="charts 2000" sheetId="2" state="visible" r:id="rId3"/>
    <sheet name="charts 2001 not printed" sheetId="3" state="visible" r:id="rId4"/>
    <sheet name="Age Data" sheetId="4" state="visible" r:id="rId5"/>
    <sheet name="Age Charts" sheetId="5" state="visible" r:id="rId6"/>
  </sheets>
  <definedNames>
    <definedName function="false" hidden="false" localSheetId="4" name="_xlnm.Print_Area" vbProcedure="false">'Age Charts'!$H$1:$U$50</definedName>
    <definedName function="false" hidden="false" localSheetId="3" name="_xlnm.Print_Area" vbProcedure="false">'Age Data'!$A$1:$K$36</definedName>
    <definedName function="false" hidden="false" localSheetId="1" name="_xlnm.Print_Area" vbProcedure="false">'charts 2000'!$AD$1:$BE$53</definedName>
    <definedName function="false" hidden="false" localSheetId="2" name="_xlnm.Print_Area" vbProcedure="false">'charts 2001 not printed'!$O$1:$AB$53</definedName>
    <definedName function="false" hidden="false" localSheetId="0" name="_xlnm.Print_Area" vbProcedure="false">'Raw Data'!$A$1:$Q$49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<sst xmlns="http://schemas.openxmlformats.org/spreadsheetml/2006/main" count="488" uniqueCount="143">
  <si>
    <t xml:space="preserve">School Focused Youth Service Data</t>
  </si>
  <si>
    <t xml:space="preserve">2000 - 16 projects</t>
  </si>
  <si>
    <t xml:space="preserve">Auspice</t>
  </si>
  <si>
    <t xml:space="preserve">issue</t>
  </si>
  <si>
    <t xml:space="preserve">Program</t>
  </si>
  <si>
    <t xml:space="preserve">children</t>
  </si>
  <si>
    <t xml:space="preserve">parents</t>
  </si>
  <si>
    <t xml:space="preserve">schools</t>
  </si>
  <si>
    <t xml:space="preserve">orgns</t>
  </si>
  <si>
    <t xml:space="preserve">hours</t>
  </si>
  <si>
    <t xml:space="preserve">$$ per child</t>
  </si>
  <si>
    <t xml:space="preserve">$$ per partic</t>
  </si>
  <si>
    <t xml:space="preserve">budget $</t>
  </si>
  <si>
    <t xml:space="preserve">Sustained</t>
  </si>
  <si>
    <t xml:space="preserve">group work</t>
  </si>
  <si>
    <t xml:space="preserve">outings</t>
  </si>
  <si>
    <t xml:space="preserve">materials</t>
  </si>
  <si>
    <t xml:space="preserve">counselling</t>
  </si>
  <si>
    <t xml:space="preserve">tutoring</t>
  </si>
  <si>
    <t xml:space="preserve">B'ton prim, sec</t>
  </si>
  <si>
    <t xml:space="preserve">Bullying</t>
  </si>
  <si>
    <t xml:space="preserve">Bentleigh/SFL dads</t>
  </si>
  <si>
    <t xml:space="preserve">y</t>
  </si>
  <si>
    <t xml:space="preserve">Dads involved SFL</t>
  </si>
  <si>
    <t xml:space="preserve">Mordi Chels Sec</t>
  </si>
  <si>
    <t xml:space="preserve">Anger mgt</t>
  </si>
  <si>
    <t xml:space="preserve">Kings/Comm health</t>
  </si>
  <si>
    <t xml:space="preserve">Y</t>
  </si>
  <si>
    <t xml:space="preserve">Gordon Homes</t>
  </si>
  <si>
    <t xml:space="preserve">school ret</t>
  </si>
  <si>
    <t xml:space="preserve">homework</t>
  </si>
  <si>
    <t xml:space="preserve">n</t>
  </si>
  <si>
    <t xml:space="preserve">Bayside council</t>
  </si>
  <si>
    <t xml:space="preserve">Peer skills </t>
  </si>
  <si>
    <t xml:space="preserve">Kids Help Line</t>
  </si>
  <si>
    <t xml:space="preserve">BCC devel peer skills for 2ndry</t>
  </si>
  <si>
    <t xml:space="preserve">Kingston council</t>
  </si>
  <si>
    <t xml:space="preserve">culture</t>
  </si>
  <si>
    <t xml:space="preserve">Kingston</t>
  </si>
  <si>
    <t xml:space="preserve">Clarinda prim</t>
  </si>
  <si>
    <t xml:space="preserve">bullying</t>
  </si>
  <si>
    <t xml:space="preserve">REFS</t>
  </si>
  <si>
    <t xml:space="preserve">Teacher prof devel - 1 day. Peer plus conf. Res.</t>
  </si>
  <si>
    <t xml:space="preserve">Bayside Youth Found</t>
  </si>
  <si>
    <t xml:space="preserve">body image</t>
  </si>
  <si>
    <t xml:space="preserve">JPET/BBCH</t>
  </si>
  <si>
    <t xml:space="preserve">SFL, LegalAid, BodyShop, etc</t>
  </si>
  <si>
    <t xml:space="preserve">CBCHS</t>
  </si>
  <si>
    <t xml:space="preserve">health, D/A</t>
  </si>
  <si>
    <t xml:space="preserve">Chelsea prim</t>
  </si>
  <si>
    <t xml:space="preserve">anger mgt</t>
  </si>
  <si>
    <t xml:space="preserve">REFS/SFL</t>
  </si>
  <si>
    <t xml:space="preserve">SFL follows with counselling</t>
  </si>
  <si>
    <t xml:space="preserve">Kibreda</t>
  </si>
  <si>
    <t xml:space="preserve">Kilb/SFL</t>
  </si>
  <si>
    <t xml:space="preserve">Brighton Beach prim</t>
  </si>
  <si>
    <t xml:space="preserve">conflict res</t>
  </si>
  <si>
    <t xml:space="preserve">Schools Med</t>
  </si>
  <si>
    <t xml:space="preserve">envisage training other teachers</t>
  </si>
  <si>
    <t xml:space="preserve">Kingst/SFL</t>
  </si>
  <si>
    <t xml:space="preserve">Chelt sec</t>
  </si>
  <si>
    <t xml:space="preserve">Angli h/w</t>
  </si>
  <si>
    <t xml:space="preserve">did not get full alloc</t>
  </si>
  <si>
    <t xml:space="preserve">St Finbars</t>
  </si>
  <si>
    <t xml:space="preserve">Edithvale prim</t>
  </si>
  <si>
    <t xml:space="preserve">Anglicare</t>
  </si>
  <si>
    <t xml:space="preserve">Totals</t>
  </si>
  <si>
    <t xml:space="preserve">2001 - 11 projects</t>
  </si>
  <si>
    <t xml:space="preserve">program</t>
  </si>
  <si>
    <t xml:space="preserve">St Brigids</t>
  </si>
  <si>
    <t xml:space="preserve">peerskills</t>
  </si>
  <si>
    <t xml:space="preserve">REFS = peer</t>
  </si>
  <si>
    <t xml:space="preserve">Aspendale prim</t>
  </si>
  <si>
    <t xml:space="preserve">poor outcome</t>
  </si>
  <si>
    <t xml:space="preserve">Mentone Park pri</t>
  </si>
  <si>
    <t xml:space="preserve">Ok outcome.  Teachers trained</t>
  </si>
  <si>
    <t xml:space="preserve">St Agnes</t>
  </si>
  <si>
    <t xml:space="preserve">dads</t>
  </si>
  <si>
    <t xml:space="preserve">SFL dads</t>
  </si>
  <si>
    <t xml:space="preserve">Bayside Youthschool ret</t>
  </si>
  <si>
    <t xml:space="preserve">N/A</t>
  </si>
  <si>
    <t xml:space="preserve">Noah's Ark</t>
  </si>
  <si>
    <t xml:space="preserve">sibling camps</t>
  </si>
  <si>
    <t xml:space="preserve">Gardenvale pri</t>
  </si>
  <si>
    <t xml:space="preserve">life skills</t>
  </si>
  <si>
    <t xml:space="preserve">BCC/ Jugglers</t>
  </si>
  <si>
    <t xml:space="preserve">not much change seen</t>
  </si>
  <si>
    <t xml:space="preserve">will run for other schools</t>
  </si>
  <si>
    <t xml:space="preserve">St Josephs</t>
  </si>
  <si>
    <t xml:space="preserve">St Patricks</t>
  </si>
  <si>
    <t xml:space="preserve">SFL (NOV)</t>
  </si>
  <si>
    <t xml:space="preserve">drama &amp; discussion</t>
  </si>
  <si>
    <t xml:space="preserve">Moordialloc pri</t>
  </si>
  <si>
    <t xml:space="preserve">Knock out violence</t>
  </si>
  <si>
    <t xml:space="preserve">Summary Information</t>
  </si>
  <si>
    <t xml:space="preserve">Program Type</t>
  </si>
  <si>
    <t xml:space="preserve">Issue Addressed</t>
  </si>
  <si>
    <t xml:space="preserve">Group work</t>
  </si>
  <si>
    <t xml:space="preserve">Outing</t>
  </si>
  <si>
    <t xml:space="preserve">Home  work</t>
  </si>
  <si>
    <t xml:space="preserve">Other</t>
  </si>
  <si>
    <t xml:space="preserve">Peer skills</t>
  </si>
  <si>
    <t xml:space="preserve">Life skills</t>
  </si>
  <si>
    <t xml:space="preserve">Conflict /anger</t>
  </si>
  <si>
    <t xml:space="preserve">Body image</t>
  </si>
  <si>
    <t xml:space="preserve">health</t>
  </si>
  <si>
    <t xml:space="preserve">siblings</t>
  </si>
  <si>
    <t xml:space="preserve">Kids involved</t>
  </si>
  <si>
    <t xml:space="preserve">Parents </t>
  </si>
  <si>
    <t xml:space="preserve">Schools</t>
  </si>
  <si>
    <t xml:space="preserve">Comm. Orgns</t>
  </si>
  <si>
    <t xml:space="preserve"># programs</t>
  </si>
  <si>
    <t xml:space="preserve">Service Providers</t>
  </si>
  <si>
    <t xml:space="preserve">SFL</t>
  </si>
  <si>
    <t xml:space="preserve">BCC</t>
  </si>
  <si>
    <t xml:space="preserve">REFS and SFL</t>
  </si>
  <si>
    <t xml:space="preserve"> SFL/LG/ school</t>
  </si>
  <si>
    <t xml:space="preserve">Central Bayside</t>
  </si>
  <si>
    <t xml:space="preserve">BBCH</t>
  </si>
  <si>
    <t xml:space="preserve">School Med</t>
  </si>
  <si>
    <t xml:space="preserve">Total</t>
  </si>
  <si>
    <t xml:space="preserve">Culture</t>
  </si>
  <si>
    <t xml:space="preserve">School Retention</t>
  </si>
  <si>
    <t xml:space="preserve">Health</t>
  </si>
  <si>
    <t xml:space="preserve">Peer Skills</t>
  </si>
  <si>
    <t xml:space="preserve">Organisations</t>
  </si>
  <si>
    <t xml:space="preserve">programs</t>
  </si>
  <si>
    <t xml:space="preserve">School retention</t>
  </si>
  <si>
    <t xml:space="preserve">Sibling camps</t>
  </si>
  <si>
    <t xml:space="preserve">25/1/200225/1/2002</t>
  </si>
  <si>
    <t xml:space="preserve">Bayside Youth</t>
  </si>
  <si>
    <t xml:space="preserve">Children</t>
  </si>
  <si>
    <t xml:space="preserve">Dollars</t>
  </si>
  <si>
    <t xml:space="preserve">Dollars per Child</t>
  </si>
  <si>
    <t xml:space="preserve">organisations</t>
  </si>
  <si>
    <t xml:space="preserve">Primary</t>
  </si>
  <si>
    <t xml:space="preserve">Secondary</t>
  </si>
  <si>
    <t xml:space="preserve">primary</t>
  </si>
  <si>
    <t xml:space="preserve">secondary</t>
  </si>
  <si>
    <t xml:space="preserve">Bayside Youth school ret</t>
  </si>
  <si>
    <t xml:space="preserve">Total particips</t>
  </si>
  <si>
    <t xml:space="preserve">particpants</t>
  </si>
  <si>
    <t xml:space="preserve">$$ per participant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</si>
</sst>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(\$* #,##0.00_);_(\$* \(#,##0.00\);_(\$* \-??_);_(@_)"/>
    <numFmt numFmtId="166" formatCode="_(\$* #,##0_);_(\$* \(#,##0\);_(\$* \-??_);_(@_)"/>
    <numFmt numFmtId="167" formatCode="\$#,##0.00"/>
    <numFmt numFmtId="168" formatCode="General"/>
    <numFmt numFmtId="169" formatCode="[$-409]#,##0_);\(#,##0\)"/>
    <numFmt numFmtId="170" formatCode="0"/>
    <numFmt numFmtId="171" formatCode="0%"/>
    <numFmt numFmtId="172" formatCode="[$-409]#,##0.00_);\(#,##0.00\)"/>
  </numFmts>
  <fonts count="43">
    <font>
      <sz val="9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4"/>
      <name val="Geneva"/>
      <family val="0"/>
    </font>
    <font>
      <u val="single"/>
      <sz val="9"/>
      <name val="Geneva"/>
      <family val="0"/>
    </font>
    <font>
      <b val="true"/>
      <u val="single"/>
      <sz val="12"/>
      <name val="Geneva"/>
      <family val="0"/>
    </font>
    <font>
      <b val="true"/>
      <sz val="9"/>
      <name val="Geneva"/>
      <family val="0"/>
    </font>
    <font>
      <b val="true"/>
      <u val="single"/>
      <sz val="9"/>
      <name val="Geneva"/>
      <family val="0"/>
    </font>
    <font>
      <b val="true"/>
      <sz val="11.75"/>
      <color rgb="FF000000"/>
      <name val="Geneva"/>
      <family val="2"/>
    </font>
    <font>
      <sz val="8"/>
      <color rgb="FF000000"/>
      <name val="Geneva"/>
      <family val="2"/>
    </font>
    <font>
      <b val="true"/>
      <sz val="14.5"/>
      <color rgb="FF000000"/>
      <name val="Geneva"/>
      <family val="2"/>
    </font>
    <font>
      <sz val="11"/>
      <color rgb="FF000000"/>
      <name val="Geneva"/>
      <family val="2"/>
    </font>
    <font>
      <sz val="8.5"/>
      <color rgb="FF000000"/>
      <name val="Geneva"/>
      <family val="2"/>
    </font>
    <font>
      <b val="true"/>
      <sz val="11"/>
      <color rgb="FF000000"/>
      <name val="Geneva"/>
      <family val="2"/>
    </font>
    <font>
      <sz val="10.75"/>
      <color rgb="FF000000"/>
      <name val="Geneva"/>
      <family val="2"/>
    </font>
    <font>
      <sz val="13.5"/>
      <color rgb="FF000000"/>
      <name val="Geneva"/>
      <family val="2"/>
    </font>
    <font>
      <sz val="11.5"/>
      <color rgb="FF000000"/>
      <name val="Geneva"/>
      <family val="2"/>
    </font>
    <font>
      <b val="true"/>
      <sz val="9.5"/>
      <color rgb="FF000000"/>
      <name val="Geneva"/>
      <family val="2"/>
    </font>
    <font>
      <sz val="11.25"/>
      <color rgb="FF000000"/>
      <name val="Geneva"/>
      <family val="2"/>
    </font>
    <font>
      <b val="true"/>
      <sz val="12"/>
      <color rgb="FF000000"/>
      <name val="Geneva"/>
      <family val="2"/>
    </font>
    <font>
      <sz val="10.25"/>
      <color rgb="FF000000"/>
      <name val="Geneva"/>
      <family val="2"/>
    </font>
    <font>
      <b val="true"/>
      <sz val="10.25"/>
      <color rgb="FF000000"/>
      <name val="Geneva"/>
      <family val="2"/>
    </font>
    <font>
      <b val="true"/>
      <sz val="11.25"/>
      <color rgb="FF000000"/>
      <name val="Geneva"/>
      <family val="2"/>
    </font>
    <font>
      <sz val="10.5"/>
      <color rgb="FF000000"/>
      <name val="Geneva"/>
      <family val="2"/>
    </font>
    <font>
      <b val="true"/>
      <sz val="10.5"/>
      <color rgb="FF000000"/>
      <name val="Geneva"/>
      <family val="2"/>
    </font>
    <font>
      <b val="true"/>
      <sz val="9"/>
      <color rgb="FF000000"/>
      <name val="Geneva"/>
      <family val="2"/>
    </font>
    <font>
      <b val="true"/>
      <sz val="11.5"/>
      <color rgb="FF000000"/>
      <name val="Geneva"/>
      <family val="2"/>
    </font>
    <font>
      <sz val="9.75"/>
      <color rgb="FF000000"/>
      <name val="Geneva"/>
      <family val="2"/>
    </font>
    <font>
      <sz val="12"/>
      <color rgb="FF000000"/>
      <name val="Geneva"/>
      <family val="2"/>
    </font>
    <font>
      <sz val="10"/>
      <color rgb="FF000000"/>
      <name val="Geneva"/>
      <family val="2"/>
    </font>
    <font>
      <b val="true"/>
      <sz val="14.25"/>
      <color rgb="FF000000"/>
      <name val="Geneva"/>
      <family val="2"/>
    </font>
    <font>
      <sz val="14.75"/>
      <color rgb="FF000000"/>
      <name val="Geneva"/>
      <family val="2"/>
    </font>
    <font>
      <b val="true"/>
      <sz val="14.75"/>
      <color rgb="FF000000"/>
      <name val="Geneva"/>
      <family val="2"/>
    </font>
    <font>
      <b val="true"/>
      <sz val="8"/>
      <color rgb="FF000000"/>
      <name val="Geneva"/>
      <family val="2"/>
    </font>
    <font>
      <u val="single"/>
      <sz val="10"/>
      <name val="Geneva"/>
      <family val="0"/>
    </font>
    <font>
      <u val="single"/>
      <sz val="12"/>
      <name val="Geneva"/>
      <family val="0"/>
    </font>
    <font>
      <b val="true"/>
      <sz val="10.75"/>
      <color rgb="FF000000"/>
      <name val="Geneva"/>
      <family val="2"/>
    </font>
    <font>
      <sz val="8.25"/>
      <color rgb="FF000000"/>
      <name val="Geneva"/>
      <family val="2"/>
    </font>
    <font>
      <b val="true"/>
      <sz val="8.25"/>
      <color rgb="FF000000"/>
      <name val="Geneva"/>
      <family val="2"/>
    </font>
    <font>
      <sz val="9"/>
      <color rgb="FF000000"/>
      <name val="Geneva"/>
      <family val="2"/>
    </font>
    <font>
      <sz val="8.5"/>
      <name val="Geneva"/>
      <family val="0"/>
    </font>
    <font>
      <b val="true"/>
      <sz val="8.5"/>
      <color rgb="FF000000"/>
      <name val="Geneva"/>
      <family val="2"/>
    </font>
  </fonts>
  <fills count="2">
    <fill>
      <patternFill patternType="none"/>
    </fill>
    <fill>
      <patternFill patternType="gray125"/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7" fillId="0" borderId="1" xfId="17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9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90" wrapText="true" indent="0" shrinkToFit="false"/>
      <protection locked="true" hidden="false"/>
    </xf>
    <xf numFmtId="166" fontId="7" fillId="0" borderId="1" xfId="17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90" wrapText="false" indent="0" shrinkToFit="false"/>
      <protection locked="true" hidden="false"/>
    </xf>
    <xf numFmtId="168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2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90" wrapText="false" indent="0" shrinkToFit="false"/>
      <protection locked="true" hidden="false"/>
    </xf>
    <xf numFmtId="170" fontId="0" fillId="0" borderId="5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90" wrapText="true" indent="0" shrinkToFit="false"/>
      <protection locked="true" hidden="false"/>
    </xf>
    <xf numFmtId="165" fontId="0" fillId="0" borderId="1" xfId="17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right" vertical="bottom" textRotation="0" wrapText="true" indent="0" shrinkToFit="false"/>
      <protection locked="true" hidden="false"/>
    </xf>
    <xf numFmtId="168" fontId="0" fillId="0" borderId="9" xfId="0" applyFont="false" applyBorder="true" applyAlignment="true" applyProtection="false">
      <alignment horizontal="right" vertical="bottom" textRotation="0" wrapText="true" indent="0" shrinkToFit="false"/>
      <protection locked="true" hidden="false"/>
    </xf>
    <xf numFmtId="165" fontId="0" fillId="0" borderId="2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8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8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9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1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8" fontId="0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charts/_rels/chart75.xml.rels><?xml version="1.0" encoding="UTF-8"?>
<Relationships xmlns="http://schemas.openxmlformats.org/package/2006/relationships"><Relationship Id="rId1" Type="http://schemas.openxmlformats.org/officeDocument/2006/relationships/chartUserShapes" Target="../drawings/drawing4.xml"/>
</Relationships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75" spc="-1" strike="noStrike">
                <a:solidFill>
                  <a:srgbClr val="000000"/>
                </a:solidFill>
                <a:latin typeface="Geneva"/>
              </a:defRPr>
            </a:pPr>
            <a:r>
              <a:rPr b="1" sz="1175" spc="-1" strike="noStrike">
                <a:solidFill>
                  <a:srgbClr val="000000"/>
                </a:solidFill>
                <a:latin typeface="Geneva"/>
              </a:rPr>
              <a:t>Program Types
2000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977772523055096"/>
          <c:y val="0.19000339443313"/>
          <c:w val="0.854693781035706"/>
          <c:h val="0.746350984385608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explosion val="0"/>
          <c:dPt>
            <c:idx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1"/>
            <c:spPr>
              <a:solidFill>
                <a:srgbClr val="993366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2"/>
            <c:spPr>
              <a:solidFill>
                <a:srgbClr val="ffffcc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3"/>
            <c:spPr>
              <a:solidFill>
                <a:srgbClr val="ccffff"/>
              </a:solidFill>
              <a:ln w="12600">
                <a:solidFill>
                  <a:srgbClr val="000000"/>
                </a:solidFill>
                <a:round/>
              </a:ln>
            </c:spPr>
          </c:dPt>
          <c:dLbls>
            <c:numFmt formatCode="0%" sourceLinked="1"/>
            <c:dLbl>
              <c:idx val="0"/>
              <c:numFmt formatCode="0%" sourceLinked="1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numFmt formatCode="0%" sourceLinked="1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numFmt formatCode="0%" sourceLinked="1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numFmt formatCode="0%" sourceLinked="1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Geneva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'charts 2000'!$C$1:$F$1</c:f>
              <c:strCache>
                <c:ptCount val="4"/>
                <c:pt idx="0">
                  <c:v>Peer skills</c:v>
                </c:pt>
                <c:pt idx="1">
                  <c:v>Culture</c:v>
                </c:pt>
                <c:pt idx="2">
                  <c:v>School Retention</c:v>
                </c:pt>
                <c:pt idx="3">
                  <c:v>Health</c:v>
                </c:pt>
              </c:strCache>
            </c:strRef>
          </c:cat>
          <c:val>
            <c:numRef>
              <c:f>'charts 2000'!$C$18:$F$18</c:f>
              <c:numCache>
                <c:formatCode>General</c:formatCode>
                <c:ptCount val="4"/>
                <c:pt idx="0">
                  <c:v>8</c:v>
                </c:pt>
                <c:pt idx="1">
                  <c:v>1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</c:ser>
        <c:firstSliceAng val="0"/>
      </c:pieChart>
      <c:spPr>
        <a:noFill/>
        <a:ln w="1260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50" spc="-1" strike="noStrike">
                <a:solidFill>
                  <a:srgbClr val="000000"/>
                </a:solidFill>
                <a:latin typeface="Geneva"/>
              </a:defRPr>
            </a:pPr>
            <a:r>
              <a:rPr b="1" sz="1450" spc="-1" strike="noStrike">
                <a:solidFill>
                  <a:srgbClr val="000000"/>
                </a:solidFill>
                <a:latin typeface="Geneva"/>
              </a:rPr>
              <a:t>Cooperation Levels by Auspice 2000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633566071890354"/>
          <c:y val="0.0970179906350119"/>
          <c:w val="0.88970778381174"/>
          <c:h val="0.87537993920972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'charts 2000'!$B$21</c:f>
              <c:strCache>
                <c:ptCount val="1"/>
                <c:pt idx="0">
                  <c:v>schools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Geneva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2000'!$A$22:$A$36</c:f>
              <c:strCache>
                <c:ptCount val="15"/>
                <c:pt idx="0">
                  <c:v>B'ton prim, sec</c:v>
                </c:pt>
                <c:pt idx="1">
                  <c:v>Mordi Chels Sec</c:v>
                </c:pt>
                <c:pt idx="2">
                  <c:v>Gordon Homes</c:v>
                </c:pt>
                <c:pt idx="3">
                  <c:v>Bayside council</c:v>
                </c:pt>
                <c:pt idx="4">
                  <c:v>Kingston council</c:v>
                </c:pt>
                <c:pt idx="5">
                  <c:v>Clarinda prim</c:v>
                </c:pt>
                <c:pt idx="6">
                  <c:v>Bayside Youth Found</c:v>
                </c:pt>
                <c:pt idx="7">
                  <c:v>CBCHS</c:v>
                </c:pt>
                <c:pt idx="8">
                  <c:v>Chelsea prim</c:v>
                </c:pt>
                <c:pt idx="9">
                  <c:v>Kibreda</c:v>
                </c:pt>
                <c:pt idx="10">
                  <c:v>Brighton Beach prim</c:v>
                </c:pt>
                <c:pt idx="11">
                  <c:v>CBCHS</c:v>
                </c:pt>
                <c:pt idx="12">
                  <c:v>Chelt sec</c:v>
                </c:pt>
                <c:pt idx="13">
                  <c:v>St Finbars</c:v>
                </c:pt>
                <c:pt idx="14">
                  <c:v>Edithvale prim</c:v>
                </c:pt>
              </c:strCache>
            </c:strRef>
          </c:cat>
          <c:val>
            <c:numRef>
              <c:f>'charts 2000'!$B$22:$B$36</c:f>
              <c:numCache>
                <c:formatCode>General</c:formatCode>
                <c:ptCount val="15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</c:ser>
        <c:ser>
          <c:idx val="1"/>
          <c:order val="1"/>
          <c:tx>
            <c:strRef>
              <c:f>'charts 2000'!$C$21</c:f>
              <c:strCache>
                <c:ptCount val="1"/>
                <c:pt idx="0">
                  <c:v>orgns</c:v>
                </c:pt>
              </c:strCache>
            </c:strRef>
          </c:tx>
          <c:spPr>
            <a:solidFill>
              <a:srgbClr val="993366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100" spc="-1" strike="noStrike">
                    <a:solidFill>
                      <a:srgbClr val="000000"/>
                    </a:solidFill>
                    <a:latin typeface="Geneva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2000'!$A$22:$A$36</c:f>
              <c:strCache>
                <c:ptCount val="15"/>
                <c:pt idx="0">
                  <c:v>B'ton prim, sec</c:v>
                </c:pt>
                <c:pt idx="1">
                  <c:v>Mordi Chels Sec</c:v>
                </c:pt>
                <c:pt idx="2">
                  <c:v>Gordon Homes</c:v>
                </c:pt>
                <c:pt idx="3">
                  <c:v>Bayside council</c:v>
                </c:pt>
                <c:pt idx="4">
                  <c:v>Kingston council</c:v>
                </c:pt>
                <c:pt idx="5">
                  <c:v>Clarinda prim</c:v>
                </c:pt>
                <c:pt idx="6">
                  <c:v>Bayside Youth Found</c:v>
                </c:pt>
                <c:pt idx="7">
                  <c:v>CBCHS</c:v>
                </c:pt>
                <c:pt idx="8">
                  <c:v>Chelsea prim</c:v>
                </c:pt>
                <c:pt idx="9">
                  <c:v>Kibreda</c:v>
                </c:pt>
                <c:pt idx="10">
                  <c:v>Brighton Beach prim</c:v>
                </c:pt>
                <c:pt idx="11">
                  <c:v>CBCHS</c:v>
                </c:pt>
                <c:pt idx="12">
                  <c:v>Chelt sec</c:v>
                </c:pt>
                <c:pt idx="13">
                  <c:v>St Finbars</c:v>
                </c:pt>
                <c:pt idx="14">
                  <c:v>Edithvale prim</c:v>
                </c:pt>
              </c:strCache>
            </c:strRef>
          </c:cat>
          <c:val>
            <c:numRef>
              <c:f>'charts 2000'!$C$22:$C$36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6</c:v>
                </c:pt>
                <c:pt idx="7">
                  <c:v>3</c:v>
                </c:pt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</c:ser>
        <c:gapWidth val="150"/>
        <c:overlap val="100"/>
        <c:axId val="46993820"/>
        <c:axId val="32315637"/>
      </c:barChart>
      <c:catAx>
        <c:axId val="469938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100" spc="-1" strike="noStrike">
                    <a:solidFill>
                      <a:srgbClr val="000000"/>
                    </a:solidFill>
                    <a:latin typeface="Geneva"/>
                  </a:defRPr>
                </a:pPr>
                <a:r>
                  <a:rPr b="1" sz="1100" spc="-1" strike="noStrike">
                    <a:solidFill>
                      <a:srgbClr val="000000"/>
                    </a:solidFill>
                    <a:latin typeface="Geneva"/>
                  </a:rPr>
                  <a:t>Auspicing organisation</a:t>
                </a:r>
              </a:p>
            </c:rich>
          </c:tx>
          <c:layout>
            <c:manualLayout>
              <c:xMode val="edge"/>
              <c:yMode val="edge"/>
              <c:x val="0.0447375226273597"/>
              <c:y val="0.905610777951203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 rot="-5400000"/>
          <a:lstStyle/>
          <a:p>
            <a:pPr>
              <a:defRPr b="0" sz="850" spc="-1" strike="noStrike">
                <a:solidFill>
                  <a:srgbClr val="000000"/>
                </a:solidFill>
                <a:latin typeface="Geneva"/>
              </a:defRPr>
            </a:pPr>
          </a:p>
        </c:txPr>
        <c:crossAx val="32315637"/>
        <c:crossesAt val="0"/>
        <c:auto val="1"/>
        <c:lblAlgn val="ctr"/>
        <c:lblOffset val="100"/>
        <c:noMultiLvlLbl val="0"/>
      </c:catAx>
      <c:valAx>
        <c:axId val="32315637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100" spc="-1" strike="noStrike">
                    <a:solidFill>
                      <a:srgbClr val="000000"/>
                    </a:solidFill>
                    <a:latin typeface="Geneva"/>
                  </a:defRPr>
                </a:pPr>
                <a:r>
                  <a:rPr b="1" sz="1100" spc="-1" strike="noStrike">
                    <a:solidFill>
                      <a:srgbClr val="000000"/>
                    </a:solidFill>
                    <a:latin typeface="Geneva"/>
                  </a:rPr>
                  <a:t>Number of schools &amp; orgs.</a:t>
                </a:r>
              </a:p>
            </c:rich>
          </c:tx>
          <c:layout>
            <c:manualLayout>
              <c:xMode val="edge"/>
              <c:yMode val="edge"/>
              <c:x val="0.0248900956814068"/>
              <c:y val="-0.32194200279306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100" spc="-1" strike="noStrike">
                <a:solidFill>
                  <a:srgbClr val="000000"/>
                </a:solidFill>
                <a:latin typeface="Geneva"/>
              </a:defRPr>
            </a:pPr>
          </a:p>
        </c:txPr>
        <c:crossAx val="46993820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746508921644686"/>
          <c:y val="0.197239792984474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75" spc="-1" strike="noStrike">
              <a:solidFill>
                <a:srgbClr val="000000"/>
              </a:solidFill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75" spc="-1" strike="noStrike">
                <a:solidFill>
                  <a:srgbClr val="000000"/>
                </a:solidFill>
                <a:latin typeface="Geneva"/>
              </a:defRPr>
            </a:pPr>
            <a:r>
              <a:rPr b="1" sz="1175" spc="-1" strike="noStrike">
                <a:solidFill>
                  <a:srgbClr val="000000"/>
                </a:solidFill>
                <a:latin typeface="Geneva"/>
              </a:rPr>
              <a:t>Levels of Collaboration by Program 2000</a:t>
            </a:r>
          </a:p>
        </c:rich>
      </c:tx>
      <c:layout>
        <c:manualLayout>
          <c:xMode val="edge"/>
          <c:yMode val="edge"/>
          <c:x val="0.208951470958009"/>
          <c:y val="0.0575043128234618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668217249182801"/>
          <c:y val="0.14852542512117"/>
          <c:w val="0.894707065627357"/>
          <c:h val="0.8514745748788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'charts 2000'!$I$22</c:f>
              <c:strCache>
                <c:ptCount val="1"/>
                <c:pt idx="0">
                  <c:v>Schools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Pt>
            <c:idx val="1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Lbls>
            <c:dLbl>
              <c:idx val="1"/>
              <c:txPr>
                <a:bodyPr wrap="none"/>
                <a:lstStyle/>
                <a:p>
                  <a:pPr>
                    <a:defRPr b="0" sz="1350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eparator>
</c:separator>
            </c:dLbl>
            <c:txPr>
              <a:bodyPr wrap="none"/>
              <a:lstStyle/>
              <a:p>
                <a:pPr>
                  <a:defRPr b="0" sz="1350" spc="-1" strike="noStrike">
                    <a:solidFill>
                      <a:srgbClr val="000000"/>
                    </a:solidFill>
                    <a:latin typeface="Geneva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2000'!$J$21:$M$21</c:f>
              <c:strCache>
                <c:ptCount val="4"/>
                <c:pt idx="0">
                  <c:v>Peer skills</c:v>
                </c:pt>
                <c:pt idx="1">
                  <c:v>Culture</c:v>
                </c:pt>
                <c:pt idx="2">
                  <c:v>School Retention</c:v>
                </c:pt>
                <c:pt idx="3">
                  <c:v>Health</c:v>
                </c:pt>
              </c:strCache>
            </c:strRef>
          </c:cat>
          <c:val>
            <c:numRef>
              <c:f>'charts 2000'!$J$22:$M$22</c:f>
              <c:numCache>
                <c:formatCode>General</c:formatCode>
                <c:ptCount val="4"/>
                <c:pt idx="0">
                  <c:v>12</c:v>
                </c:pt>
                <c:pt idx="1">
                  <c:v>1</c:v>
                </c:pt>
                <c:pt idx="2">
                  <c:v>5</c:v>
                </c:pt>
                <c:pt idx="3">
                  <c:v>6</c:v>
                </c:pt>
              </c:numCache>
            </c:numRef>
          </c:val>
        </c:ser>
        <c:ser>
          <c:idx val="1"/>
          <c:order val="1"/>
          <c:tx>
            <c:strRef>
              <c:f>'charts 2000'!$I$23</c:f>
              <c:strCache>
                <c:ptCount val="1"/>
                <c:pt idx="0">
                  <c:v>Organisations</c:v>
                </c:pt>
              </c:strCache>
            </c:strRef>
          </c:tx>
          <c:spPr>
            <a:solidFill>
              <a:srgbClr val="993366"/>
            </a:solidFill>
            <a:ln w="12600">
              <a:solidFill>
                <a:srgbClr val="000000"/>
              </a:solidFill>
              <a:round/>
            </a:ln>
          </c:spPr>
          <c:invertIfNegative val="0"/>
          <c:dPt>
            <c:idx val="1"/>
            <c:invertIfNegative val="0"/>
            <c:spPr>
              <a:solidFill>
                <a:srgbClr val="993366"/>
              </a:solidFill>
              <a:ln w="12600">
                <a:solidFill>
                  <a:srgbClr val="000000"/>
                </a:solidFill>
                <a:round/>
              </a:ln>
            </c:spPr>
          </c:dPt>
          <c:dLbls>
            <c:dLbl>
              <c:idx val="1"/>
              <c:txPr>
                <a:bodyPr wrap="none"/>
                <a:lstStyle/>
                <a:p>
                  <a:pPr>
                    <a:defRPr b="0" sz="1150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eparator>
</c:separator>
            </c:dLbl>
            <c:txPr>
              <a:bodyPr wrap="none"/>
              <a:lstStyle/>
              <a:p>
                <a:pPr>
                  <a:defRPr b="0" sz="1150" spc="-1" strike="noStrike">
                    <a:solidFill>
                      <a:srgbClr val="000000"/>
                    </a:solidFill>
                    <a:latin typeface="Geneva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2000'!$J$21:$M$21</c:f>
              <c:strCache>
                <c:ptCount val="4"/>
                <c:pt idx="0">
                  <c:v>Peer skills</c:v>
                </c:pt>
                <c:pt idx="1">
                  <c:v>Culture</c:v>
                </c:pt>
                <c:pt idx="2">
                  <c:v>School Retention</c:v>
                </c:pt>
                <c:pt idx="3">
                  <c:v>Health</c:v>
                </c:pt>
              </c:strCache>
            </c:strRef>
          </c:cat>
          <c:val>
            <c:numRef>
              <c:f>'charts 2000'!$J$23:$M$23</c:f>
              <c:numCache>
                <c:formatCode>General</c:formatCode>
                <c:ptCount val="4"/>
                <c:pt idx="0">
                  <c:v>13</c:v>
                </c:pt>
                <c:pt idx="1">
                  <c:v>1</c:v>
                </c:pt>
                <c:pt idx="2">
                  <c:v>6</c:v>
                </c:pt>
                <c:pt idx="3">
                  <c:v>12</c:v>
                </c:pt>
              </c:numCache>
            </c:numRef>
          </c:val>
        </c:ser>
        <c:gapWidth val="150"/>
        <c:overlap val="100"/>
        <c:axId val="18894091"/>
        <c:axId val="11477878"/>
      </c:barChart>
      <c:catAx>
        <c:axId val="188940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 rot="-5400000"/>
          <a:lstStyle/>
          <a:p>
            <a:pPr>
              <a:defRPr b="0" sz="1150" spc="-1" strike="noStrike">
                <a:solidFill>
                  <a:srgbClr val="000000"/>
                </a:solidFill>
                <a:latin typeface="Geneva"/>
              </a:defRPr>
            </a:pPr>
          </a:p>
        </c:txPr>
        <c:crossAx val="11477878"/>
        <c:crossesAt val="0"/>
        <c:auto val="1"/>
        <c:lblAlgn val="ctr"/>
        <c:lblOffset val="100"/>
        <c:noMultiLvlLbl val="0"/>
      </c:catAx>
      <c:valAx>
        <c:axId val="11477878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950" spc="-1" strike="noStrike">
                    <a:solidFill>
                      <a:srgbClr val="000000"/>
                    </a:solidFill>
                    <a:latin typeface="Geneva"/>
                  </a:defRPr>
                </a:pPr>
                <a:r>
                  <a:rPr b="1" sz="950" spc="-1" strike="noStrike">
                    <a:solidFill>
                      <a:srgbClr val="000000"/>
                    </a:solidFill>
                    <a:latin typeface="Geneva"/>
                  </a:rPr>
                  <a:t>Number of Schools, Organisations</a:t>
                </a:r>
              </a:p>
            </c:rich>
          </c:tx>
          <c:layout>
            <c:manualLayout>
              <c:xMode val="edge"/>
              <c:yMode val="edge"/>
              <c:x val="0.0305506663314056"/>
              <c:y val="-0.36556313152057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150" spc="-1" strike="noStrike">
                <a:solidFill>
                  <a:srgbClr val="000000"/>
                </a:solidFill>
                <a:latin typeface="Geneva"/>
              </a:defRPr>
            </a:pPr>
          </a:p>
        </c:txPr>
        <c:crossAx val="18894091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519864219260749"/>
          <c:y val="0.195761110654728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125" spc="-1" strike="noStrike">
              <a:solidFill>
                <a:srgbClr val="000000"/>
              </a:solidFill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Geneva"/>
              </a:defRPr>
            </a:pPr>
            <a:r>
              <a:rPr b="1" sz="1200" spc="-1" strike="noStrike">
                <a:solidFill>
                  <a:srgbClr val="000000"/>
                </a:solidFill>
                <a:latin typeface="Geneva"/>
              </a:rPr>
              <a:t>Percentage of Children
per Program Type
2000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778198155592"/>
          <c:y val="0.286093509162528"/>
          <c:w val="0.778316386852684"/>
          <c:h val="0.604812467888337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explosion val="0"/>
          <c:dPt>
            <c:idx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1"/>
            <c:spPr>
              <a:solidFill>
                <a:srgbClr val="993366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2"/>
            <c:spPr>
              <a:solidFill>
                <a:srgbClr val="ffffcc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3"/>
            <c:spPr>
              <a:solidFill>
                <a:srgbClr val="ccffff"/>
              </a:solidFill>
              <a:ln w="12600">
                <a:solidFill>
                  <a:srgbClr val="000000"/>
                </a:solidFill>
                <a:round/>
              </a:ln>
            </c:spPr>
          </c:dPt>
          <c:dLbls>
            <c:numFmt formatCode="0%" sourceLinked="1"/>
            <c:dLbl>
              <c:idx val="0"/>
              <c:numFmt formatCode="0%" sourceLinked="1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numFmt formatCode="0%" sourceLinked="1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numFmt formatCode="0%" sourceLinked="1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numFmt formatCode="0%" sourceLinked="1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Geneva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'charts 2000'!$T$1:$W$1</c:f>
              <c:strCache>
                <c:ptCount val="4"/>
                <c:pt idx="0">
                  <c:v>Peer Skills</c:v>
                </c:pt>
                <c:pt idx="1">
                  <c:v>Culture</c:v>
                </c:pt>
                <c:pt idx="2">
                  <c:v>School Retention</c:v>
                </c:pt>
                <c:pt idx="3">
                  <c:v>Health</c:v>
                </c:pt>
              </c:strCache>
            </c:strRef>
          </c:cat>
          <c:val>
            <c:numRef>
              <c:f>'charts 2000'!$T$2:$W$2</c:f>
              <c:numCache>
                <c:formatCode>General</c:formatCode>
                <c:ptCount val="4"/>
                <c:pt idx="0">
                  <c:v>577</c:v>
                </c:pt>
                <c:pt idx="1">
                  <c:v>19</c:v>
                </c:pt>
                <c:pt idx="2">
                  <c:v>739</c:v>
                </c:pt>
                <c:pt idx="3">
                  <c:v>130</c:v>
                </c:pt>
              </c:numCache>
            </c:numRef>
          </c:val>
        </c:ser>
        <c:firstSliceAng val="0"/>
      </c:pieChart>
      <c:spPr>
        <a:noFill/>
        <a:ln w="1260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Geneva"/>
              </a:defRPr>
            </a:pPr>
            <a:r>
              <a:rPr b="1" sz="1200" spc="-1" strike="noStrike">
                <a:solidFill>
                  <a:srgbClr val="000000"/>
                </a:solidFill>
                <a:latin typeface="Geneva"/>
              </a:rPr>
              <a:t> Average Cost per Child by Program Type 2000</a:t>
            </a:r>
          </a:p>
        </c:rich>
      </c:tx>
      <c:layout>
        <c:manualLayout>
          <c:xMode val="edge"/>
          <c:yMode val="edge"/>
          <c:x val="0.159003182772398"/>
          <c:y val="0.0459075314491096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81668585359247"/>
          <c:y val="0.247263519032838"/>
          <c:w val="0.886706846346584"/>
          <c:h val="0.7102597614768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3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25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1"/>
              <c:txPr>
                <a:bodyPr wrap="none"/>
                <a:lstStyle/>
                <a:p>
                  <a:pPr>
                    <a:defRPr b="0" sz="1025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2"/>
              <c:txPr>
                <a:bodyPr wrap="none"/>
                <a:lstStyle/>
                <a:p>
                  <a:pPr>
                    <a:defRPr b="0" sz="1025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3"/>
              <c:txPr>
                <a:bodyPr wrap="none"/>
                <a:lstStyle/>
                <a:p>
                  <a:pPr>
                    <a:defRPr b="0" sz="1025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txPr>
              <a:bodyPr wrap="none"/>
              <a:lstStyle/>
              <a:p>
                <a:pPr>
                  <a:defRPr b="0" sz="1025" spc="-1" strike="noStrike">
                    <a:solidFill>
                      <a:srgbClr val="000000"/>
                    </a:solidFill>
                    <a:latin typeface="Genev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2000'!$T$1:$W$1</c:f>
              <c:strCache>
                <c:ptCount val="4"/>
                <c:pt idx="0">
                  <c:v>Peer Skills</c:v>
                </c:pt>
                <c:pt idx="1">
                  <c:v>Culture</c:v>
                </c:pt>
                <c:pt idx="2">
                  <c:v>School Retention</c:v>
                </c:pt>
                <c:pt idx="3">
                  <c:v>Health</c:v>
                </c:pt>
              </c:strCache>
            </c:strRef>
          </c:cat>
          <c:val>
            <c:numRef>
              <c:f>'charts 2000'!$T$4:$W$4</c:f>
              <c:numCache>
                <c:formatCode>General</c:formatCode>
                <c:ptCount val="4"/>
                <c:pt idx="0">
                  <c:v>29.8845997855222</c:v>
                </c:pt>
                <c:pt idx="1">
                  <c:v>180.286315789474</c:v>
                </c:pt>
                <c:pt idx="2">
                  <c:v>11.6116043433777</c:v>
                </c:pt>
                <c:pt idx="3">
                  <c:v>47.2538461538462</c:v>
                </c:pt>
              </c:numCache>
            </c:numRef>
          </c:val>
        </c:ser>
        <c:gapWidth val="150"/>
        <c:overlap val="0"/>
        <c:axId val="32496825"/>
        <c:axId val="43004205"/>
      </c:barChart>
      <c:catAx>
        <c:axId val="3249682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25" spc="-1" strike="noStrike">
                <a:solidFill>
                  <a:srgbClr val="000000"/>
                </a:solidFill>
                <a:latin typeface="Geneva"/>
              </a:defRPr>
            </a:pPr>
          </a:p>
        </c:txPr>
        <c:crossAx val="43004205"/>
        <c:crossesAt val="0"/>
        <c:auto val="1"/>
        <c:lblAlgn val="ctr"/>
        <c:lblOffset val="100"/>
        <c:noMultiLvlLbl val="0"/>
      </c:catAx>
      <c:valAx>
        <c:axId val="43004205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25" spc="-1" strike="noStrike">
                    <a:solidFill>
                      <a:srgbClr val="000000"/>
                    </a:solidFill>
                    <a:latin typeface="Geneva"/>
                  </a:defRPr>
                </a:pPr>
                <a:r>
                  <a:rPr b="1" sz="1025" spc="-1" strike="noStrike">
                    <a:solidFill>
                      <a:srgbClr val="000000"/>
                    </a:solidFill>
                    <a:latin typeface="Geneva"/>
                  </a:rPr>
                  <a:t>Dollars Per Child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25" spc="-1" strike="noStrike">
                <a:solidFill>
                  <a:srgbClr val="000000"/>
                </a:solidFill>
                <a:latin typeface="Geneva"/>
              </a:defRPr>
            </a:pPr>
          </a:p>
        </c:txPr>
        <c:crossAx val="32496825"/>
        <c:crossesAt val="1"/>
        <c:crossBetween val="midCat"/>
      </c:valAx>
      <c:spPr>
        <a:solidFill>
          <a:srgbClr val="ffff99"/>
        </a:solidFill>
        <a:ln w="0">
          <a:solidFill>
            <a:srgbClr val="000000"/>
          </a:solidFill>
        </a:ln>
      </c:spPr>
    </c:plotArea>
    <c:plotVisOnly val="1"/>
    <c:dispBlanksAs val="gap"/>
  </c:chart>
  <c:spPr>
    <a:noFill/>
    <a:ln w="0">
      <a:solidFill>
        <a:srgbClr val="000000"/>
      </a:solidFill>
    </a:ln>
  </c:spPr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Geneva"/>
              </a:defRPr>
            </a:pPr>
            <a:r>
              <a:rPr b="1" sz="1200" spc="-1" strike="noStrike">
                <a:solidFill>
                  <a:srgbClr val="000000"/>
                </a:solidFill>
                <a:latin typeface="Geneva"/>
              </a:rPr>
              <a:t>Cooperation Levels by Program Type 2001</a:t>
            </a:r>
          </a:p>
        </c:rich>
      </c:tx>
      <c:layout>
        <c:manualLayout>
          <c:xMode val="edge"/>
          <c:yMode val="edge"/>
          <c:x val="0.282110665998998"/>
          <c:y val="0.0414669021784843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102090635953931"/>
          <c:y val="0.105812095214063"/>
          <c:w val="0.857911867801703"/>
          <c:h val="0.85154344351921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'charts 2001 not printed'!$A$36</c:f>
              <c:strCache>
                <c:ptCount val="1"/>
                <c:pt idx="0">
                  <c:v>schools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125" spc="-1" strike="noStrike">
                    <a:solidFill>
                      <a:srgbClr val="000000"/>
                    </a:solidFill>
                    <a:latin typeface="Geneva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2001 not printed'!$B$35:$D$35</c:f>
              <c:strCache>
                <c:ptCount val="3"/>
                <c:pt idx="0">
                  <c:v>Peer skills</c:v>
                </c:pt>
                <c:pt idx="1">
                  <c:v>School retention</c:v>
                </c:pt>
                <c:pt idx="2">
                  <c:v>Sibling camps</c:v>
                </c:pt>
              </c:strCache>
            </c:strRef>
          </c:cat>
          <c:val>
            <c:numRef>
              <c:f>'charts 2001 not printed'!$B$36:$D$36</c:f>
              <c:numCache>
                <c:formatCode>General</c:formatCode>
                <c:ptCount val="3"/>
                <c:pt idx="0">
                  <c:v>9</c:v>
                </c:pt>
                <c:pt idx="1">
                  <c:v>8</c:v>
                </c:pt>
                <c:pt idx="2">
                  <c:v>4</c:v>
                </c:pt>
              </c:numCache>
            </c:numRef>
          </c:val>
        </c:ser>
        <c:ser>
          <c:idx val="1"/>
          <c:order val="1"/>
          <c:tx>
            <c:strRef>
              <c:f>'charts 2001 not printed'!$A$37</c:f>
              <c:strCache>
                <c:ptCount val="1"/>
                <c:pt idx="0">
                  <c:v>organisations</c:v>
                </c:pt>
              </c:strCache>
            </c:strRef>
          </c:tx>
          <c:spPr>
            <a:solidFill>
              <a:srgbClr val="993366"/>
            </a:solidFill>
            <a:ln w="12600">
              <a:solidFill>
                <a:srgbClr val="000000"/>
              </a:solidFill>
              <a:round/>
            </a:ln>
          </c:spPr>
          <c:invertIfNegative val="0"/>
          <c:dPt>
            <c:idx val="1"/>
            <c:invertIfNegative val="0"/>
            <c:spPr>
              <a:solidFill>
                <a:srgbClr val="993366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993366"/>
              </a:solidFill>
              <a:ln w="12600">
                <a:solidFill>
                  <a:srgbClr val="000000"/>
                </a:solidFill>
                <a:round/>
              </a:ln>
            </c:spPr>
          </c:dPt>
          <c:dLbls>
            <c:dLbl>
              <c:idx val="1"/>
              <c:txPr>
                <a:bodyPr wrap="none"/>
                <a:lstStyle/>
                <a:p>
                  <a:pPr>
                    <a:defRPr b="0" sz="1125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2"/>
              <c:txPr>
                <a:bodyPr wrap="none"/>
                <a:lstStyle/>
                <a:p>
                  <a:pPr>
                    <a:defRPr b="0" sz="1125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eparator>
</c:separator>
            </c:dLbl>
            <c:txPr>
              <a:bodyPr wrap="none"/>
              <a:lstStyle/>
              <a:p>
                <a:pPr>
                  <a:defRPr b="0" sz="1125" spc="-1" strike="noStrike">
                    <a:solidFill>
                      <a:srgbClr val="000000"/>
                    </a:solidFill>
                    <a:latin typeface="Geneva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2001 not printed'!$B$35:$D$35</c:f>
              <c:strCache>
                <c:ptCount val="3"/>
                <c:pt idx="0">
                  <c:v>Peer skills</c:v>
                </c:pt>
                <c:pt idx="1">
                  <c:v>School retention</c:v>
                </c:pt>
                <c:pt idx="2">
                  <c:v>Sibling camps</c:v>
                </c:pt>
              </c:strCache>
            </c:strRef>
          </c:cat>
          <c:val>
            <c:numRef>
              <c:f>'charts 2001 not printed'!$B$37:$D$37</c:f>
              <c:numCache>
                <c:formatCode>General</c:formatCode>
                <c:ptCount val="3"/>
                <c:pt idx="0">
                  <c:v>11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</c:ser>
        <c:gapWidth val="150"/>
        <c:overlap val="100"/>
        <c:axId val="55183858"/>
        <c:axId val="54713971"/>
      </c:barChart>
      <c:catAx>
        <c:axId val="5518385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125" spc="-1" strike="noStrike">
                <a:solidFill>
                  <a:srgbClr val="000000"/>
                </a:solidFill>
                <a:latin typeface="Geneva"/>
              </a:defRPr>
            </a:pPr>
          </a:p>
        </c:txPr>
        <c:crossAx val="54713971"/>
        <c:crossesAt val="0"/>
        <c:auto val="1"/>
        <c:lblAlgn val="ctr"/>
        <c:lblOffset val="100"/>
        <c:noMultiLvlLbl val="0"/>
      </c:catAx>
      <c:valAx>
        <c:axId val="54713971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125" spc="-1" strike="noStrike">
                    <a:solidFill>
                      <a:srgbClr val="000000"/>
                    </a:solidFill>
                    <a:latin typeface="Geneva"/>
                  </a:defRPr>
                </a:pPr>
                <a:r>
                  <a:rPr b="1" sz="1125" spc="-1" strike="noStrike">
                    <a:solidFill>
                      <a:srgbClr val="000000"/>
                    </a:solidFill>
                    <a:latin typeface="Geneva"/>
                  </a:rPr>
                  <a:t>Schools, Organisations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125" spc="-1" strike="noStrike">
                <a:solidFill>
                  <a:srgbClr val="000000"/>
                </a:solidFill>
                <a:latin typeface="Geneva"/>
              </a:defRPr>
            </a:pPr>
          </a:p>
        </c:txPr>
        <c:crossAx val="55183858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572671507260891"/>
          <c:y val="0.283034737993103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125" spc="-1" strike="noStrike">
              <a:solidFill>
                <a:srgbClr val="000000"/>
              </a:solidFill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Geneva"/>
              </a:defRPr>
            </a:pPr>
            <a:r>
              <a:rPr b="1" sz="1200" spc="-1" strike="noStrike">
                <a:solidFill>
                  <a:srgbClr val="000000"/>
                </a:solidFill>
                <a:latin typeface="Geneva"/>
              </a:rPr>
              <a:t>Average Cost per Child 2001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262891809908999"/>
          <c:y val="0.116705568522841"/>
          <c:w val="0.933872598584429"/>
          <c:h val="0.83277759253084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25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2"/>
              <c:txPr>
                <a:bodyPr wrap="none"/>
                <a:lstStyle/>
                <a:p>
                  <a:pPr>
                    <a:defRPr b="0" sz="1025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txPr>
              <a:bodyPr wrap="none"/>
              <a:lstStyle/>
              <a:p>
                <a:pPr>
                  <a:defRPr b="0" sz="1025" spc="-1" strike="noStrike">
                    <a:solidFill>
                      <a:srgbClr val="000000"/>
                    </a:solidFill>
                    <a:latin typeface="Genev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2001 not printed'!$B$29:$D$29</c:f>
              <c:strCache>
                <c:ptCount val="3"/>
                <c:pt idx="0">
                  <c:v>Peer skills</c:v>
                </c:pt>
                <c:pt idx="1">
                  <c:v>School retention</c:v>
                </c:pt>
                <c:pt idx="2">
                  <c:v>Sibling camps</c:v>
                </c:pt>
              </c:strCache>
            </c:strRef>
          </c:cat>
          <c:val>
            <c:numRef>
              <c:f>'charts 2001 not printed'!$B$32:$D$32</c:f>
              <c:numCache>
                <c:formatCode>General</c:formatCode>
                <c:ptCount val="3"/>
                <c:pt idx="0">
                  <c:v>25.0486257928118</c:v>
                </c:pt>
                <c:pt idx="1">
                  <c:v>0</c:v>
                </c:pt>
                <c:pt idx="2">
                  <c:v>842.358421052632</c:v>
                </c:pt>
              </c:numCache>
            </c:numRef>
          </c:val>
        </c:ser>
        <c:gapWidth val="150"/>
        <c:overlap val="0"/>
        <c:axId val="65425093"/>
        <c:axId val="49781961"/>
      </c:barChart>
      <c:catAx>
        <c:axId val="6542509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25" spc="-1" strike="noStrike">
                <a:solidFill>
                  <a:srgbClr val="000000"/>
                </a:solidFill>
                <a:latin typeface="Geneva"/>
              </a:defRPr>
            </a:pPr>
          </a:p>
        </c:txPr>
        <c:crossAx val="49781961"/>
        <c:crossesAt val="0"/>
        <c:auto val="1"/>
        <c:lblAlgn val="ctr"/>
        <c:lblOffset val="100"/>
        <c:noMultiLvlLbl val="0"/>
      </c:catAx>
      <c:valAx>
        <c:axId val="49781961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numFmt formatCode="\$#,##0.0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25" spc="-1" strike="noStrike">
                <a:solidFill>
                  <a:srgbClr val="000000"/>
                </a:solidFill>
                <a:latin typeface="Geneva"/>
              </a:defRPr>
            </a:pPr>
          </a:p>
        </c:txPr>
        <c:crossAx val="65425093"/>
        <c:crossesAt val="1"/>
        <c:crossBetween val="midCat"/>
      </c:valAx>
      <c:spPr>
        <a:solidFill>
          <a:srgbClr val="ffff99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noFill/>
    <a:ln w="0">
      <a:solidFill>
        <a:srgbClr val="000000"/>
      </a:solidFill>
    </a:ln>
  </c:spPr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50" spc="-1" strike="noStrike">
                <a:solidFill>
                  <a:srgbClr val="000000"/>
                </a:solidFill>
                <a:latin typeface="Geneva"/>
              </a:defRPr>
            </a:pPr>
            <a:r>
              <a:rPr b="1" sz="1450" spc="-1" strike="noStrike">
                <a:solidFill>
                  <a:srgbClr val="000000"/>
                </a:solidFill>
                <a:latin typeface="Geneva"/>
              </a:rPr>
              <a:t>Collaboration Levels by Auspice 2001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4005689164727"/>
          <c:y val="0.132189623736118"/>
          <c:w val="0.911236100336178"/>
          <c:h val="0.86548980606663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'charts 2001 not printed'!$B$15</c:f>
              <c:strCache>
                <c:ptCount val="1"/>
                <c:pt idx="0">
                  <c:v>schools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50" spc="-1" strike="noStrike">
                    <a:solidFill>
                      <a:srgbClr val="000000"/>
                    </a:solidFill>
                    <a:latin typeface="Geneva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2001 not printed'!$A$16:$A$26</c:f>
              <c:strCache>
                <c:ptCount val="11"/>
                <c:pt idx="0">
                  <c:v>St Brigids</c:v>
                </c:pt>
                <c:pt idx="1">
                  <c:v>Aspendale prim</c:v>
                </c:pt>
                <c:pt idx="2">
                  <c:v>Mentone Park pri</c:v>
                </c:pt>
                <c:pt idx="3">
                  <c:v>St Agnes</c:v>
                </c:pt>
                <c:pt idx="4">
                  <c:v>Bayside Youth</c:v>
                </c:pt>
                <c:pt idx="5">
                  <c:v>Noah's Ark</c:v>
                </c:pt>
                <c:pt idx="6">
                  <c:v>Gardenvale pri</c:v>
                </c:pt>
                <c:pt idx="7">
                  <c:v>Bayside council</c:v>
                </c:pt>
                <c:pt idx="8">
                  <c:v>St Josephs</c:v>
                </c:pt>
                <c:pt idx="9">
                  <c:v>St Patricks</c:v>
                </c:pt>
                <c:pt idx="10">
                  <c:v>Moordialloc pri</c:v>
                </c:pt>
              </c:strCache>
            </c:strRef>
          </c:cat>
          <c:val>
            <c:numRef>
              <c:f>'charts 2001 not printed'!$B$16:$B$26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8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</c:ser>
        <c:ser>
          <c:idx val="1"/>
          <c:order val="1"/>
          <c:tx>
            <c:strRef>
              <c:f>'charts 2001 not printed'!$C$15</c:f>
              <c:strCache>
                <c:ptCount val="1"/>
                <c:pt idx="0">
                  <c:v>orgns</c:v>
                </c:pt>
              </c:strCache>
            </c:strRef>
          </c:tx>
          <c:spPr>
            <a:solidFill>
              <a:srgbClr val="993366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50" spc="-1" strike="noStrike">
                    <a:solidFill>
                      <a:srgbClr val="000000"/>
                    </a:solidFill>
                    <a:latin typeface="Geneva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2001 not printed'!$A$16:$A$26</c:f>
              <c:strCache>
                <c:ptCount val="11"/>
                <c:pt idx="0">
                  <c:v>St Brigids</c:v>
                </c:pt>
                <c:pt idx="1">
                  <c:v>Aspendale prim</c:v>
                </c:pt>
                <c:pt idx="2">
                  <c:v>Mentone Park pri</c:v>
                </c:pt>
                <c:pt idx="3">
                  <c:v>St Agnes</c:v>
                </c:pt>
                <c:pt idx="4">
                  <c:v>Bayside Youth</c:v>
                </c:pt>
                <c:pt idx="5">
                  <c:v>Noah's Ark</c:v>
                </c:pt>
                <c:pt idx="6">
                  <c:v>Gardenvale pri</c:v>
                </c:pt>
                <c:pt idx="7">
                  <c:v>Bayside council</c:v>
                </c:pt>
                <c:pt idx="8">
                  <c:v>St Josephs</c:v>
                </c:pt>
                <c:pt idx="9">
                  <c:v>St Patricks</c:v>
                </c:pt>
                <c:pt idx="10">
                  <c:v>Moordialloc pri</c:v>
                </c:pt>
              </c:strCache>
            </c:strRef>
          </c:cat>
          <c:val>
            <c:numRef>
              <c:f>'charts 2001 not printed'!$C$16:$C$26</c:f>
              <c:numCache>
                <c:formatCode>General</c:formatCode>
                <c:ptCount val="11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</c:ser>
        <c:gapWidth val="150"/>
        <c:overlap val="100"/>
        <c:axId val="21740197"/>
        <c:axId val="70757929"/>
      </c:barChart>
      <c:catAx>
        <c:axId val="217401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50" spc="-1" strike="noStrike">
                    <a:solidFill>
                      <a:srgbClr val="000000"/>
                    </a:solidFill>
                    <a:latin typeface="Geneva"/>
                  </a:defRPr>
                </a:pPr>
                <a:r>
                  <a:rPr b="1" sz="1050" spc="-1" strike="noStrike">
                    <a:solidFill>
                      <a:srgbClr val="000000"/>
                    </a:solidFill>
                    <a:latin typeface="Geneva"/>
                  </a:rPr>
                  <a:t>Auspicing
Agency</a:t>
                </a:r>
              </a:p>
            </c:rich>
          </c:tx>
          <c:layout>
            <c:manualLayout>
              <c:xMode val="edge"/>
              <c:yMode val="edge"/>
              <c:x val="0.0160977501939488"/>
              <c:y val="0.87626388198243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 rot="-5400000"/>
          <a:lstStyle/>
          <a:p>
            <a:pPr>
              <a:defRPr b="0" sz="800" spc="-1" strike="noStrike">
                <a:solidFill>
                  <a:srgbClr val="000000"/>
                </a:solidFill>
                <a:latin typeface="Geneva"/>
              </a:defRPr>
            </a:pPr>
          </a:p>
        </c:txPr>
        <c:crossAx val="70757929"/>
        <c:crossesAt val="0"/>
        <c:auto val="1"/>
        <c:lblAlgn val="ctr"/>
        <c:lblOffset val="100"/>
        <c:noMultiLvlLbl val="0"/>
      </c:catAx>
      <c:valAx>
        <c:axId val="70757929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900" spc="-1" strike="noStrike">
                    <a:solidFill>
                      <a:srgbClr val="000000"/>
                    </a:solidFill>
                    <a:latin typeface="Geneva"/>
                  </a:defRPr>
                </a:pPr>
                <a:r>
                  <a:rPr b="1" sz="900" spc="-1" strike="noStrike">
                    <a:solidFill>
                      <a:srgbClr val="000000"/>
                    </a:solidFill>
                    <a:latin typeface="Geneva"/>
                  </a:rPr>
                  <a:t>Number of Schools, Organisations</a:t>
                </a:r>
              </a:p>
            </c:rich>
          </c:tx>
          <c:layout>
            <c:manualLayout>
              <c:xMode val="edge"/>
              <c:yMode val="edge"/>
              <c:x val="0.0248900956814068"/>
              <c:y val="-0.263053207359523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50" spc="-1" strike="noStrike">
                <a:solidFill>
                  <a:srgbClr val="000000"/>
                </a:solidFill>
                <a:latin typeface="Geneva"/>
              </a:defRPr>
            </a:pPr>
          </a:p>
        </c:txPr>
        <c:crossAx val="21740197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610098267390742"/>
          <c:y val="0.319327034642798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75" spc="-1" strike="noStrike">
              <a:solidFill>
                <a:srgbClr val="000000"/>
              </a:solidFill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50" spc="-1" strike="noStrike">
                <a:solidFill>
                  <a:srgbClr val="000000"/>
                </a:solidFill>
                <a:latin typeface="Geneva"/>
              </a:defRPr>
            </a:pPr>
            <a:r>
              <a:rPr b="1" sz="1150" spc="-1" strike="noStrike">
                <a:solidFill>
                  <a:srgbClr val="000000"/>
                </a:solidFill>
                <a:latin typeface="Geneva"/>
              </a:rPr>
              <a:t>Percentage of Children
per Program Types
2001</a:t>
            </a:r>
          </a:p>
        </c:rich>
      </c:tx>
      <c:layout>
        <c:manualLayout>
          <c:xMode val="edge"/>
          <c:yMode val="edge"/>
          <c:x val="0.154508043396932"/>
          <c:y val="0.0214077753039904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982666167851353"/>
          <c:y val="0.302363418393561"/>
          <c:w val="0.848360144656441"/>
          <c:h val="0.563452646001028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explosion val="0"/>
          <c:dPt>
            <c:idx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1"/>
            <c:spPr>
              <a:solidFill>
                <a:srgbClr val="993366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2"/>
            <c:spPr>
              <a:solidFill>
                <a:srgbClr val="ffffcc"/>
              </a:solidFill>
              <a:ln w="12600">
                <a:solidFill>
                  <a:srgbClr val="000000"/>
                </a:solidFill>
                <a:round/>
              </a:ln>
            </c:spPr>
          </c:dPt>
          <c:dLbls>
            <c:numFmt formatCode="0%" sourceLinked="1"/>
            <c:dLbl>
              <c:idx val="0"/>
              <c:numFmt formatCode="0%" sourceLinked="1"/>
              <c:txPr>
                <a:bodyPr wrap="none"/>
                <a:lstStyle/>
                <a:p>
                  <a:pPr>
                    <a:defRPr b="0" sz="975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none"/>
                <a:lstStyle/>
                <a:p>
                  <a:pPr>
                    <a:defRPr b="0" sz="975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numFmt formatCode="0%" sourceLinked="1"/>
              <c:txPr>
                <a:bodyPr wrap="none"/>
                <a:lstStyle/>
                <a:p>
                  <a:pPr>
                    <a:defRPr b="0" sz="975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none"/>
              <a:lstStyle/>
              <a:p>
                <a:pPr>
                  <a:defRPr b="0" sz="975" spc="-1" strike="noStrike">
                    <a:solidFill>
                      <a:srgbClr val="000000"/>
                    </a:solidFill>
                    <a:latin typeface="Geneva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'charts 2001 not printed'!$B$29:$D$29</c:f>
              <c:strCache>
                <c:ptCount val="3"/>
                <c:pt idx="0">
                  <c:v>Peer skills</c:v>
                </c:pt>
                <c:pt idx="1">
                  <c:v>School retention</c:v>
                </c:pt>
                <c:pt idx="2">
                  <c:v>Sibling camps</c:v>
                </c:pt>
              </c:strCache>
            </c:strRef>
          </c:cat>
          <c:val>
            <c:numRef>
              <c:f>'charts 2001 not printed'!$B$30:$D$30</c:f>
              <c:numCache>
                <c:formatCode>General</c:formatCode>
                <c:ptCount val="3"/>
                <c:pt idx="0">
                  <c:v>473</c:v>
                </c:pt>
                <c:pt idx="1">
                  <c:v>0</c:v>
                </c:pt>
                <c:pt idx="2">
                  <c:v>19</c:v>
                </c:pt>
              </c:numCache>
            </c:numRef>
          </c:val>
        </c:ser>
        <c:firstSliceAng val="0"/>
      </c:pieChart>
      <c:spPr>
        <a:noFill/>
        <a:ln w="1260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50" spc="-1" strike="noStrike">
                <a:solidFill>
                  <a:srgbClr val="000000"/>
                </a:solidFill>
                <a:latin typeface="Geneva"/>
              </a:defRPr>
            </a:pPr>
            <a:r>
              <a:rPr b="1" sz="1150" spc="-1" strike="noStrike">
                <a:solidFill>
                  <a:srgbClr val="000000"/>
                </a:solidFill>
                <a:latin typeface="Geneva"/>
              </a:rPr>
              <a:t>Program Type
2001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0520781171758"/>
          <c:y val="0.170812182741117"/>
          <c:w val="0.733475212819229"/>
          <c:h val="0.787055837563452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explosion val="0"/>
          <c:dPt>
            <c:idx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1"/>
            <c:spPr>
              <a:solidFill>
                <a:srgbClr val="993366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2"/>
            <c:spPr>
              <a:solidFill>
                <a:srgbClr val="ffffcc"/>
              </a:solidFill>
              <a:ln w="12600">
                <a:solidFill>
                  <a:srgbClr val="000000"/>
                </a:solidFill>
                <a:round/>
              </a:ln>
            </c:spPr>
          </c:dPt>
          <c:dLbls>
            <c:numFmt formatCode="0%" sourceLinked="1"/>
            <c:dLbl>
              <c:idx val="0"/>
              <c:numFmt formatCode="0%" sourceLinked="1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numFmt formatCode="0%" sourceLinked="1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numFmt formatCode="0%" sourceLinked="1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Geneva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'charts 2001 not printed'!$C$1:$E$1</c:f>
              <c:strCache>
                <c:ptCount val="3"/>
                <c:pt idx="0">
                  <c:v>Peer skills</c:v>
                </c:pt>
                <c:pt idx="1">
                  <c:v>School retention</c:v>
                </c:pt>
                <c:pt idx="2">
                  <c:v>Sibling camps</c:v>
                </c:pt>
              </c:strCache>
            </c:strRef>
          </c:cat>
          <c:val>
            <c:numRef>
              <c:f>'charts 2001 not printed'!$C$13:$E$13</c:f>
              <c:numCache>
                <c:formatCode>General</c:formatCode>
                <c:ptCount val="3"/>
                <c:pt idx="0">
                  <c:v>9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firstSliceAng val="0"/>
      </c:pieChart>
      <c:spPr>
        <a:noFill/>
        <a:ln w="1260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50" spc="-1" strike="noStrike">
                <a:solidFill>
                  <a:srgbClr val="000000"/>
                </a:solidFill>
                <a:latin typeface="Geneva"/>
              </a:defRPr>
            </a:pPr>
            <a:r>
              <a:rPr b="1" sz="1450" spc="-1" strike="noStrike">
                <a:solidFill>
                  <a:srgbClr val="000000"/>
                </a:solidFill>
                <a:latin typeface="Geneva"/>
              </a:rPr>
              <a:t>Collaboration Levels by Auspice 2001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7826982492276"/>
          <c:y val="0.0801859003731099"/>
          <c:w val="0.893666323377961"/>
          <c:h val="0.91470838515415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'charts 2001 not printed'!$B$15</c:f>
              <c:strCache>
                <c:ptCount val="1"/>
                <c:pt idx="0">
                  <c:v>schools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200" spc="-1" strike="noStrike">
                    <a:solidFill>
                      <a:srgbClr val="000000"/>
                    </a:solidFill>
                    <a:latin typeface="Geneva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2001 not printed'!$A$16:$A$26</c:f>
              <c:strCache>
                <c:ptCount val="11"/>
                <c:pt idx="0">
                  <c:v>St Brigids</c:v>
                </c:pt>
                <c:pt idx="1">
                  <c:v>Aspendale prim</c:v>
                </c:pt>
                <c:pt idx="2">
                  <c:v>Mentone Park pri</c:v>
                </c:pt>
                <c:pt idx="3">
                  <c:v>St Agnes</c:v>
                </c:pt>
                <c:pt idx="4">
                  <c:v>Bayside Youth</c:v>
                </c:pt>
                <c:pt idx="5">
                  <c:v>Noah's Ark</c:v>
                </c:pt>
                <c:pt idx="6">
                  <c:v>Gardenvale pri</c:v>
                </c:pt>
                <c:pt idx="7">
                  <c:v>Bayside council</c:v>
                </c:pt>
                <c:pt idx="8">
                  <c:v>St Josephs</c:v>
                </c:pt>
                <c:pt idx="9">
                  <c:v>St Patricks</c:v>
                </c:pt>
                <c:pt idx="10">
                  <c:v>Moordialloc pri</c:v>
                </c:pt>
              </c:strCache>
            </c:strRef>
          </c:cat>
          <c:val>
            <c:numRef>
              <c:f>'charts 2001 not printed'!$B$16:$B$26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8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</c:ser>
        <c:ser>
          <c:idx val="1"/>
          <c:order val="1"/>
          <c:tx>
            <c:strRef>
              <c:f>'charts 2001 not printed'!$C$15</c:f>
              <c:strCache>
                <c:ptCount val="1"/>
                <c:pt idx="0">
                  <c:v>orgns</c:v>
                </c:pt>
              </c:strCache>
            </c:strRef>
          </c:tx>
          <c:spPr>
            <a:solidFill>
              <a:srgbClr val="993366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200" spc="-1" strike="noStrike">
                    <a:solidFill>
                      <a:srgbClr val="000000"/>
                    </a:solidFill>
                    <a:latin typeface="Geneva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2001 not printed'!$A$16:$A$26</c:f>
              <c:strCache>
                <c:ptCount val="11"/>
                <c:pt idx="0">
                  <c:v>St Brigids</c:v>
                </c:pt>
                <c:pt idx="1">
                  <c:v>Aspendale prim</c:v>
                </c:pt>
                <c:pt idx="2">
                  <c:v>Mentone Park pri</c:v>
                </c:pt>
                <c:pt idx="3">
                  <c:v>St Agnes</c:v>
                </c:pt>
                <c:pt idx="4">
                  <c:v>Bayside Youth</c:v>
                </c:pt>
                <c:pt idx="5">
                  <c:v>Noah's Ark</c:v>
                </c:pt>
                <c:pt idx="6">
                  <c:v>Gardenvale pri</c:v>
                </c:pt>
                <c:pt idx="7">
                  <c:v>Bayside council</c:v>
                </c:pt>
                <c:pt idx="8">
                  <c:v>St Josephs</c:v>
                </c:pt>
                <c:pt idx="9">
                  <c:v>St Patricks</c:v>
                </c:pt>
                <c:pt idx="10">
                  <c:v>Moordialloc pri</c:v>
                </c:pt>
              </c:strCache>
            </c:strRef>
          </c:cat>
          <c:val>
            <c:numRef>
              <c:f>'charts 2001 not printed'!$C$16:$C$26</c:f>
              <c:numCache>
                <c:formatCode>General</c:formatCode>
                <c:ptCount val="11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</c:ser>
        <c:gapWidth val="150"/>
        <c:overlap val="100"/>
        <c:axId val="7101326"/>
        <c:axId val="47902314"/>
      </c:barChart>
      <c:catAx>
        <c:axId val="71013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200" spc="-1" strike="noStrike">
                    <a:solidFill>
                      <a:srgbClr val="000000"/>
                    </a:solidFill>
                    <a:latin typeface="Geneva"/>
                  </a:defRPr>
                </a:pPr>
                <a:r>
                  <a:rPr b="1" sz="1200" spc="-1" strike="noStrike">
                    <a:solidFill>
                      <a:srgbClr val="000000"/>
                    </a:solidFill>
                    <a:latin typeface="Geneva"/>
                  </a:rPr>
                  <a:t>Auspicing Agency</a:t>
                </a:r>
              </a:p>
            </c:rich>
          </c:tx>
          <c:layout>
            <c:manualLayout>
              <c:xMode val="edge"/>
              <c:yMode val="edge"/>
              <c:x val="0.328462924819773"/>
              <c:y val="0.92688355043529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 rot="-5400000"/>
          <a:lstStyle/>
          <a:p>
            <a:pPr>
              <a:defRPr b="0" sz="1000" spc="-1" strike="noStrike">
                <a:solidFill>
                  <a:srgbClr val="000000"/>
                </a:solidFill>
                <a:latin typeface="Geneva"/>
              </a:defRPr>
            </a:pPr>
          </a:p>
        </c:txPr>
        <c:crossAx val="47902314"/>
        <c:crossesAt val="0"/>
        <c:auto val="1"/>
        <c:lblAlgn val="ctr"/>
        <c:lblOffset val="100"/>
        <c:noMultiLvlLbl val="0"/>
      </c:catAx>
      <c:valAx>
        <c:axId val="47902314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200" spc="-1" strike="noStrike">
                    <a:solidFill>
                      <a:srgbClr val="000000"/>
                    </a:solidFill>
                    <a:latin typeface="Geneva"/>
                  </a:defRPr>
                </a:pPr>
                <a:r>
                  <a:rPr b="1" sz="1200" spc="-1" strike="noStrike">
                    <a:solidFill>
                      <a:srgbClr val="000000"/>
                    </a:solidFill>
                    <a:latin typeface="Geneva"/>
                  </a:rPr>
                  <a:t>Number of Schools, Organisations</a:t>
                </a:r>
              </a:p>
            </c:rich>
          </c:tx>
          <c:layout>
            <c:manualLayout>
              <c:xMode val="edge"/>
              <c:yMode val="edge"/>
              <c:x val="0.0599253347064882"/>
              <c:y val="-0.39097990443149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Geneva"/>
              </a:defRPr>
            </a:pPr>
          </a:p>
        </c:txPr>
        <c:crossAx val="7101326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637937693099897"/>
          <c:y val="0.281141585389802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75" spc="-1" strike="noStrike">
              <a:solidFill>
                <a:srgbClr val="000000"/>
              </a:solidFill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25" spc="-1" strike="noStrike">
                <a:solidFill>
                  <a:srgbClr val="000000"/>
                </a:solidFill>
                <a:latin typeface="Geneva"/>
              </a:defRPr>
            </a:pPr>
            <a:r>
              <a:rPr b="1" sz="1425" spc="-1" strike="noStrike">
                <a:solidFill>
                  <a:srgbClr val="000000"/>
                </a:solidFill>
                <a:latin typeface="Geneva"/>
              </a:rPr>
              <a:t>Cooperation Levels by Program Type 2001</a:t>
            </a:r>
          </a:p>
        </c:rich>
      </c:tx>
      <c:layout>
        <c:manualLayout>
          <c:xMode val="edge"/>
          <c:yMode val="edge"/>
          <c:x val="0.266783307413167"/>
          <c:y val="0.03823391995016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144375324002074"/>
          <c:y val="0.124201837719981"/>
          <c:w val="0.820502851218248"/>
          <c:h val="0.84215854228313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'charts 2001 not printed'!$A$36</c:f>
              <c:strCache>
                <c:ptCount val="1"/>
                <c:pt idx="0">
                  <c:v>schools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475" spc="-1" strike="noStrike">
                    <a:solidFill>
                      <a:srgbClr val="000000"/>
                    </a:solidFill>
                    <a:latin typeface="Geneva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2001 not printed'!$B$35:$D$35</c:f>
              <c:strCache>
                <c:ptCount val="3"/>
                <c:pt idx="0">
                  <c:v>Peer skills</c:v>
                </c:pt>
                <c:pt idx="1">
                  <c:v>School retention</c:v>
                </c:pt>
                <c:pt idx="2">
                  <c:v>Sibling camps</c:v>
                </c:pt>
              </c:strCache>
            </c:strRef>
          </c:cat>
          <c:val>
            <c:numRef>
              <c:f>'charts 2001 not printed'!$B$36:$D$36</c:f>
              <c:numCache>
                <c:formatCode>General</c:formatCode>
                <c:ptCount val="3"/>
                <c:pt idx="0">
                  <c:v>9</c:v>
                </c:pt>
                <c:pt idx="1">
                  <c:v>8</c:v>
                </c:pt>
                <c:pt idx="2">
                  <c:v>4</c:v>
                </c:pt>
              </c:numCache>
            </c:numRef>
          </c:val>
        </c:ser>
        <c:ser>
          <c:idx val="1"/>
          <c:order val="1"/>
          <c:tx>
            <c:strRef>
              <c:f>'charts 2001 not printed'!$A$37</c:f>
              <c:strCache>
                <c:ptCount val="1"/>
                <c:pt idx="0">
                  <c:v>organisations</c:v>
                </c:pt>
              </c:strCache>
            </c:strRef>
          </c:tx>
          <c:spPr>
            <a:solidFill>
              <a:srgbClr val="993366"/>
            </a:solidFill>
            <a:ln w="12600">
              <a:solidFill>
                <a:srgbClr val="000000"/>
              </a:solidFill>
              <a:round/>
            </a:ln>
          </c:spPr>
          <c:invertIfNegative val="0"/>
          <c:dPt>
            <c:idx val="1"/>
            <c:invertIfNegative val="0"/>
            <c:spPr>
              <a:solidFill>
                <a:srgbClr val="993366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993366"/>
              </a:solidFill>
              <a:ln w="12600">
                <a:solidFill>
                  <a:srgbClr val="000000"/>
                </a:solidFill>
                <a:round/>
              </a:ln>
            </c:spPr>
          </c:dPt>
          <c:dLbls>
            <c:dLbl>
              <c:idx val="1"/>
              <c:txPr>
                <a:bodyPr wrap="none"/>
                <a:lstStyle/>
                <a:p>
                  <a:pPr>
                    <a:defRPr b="0" sz="1475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2"/>
              <c:txPr>
                <a:bodyPr wrap="none"/>
                <a:lstStyle/>
                <a:p>
                  <a:pPr>
                    <a:defRPr b="0" sz="1475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eparator>
</c:separator>
            </c:dLbl>
            <c:txPr>
              <a:bodyPr wrap="none"/>
              <a:lstStyle/>
              <a:p>
                <a:pPr>
                  <a:defRPr b="0" sz="1475" spc="-1" strike="noStrike">
                    <a:solidFill>
                      <a:srgbClr val="000000"/>
                    </a:solidFill>
                    <a:latin typeface="Geneva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2001 not printed'!$B$35:$D$35</c:f>
              <c:strCache>
                <c:ptCount val="3"/>
                <c:pt idx="0">
                  <c:v>Peer skills</c:v>
                </c:pt>
                <c:pt idx="1">
                  <c:v>School retention</c:v>
                </c:pt>
                <c:pt idx="2">
                  <c:v>Sibling camps</c:v>
                </c:pt>
              </c:strCache>
            </c:strRef>
          </c:cat>
          <c:val>
            <c:numRef>
              <c:f>'charts 2001 not printed'!$B$37:$D$37</c:f>
              <c:numCache>
                <c:formatCode>General</c:formatCode>
                <c:ptCount val="3"/>
                <c:pt idx="0">
                  <c:v>11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</c:ser>
        <c:gapWidth val="150"/>
        <c:overlap val="100"/>
        <c:axId val="98287848"/>
        <c:axId val="96536008"/>
      </c:barChart>
      <c:catAx>
        <c:axId val="98287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475" spc="-1" strike="noStrike">
                <a:solidFill>
                  <a:srgbClr val="000000"/>
                </a:solidFill>
                <a:latin typeface="Geneva"/>
              </a:defRPr>
            </a:pPr>
          </a:p>
        </c:txPr>
        <c:crossAx val="96536008"/>
        <c:crossesAt val="0"/>
        <c:auto val="1"/>
        <c:lblAlgn val="ctr"/>
        <c:lblOffset val="100"/>
        <c:noMultiLvlLbl val="0"/>
      </c:catAx>
      <c:valAx>
        <c:axId val="96536008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475" spc="-1" strike="noStrike">
                    <a:solidFill>
                      <a:srgbClr val="000000"/>
                    </a:solidFill>
                    <a:latin typeface="Geneva"/>
                  </a:defRPr>
                </a:pPr>
                <a:r>
                  <a:rPr b="1" sz="1475" spc="-1" strike="noStrike">
                    <a:solidFill>
                      <a:srgbClr val="000000"/>
                    </a:solidFill>
                    <a:latin typeface="Geneva"/>
                  </a:rPr>
                  <a:t>Schools, Organisations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475" spc="-1" strike="noStrike">
                <a:solidFill>
                  <a:srgbClr val="000000"/>
                </a:solidFill>
                <a:latin typeface="Geneva"/>
              </a:defRPr>
            </a:pPr>
          </a:p>
        </c:txPr>
        <c:crossAx val="98287848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590720580611716"/>
          <c:y val="0.31716243575767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75" spc="-1" strike="noStrike">
              <a:solidFill>
                <a:srgbClr val="000000"/>
              </a:solidFill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800" spc="-1" strike="noStrike">
                <a:solidFill>
                  <a:srgbClr val="000000"/>
                </a:solidFill>
                <a:latin typeface="Geneva"/>
              </a:defRPr>
            </a:pPr>
            <a:r>
              <a:rPr b="1" sz="800" spc="-1" strike="noStrike">
                <a:solidFill>
                  <a:srgbClr val="000000"/>
                </a:solidFill>
                <a:latin typeface="Geneva"/>
              </a:rPr>
              <a:t>Program Types 2001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1806534272902"/>
          <c:y val="0.341863667661235"/>
          <c:w val="0.675464445868033"/>
          <c:h val="0.540509524902456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explosion val="0"/>
          <c:dPt>
            <c:idx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1"/>
            <c:spPr>
              <a:solidFill>
                <a:srgbClr val="993366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2"/>
            <c:spPr>
              <a:solidFill>
                <a:srgbClr val="ffffcc"/>
              </a:solidFill>
              <a:ln w="12600">
                <a:solidFill>
                  <a:srgbClr val="000000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numFmt formatCode="0%" sourceLinked="1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numFmt formatCode="0%" sourceLinked="1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Geneva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'charts 2001 not printed'!$C$1:$E$1</c:f>
              <c:strCache>
                <c:ptCount val="3"/>
                <c:pt idx="0">
                  <c:v>Peer skills</c:v>
                </c:pt>
                <c:pt idx="1">
                  <c:v>School retention</c:v>
                </c:pt>
                <c:pt idx="2">
                  <c:v>Sibling camps</c:v>
                </c:pt>
              </c:strCache>
            </c:strRef>
          </c:cat>
          <c:val>
            <c:numRef>
              <c:f>'charts 2001 not printed'!$C$13:$E$13</c:f>
              <c:numCache>
                <c:formatCode>General</c:formatCode>
                <c:ptCount val="3"/>
                <c:pt idx="0">
                  <c:v>9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firstSliceAng val="0"/>
      </c:pieChart>
      <c:spPr>
        <a:noFill/>
        <a:ln w="1260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50" spc="-1" strike="noStrike">
                <a:solidFill>
                  <a:srgbClr val="000000"/>
                </a:solidFill>
                <a:latin typeface="Geneva"/>
              </a:defRPr>
            </a:pPr>
            <a:r>
              <a:rPr b="1" sz="1450" spc="-1" strike="noStrike">
                <a:solidFill>
                  <a:srgbClr val="000000"/>
                </a:solidFill>
                <a:latin typeface="Geneva"/>
              </a:rPr>
              <a:t>Average Cost per Child 2001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24782748632121"/>
          <c:y val="0.127316897606622"/>
          <c:w val="0.942774380431284"/>
          <c:h val="0.8258952672305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150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2"/>
              <c:txPr>
                <a:bodyPr wrap="none"/>
                <a:lstStyle/>
                <a:p>
                  <a:pPr>
                    <a:defRPr b="0" sz="1150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txPr>
              <a:bodyPr wrap="none"/>
              <a:lstStyle/>
              <a:p>
                <a:pPr>
                  <a:defRPr b="0" sz="1150" spc="-1" strike="noStrike">
                    <a:solidFill>
                      <a:srgbClr val="000000"/>
                    </a:solidFill>
                    <a:latin typeface="Genev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2001 not printed'!$B$29:$D$29</c:f>
              <c:strCache>
                <c:ptCount val="3"/>
                <c:pt idx="0">
                  <c:v>Peer skills</c:v>
                </c:pt>
                <c:pt idx="1">
                  <c:v>School retention</c:v>
                </c:pt>
                <c:pt idx="2">
                  <c:v>Sibling camps</c:v>
                </c:pt>
              </c:strCache>
            </c:strRef>
          </c:cat>
          <c:val>
            <c:numRef>
              <c:f>'charts 2001 not printed'!$B$32:$D$32</c:f>
              <c:numCache>
                <c:formatCode>General</c:formatCode>
                <c:ptCount val="3"/>
                <c:pt idx="0">
                  <c:v>25.0486257928118</c:v>
                </c:pt>
                <c:pt idx="1">
                  <c:v>0</c:v>
                </c:pt>
                <c:pt idx="2">
                  <c:v>842.358421052632</c:v>
                </c:pt>
              </c:numCache>
            </c:numRef>
          </c:val>
        </c:ser>
        <c:gapWidth val="150"/>
        <c:overlap val="0"/>
        <c:axId val="76224447"/>
        <c:axId val="7713991"/>
      </c:barChart>
      <c:catAx>
        <c:axId val="762244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150" spc="-1" strike="noStrike">
                <a:solidFill>
                  <a:srgbClr val="000000"/>
                </a:solidFill>
                <a:latin typeface="Geneva"/>
              </a:defRPr>
            </a:pPr>
          </a:p>
        </c:txPr>
        <c:crossAx val="7713991"/>
        <c:crossesAt val="0"/>
        <c:auto val="1"/>
        <c:lblAlgn val="ctr"/>
        <c:lblOffset val="100"/>
        <c:noMultiLvlLbl val="0"/>
      </c:catAx>
      <c:valAx>
        <c:axId val="7713991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numFmt formatCode="\$#,##0.0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150" spc="-1" strike="noStrike">
                <a:solidFill>
                  <a:srgbClr val="000000"/>
                </a:solidFill>
                <a:latin typeface="Geneva"/>
              </a:defRPr>
            </a:pPr>
          </a:p>
        </c:txPr>
        <c:crossAx val="76224447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800" spc="-1" strike="noStrike">
                <a:solidFill>
                  <a:srgbClr val="000000"/>
                </a:solidFill>
                <a:latin typeface="Geneva"/>
              </a:defRPr>
            </a:pPr>
            <a:r>
              <a:rPr b="1" sz="800" spc="-1" strike="noStrike">
                <a:solidFill>
                  <a:srgbClr val="000000"/>
                </a:solidFill>
                <a:latin typeface="Geneva"/>
              </a:rPr>
              <a:t>Percentage of Children per Program Type</a:t>
            </a:r>
          </a:p>
        </c:rich>
      </c:tx>
      <c:layout>
        <c:manualLayout>
          <c:xMode val="edge"/>
          <c:yMode val="edge"/>
          <c:x val="0.206572769953052"/>
          <c:y val="0.0284608378870674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1825769431403"/>
          <c:y val="0.375796903460838"/>
          <c:w val="0.586202399582681"/>
          <c:h val="0.433060109289617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explosion val="0"/>
          <c:dPt>
            <c:idx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1"/>
            <c:spPr>
              <a:solidFill>
                <a:srgbClr val="993366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2"/>
            <c:spPr>
              <a:solidFill>
                <a:srgbClr val="ffffcc"/>
              </a:solidFill>
              <a:ln w="12600">
                <a:solidFill>
                  <a:srgbClr val="000000"/>
                </a:solidFill>
                <a:round/>
              </a:ln>
            </c:spPr>
          </c:dPt>
          <c:dLbls>
            <c:numFmt formatCode="0%" sourceLinked="1"/>
            <c:dLbl>
              <c:idx val="0"/>
              <c:numFmt formatCode="0%" sourceLinked="1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numFmt formatCode="0%" sourceLinked="1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Geneva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'charts 2001 not printed'!$B$29:$D$29</c:f>
              <c:strCache>
                <c:ptCount val="3"/>
                <c:pt idx="0">
                  <c:v>Peer skills</c:v>
                </c:pt>
                <c:pt idx="1">
                  <c:v>School retention</c:v>
                </c:pt>
                <c:pt idx="2">
                  <c:v>Sibling camps</c:v>
                </c:pt>
              </c:strCache>
            </c:strRef>
          </c:cat>
          <c:val>
            <c:numRef>
              <c:f>'charts 2001 not printed'!$B$30:$D$30</c:f>
              <c:numCache>
                <c:formatCode>General</c:formatCode>
                <c:ptCount val="3"/>
                <c:pt idx="0">
                  <c:v>473</c:v>
                </c:pt>
                <c:pt idx="1">
                  <c:v>0</c:v>
                </c:pt>
                <c:pt idx="2">
                  <c:v>19</c:v>
                </c:pt>
              </c:numCache>
            </c:numRef>
          </c:val>
        </c:ser>
        <c:firstSliceAng val="0"/>
      </c:pieChart>
      <c:spPr>
        <a:noFill/>
        <a:ln w="1260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50" spc="-1" strike="noStrike">
                <a:solidFill>
                  <a:srgbClr val="000000"/>
                </a:solidFill>
                <a:latin typeface="Geneva"/>
              </a:defRPr>
            </a:pPr>
            <a:r>
              <a:rPr b="1" sz="1450" spc="-1" strike="noStrike">
                <a:solidFill>
                  <a:srgbClr val="000000"/>
                </a:solidFill>
                <a:latin typeface="Geneva"/>
              </a:rPr>
              <a:t>Children by Program Type - 2000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90627620460556"/>
          <c:y val="0.131494601889339"/>
          <c:w val="0.83022640779204"/>
          <c:h val="0.8587213225371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'Age Charts'!$A$23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75" spc="-1" strike="noStrike">
                    <a:solidFill>
                      <a:srgbClr val="000000"/>
                    </a:solidFill>
                    <a:latin typeface="Genev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Charts'!$B$22:$E$22</c:f>
              <c:strCache>
                <c:ptCount val="4"/>
                <c:pt idx="0">
                  <c:v>Peer skills</c:v>
                </c:pt>
                <c:pt idx="1">
                  <c:v>Culture</c:v>
                </c:pt>
                <c:pt idx="2">
                  <c:v>Health</c:v>
                </c:pt>
                <c:pt idx="3">
                  <c:v>School Retention</c:v>
                </c:pt>
              </c:strCache>
            </c:strRef>
          </c:cat>
          <c:val>
            <c:numRef>
              <c:f>'Age Charts'!$B$23:$E$23</c:f>
              <c:numCache>
                <c:formatCode>General</c:formatCode>
                <c:ptCount val="4"/>
                <c:pt idx="0">
                  <c:v>511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</c:ser>
        <c:ser>
          <c:idx val="1"/>
          <c:order val="1"/>
          <c:tx>
            <c:strRef>
              <c:f>'Age Charts'!$A$24</c:f>
              <c:strCache>
                <c:ptCount val="1"/>
                <c:pt idx="0">
                  <c:v>Secondary</c:v>
                </c:pt>
              </c:strCache>
            </c:strRef>
          </c:tx>
          <c:spPr>
            <a:solidFill>
              <a:srgbClr val="993366"/>
            </a:solidFill>
            <a:ln w="12600">
              <a:solidFill>
                <a:srgbClr val="000000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993366"/>
              </a:solidFill>
              <a:ln w="12600">
                <a:solidFill>
                  <a:srgbClr val="000000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75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txPr>
              <a:bodyPr wrap="none"/>
              <a:lstStyle/>
              <a:p>
                <a:pPr>
                  <a:defRPr b="0" sz="1075" spc="-1" strike="noStrike">
                    <a:solidFill>
                      <a:srgbClr val="000000"/>
                    </a:solidFill>
                    <a:latin typeface="Genev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Charts'!$B$22:$E$22</c:f>
              <c:strCache>
                <c:ptCount val="4"/>
                <c:pt idx="0">
                  <c:v>Peer skills</c:v>
                </c:pt>
                <c:pt idx="1">
                  <c:v>Culture</c:v>
                </c:pt>
                <c:pt idx="2">
                  <c:v>Health</c:v>
                </c:pt>
                <c:pt idx="3">
                  <c:v>School Retention</c:v>
                </c:pt>
              </c:strCache>
            </c:strRef>
          </c:cat>
          <c:val>
            <c:numRef>
              <c:f>'Age Charts'!$B$24:$E$24</c:f>
              <c:numCache>
                <c:formatCode>General</c:formatCode>
                <c:ptCount val="4"/>
                <c:pt idx="0">
                  <c:v>155</c:v>
                </c:pt>
                <c:pt idx="1">
                  <c:v>19</c:v>
                </c:pt>
                <c:pt idx="2">
                  <c:v>129</c:v>
                </c:pt>
                <c:pt idx="3">
                  <c:v>723</c:v>
                </c:pt>
              </c:numCache>
            </c:numRef>
          </c:val>
        </c:ser>
        <c:gapWidth val="150"/>
        <c:overlap val="0"/>
        <c:axId val="98234945"/>
        <c:axId val="62494565"/>
      </c:barChart>
      <c:catAx>
        <c:axId val="982349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75" spc="-1" strike="noStrike">
                    <a:solidFill>
                      <a:srgbClr val="000000"/>
                    </a:solidFill>
                    <a:latin typeface="Geneva"/>
                  </a:defRPr>
                </a:pPr>
                <a:r>
                  <a:rPr b="1" sz="1075" spc="-1" strike="noStrike">
                    <a:solidFill>
                      <a:srgbClr val="000000"/>
                    </a:solidFill>
                    <a:latin typeface="Geneva"/>
                  </a:rPr>
                  <a:t>Program Type</a:t>
                </a:r>
              </a:p>
            </c:rich>
          </c:tx>
          <c:layout>
            <c:manualLayout>
              <c:xMode val="edge"/>
              <c:yMode val="edge"/>
              <c:x val="0.417983616074308"/>
              <c:y val="0.91885964912280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75" spc="-1" strike="noStrike">
                <a:solidFill>
                  <a:srgbClr val="000000"/>
                </a:solidFill>
                <a:latin typeface="Geneva"/>
              </a:defRPr>
            </a:pPr>
          </a:p>
        </c:txPr>
        <c:crossAx val="62494565"/>
        <c:crossesAt val="0"/>
        <c:auto val="1"/>
        <c:lblAlgn val="ctr"/>
        <c:lblOffset val="100"/>
        <c:noMultiLvlLbl val="0"/>
      </c:catAx>
      <c:valAx>
        <c:axId val="62494565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75" spc="-1" strike="noStrike">
                    <a:solidFill>
                      <a:srgbClr val="000000"/>
                    </a:solidFill>
                    <a:latin typeface="Geneva"/>
                  </a:defRPr>
                </a:pPr>
                <a:r>
                  <a:rPr b="1" sz="1075" spc="-1" strike="noStrike">
                    <a:solidFill>
                      <a:srgbClr val="000000"/>
                    </a:solidFill>
                    <a:latin typeface="Geneva"/>
                  </a:rPr>
                  <a:t>Number of Primary &amp; Secondary Age Children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75" spc="-1" strike="noStrike">
                <a:solidFill>
                  <a:srgbClr val="000000"/>
                </a:solidFill>
                <a:latin typeface="Geneva"/>
              </a:defRPr>
            </a:pPr>
          </a:p>
        </c:txPr>
        <c:crossAx val="98234945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50267690124492"/>
          <c:y val="0.31612685560054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75" spc="-1" strike="noStrike">
              <a:solidFill>
                <a:srgbClr val="000000"/>
              </a:solidFill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25" spc="-1" strike="noStrike">
                <a:solidFill>
                  <a:srgbClr val="000000"/>
                </a:solidFill>
                <a:latin typeface="Geneva"/>
              </a:defRPr>
            </a:pPr>
            <a:r>
              <a:rPr b="1" sz="1125" spc="-1" strike="noStrike">
                <a:solidFill>
                  <a:srgbClr val="000000"/>
                </a:solidFill>
                <a:latin typeface="Geneva"/>
              </a:rPr>
              <a:t>Cost per participant - 2000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785272914521112"/>
          <c:y val="0.148972168175281"/>
          <c:w val="0.899716786817714"/>
          <c:h val="0.8280179341849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'Age Charts'!$A$25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825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txPr>
              <a:bodyPr wrap="none"/>
              <a:lstStyle/>
              <a:p>
                <a:pPr>
                  <a:defRPr b="0" sz="825" spc="-1" strike="noStrike">
                    <a:solidFill>
                      <a:srgbClr val="000000"/>
                    </a:solidFill>
                    <a:latin typeface="Genev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Charts'!$B$22:$E$22</c:f>
              <c:strCache>
                <c:ptCount val="4"/>
                <c:pt idx="0">
                  <c:v>Peer skills</c:v>
                </c:pt>
                <c:pt idx="1">
                  <c:v>Culture</c:v>
                </c:pt>
                <c:pt idx="2">
                  <c:v>Health</c:v>
                </c:pt>
                <c:pt idx="3">
                  <c:v>School Retention</c:v>
                </c:pt>
              </c:strCache>
            </c:strRef>
          </c:cat>
          <c:val>
            <c:numRef>
              <c:f>'Age Charts'!$B$25:$E$25</c:f>
              <c:numCache>
                <c:formatCode>General</c:formatCode>
                <c:ptCount val="4"/>
                <c:pt idx="0">
                  <c:v>99.3738328207995</c:v>
                </c:pt>
                <c:pt idx="1">
                  <c:v>0</c:v>
                </c:pt>
                <c:pt idx="2">
                  <c:v>92.1052631578947</c:v>
                </c:pt>
                <c:pt idx="3">
                  <c:v>875</c:v>
                </c:pt>
              </c:numCache>
            </c:numRef>
          </c:val>
        </c:ser>
        <c:ser>
          <c:idx val="1"/>
          <c:order val="1"/>
          <c:tx>
            <c:strRef>
              <c:f>'Age Charts'!$A$26</c:f>
              <c:strCache>
                <c:ptCount val="1"/>
                <c:pt idx="0">
                  <c:v>Secondary</c:v>
                </c:pt>
              </c:strCache>
            </c:strRef>
          </c:tx>
          <c:spPr>
            <a:solidFill>
              <a:srgbClr val="993366"/>
            </a:solidFill>
            <a:ln w="12600">
              <a:solidFill>
                <a:srgbClr val="000000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993366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993366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3"/>
            <c:invertIfNegative val="0"/>
            <c:spPr>
              <a:solidFill>
                <a:srgbClr val="993366"/>
              </a:solidFill>
              <a:ln w="12600">
                <a:solidFill>
                  <a:srgbClr val="000000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825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2"/>
              <c:txPr>
                <a:bodyPr wrap="none"/>
                <a:lstStyle/>
                <a:p>
                  <a:pPr>
                    <a:defRPr b="0" sz="825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3"/>
              <c:txPr>
                <a:bodyPr wrap="none"/>
                <a:lstStyle/>
                <a:p>
                  <a:pPr>
                    <a:defRPr b="0" sz="825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txPr>
              <a:bodyPr wrap="none"/>
              <a:lstStyle/>
              <a:p>
                <a:pPr>
                  <a:defRPr b="0" sz="825" spc="-1" strike="noStrike">
                    <a:solidFill>
                      <a:srgbClr val="000000"/>
                    </a:solidFill>
                    <a:latin typeface="Genev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Charts'!$B$22:$E$22</c:f>
              <c:strCache>
                <c:ptCount val="4"/>
                <c:pt idx="0">
                  <c:v>Peer skills</c:v>
                </c:pt>
                <c:pt idx="1">
                  <c:v>Culture</c:v>
                </c:pt>
                <c:pt idx="2">
                  <c:v>Health</c:v>
                </c:pt>
                <c:pt idx="3">
                  <c:v>School Retention</c:v>
                </c:pt>
              </c:strCache>
            </c:strRef>
          </c:cat>
          <c:val>
            <c:numRef>
              <c:f>'Age Charts'!$B$26:$E$26</c:f>
              <c:numCache>
                <c:formatCode>General</c:formatCode>
                <c:ptCount val="4"/>
                <c:pt idx="0">
                  <c:v>38.1303225806452</c:v>
                </c:pt>
                <c:pt idx="1">
                  <c:v>180.286315789474</c:v>
                </c:pt>
                <c:pt idx="2">
                  <c:v>46.906160750714</c:v>
                </c:pt>
                <c:pt idx="3">
                  <c:v>8.06497318085214</c:v>
                </c:pt>
              </c:numCache>
            </c:numRef>
          </c:val>
        </c:ser>
        <c:gapWidth val="100"/>
        <c:overlap val="0"/>
        <c:axId val="30656174"/>
        <c:axId val="21330470"/>
      </c:barChart>
      <c:catAx>
        <c:axId val="3065617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825" spc="-1" strike="noStrike">
                <a:solidFill>
                  <a:srgbClr val="000000"/>
                </a:solidFill>
                <a:latin typeface="Geneva"/>
              </a:defRPr>
            </a:pPr>
          </a:p>
        </c:txPr>
        <c:crossAx val="21330470"/>
        <c:crossesAt val="0"/>
        <c:auto val="1"/>
        <c:lblAlgn val="ctr"/>
        <c:lblOffset val="100"/>
        <c:noMultiLvlLbl val="0"/>
      </c:catAx>
      <c:valAx>
        <c:axId val="21330470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825" spc="-1" strike="noStrike">
                    <a:solidFill>
                      <a:srgbClr val="000000"/>
                    </a:solidFill>
                    <a:latin typeface="Geneva"/>
                  </a:defRPr>
                </a:pPr>
                <a:r>
                  <a:rPr b="1" sz="825" spc="-1" strike="noStrike">
                    <a:solidFill>
                      <a:srgbClr val="000000"/>
                    </a:solidFill>
                    <a:latin typeface="Geneva"/>
                  </a:rPr>
                  <a:t>Dollar per Participant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(\$* #,##0.00_);_(\$* \(#,##0.00\);_(\$* \-??_);_(@_)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825" spc="-1" strike="noStrike">
                <a:solidFill>
                  <a:srgbClr val="000000"/>
                </a:solidFill>
                <a:latin typeface="Geneva"/>
              </a:defRPr>
            </a:pPr>
          </a:p>
        </c:txPr>
        <c:crossAx val="30656174"/>
        <c:crossesAt val="1"/>
        <c:crossBetween val="midCat"/>
      </c:valAx>
      <c:spPr>
        <a:solidFill>
          <a:srgbClr val="ffffcc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455458290422245"/>
          <c:y val="0.205989341003299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900" spc="-1" strike="noStrike">
              <a:solidFill>
                <a:srgbClr val="000000"/>
              </a:solidFill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50" spc="-1" strike="noStrike">
                <a:solidFill>
                  <a:srgbClr val="000000"/>
                </a:solidFill>
                <a:latin typeface="Geneva"/>
              </a:defRPr>
            </a:pPr>
            <a:r>
              <a:rPr b="1" sz="1450" spc="-1" strike="noStrike">
                <a:solidFill>
                  <a:srgbClr val="000000"/>
                </a:solidFill>
                <a:latin typeface="Geneva"/>
              </a:rPr>
              <a:t>Children by Program Type - 2001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937821833161689"/>
          <c:y val="0.138984721537703"/>
          <c:w val="0.834642121524202"/>
          <c:h val="0.8191227205519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'Age Charts'!$A$44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75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2"/>
              <c:txPr>
                <a:bodyPr wrap="none"/>
                <a:lstStyle/>
                <a:p>
                  <a:pPr>
                    <a:defRPr b="0" sz="1075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txPr>
              <a:bodyPr wrap="none"/>
              <a:lstStyle/>
              <a:p>
                <a:pPr>
                  <a:defRPr b="0" sz="1075" spc="-1" strike="noStrike">
                    <a:solidFill>
                      <a:srgbClr val="000000"/>
                    </a:solidFill>
                    <a:latin typeface="Genev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Charts'!$B$43:$D$43</c:f>
              <c:strCache>
                <c:ptCount val="3"/>
                <c:pt idx="0">
                  <c:v>Peer skills</c:v>
                </c:pt>
                <c:pt idx="1">
                  <c:v>School Retention</c:v>
                </c:pt>
                <c:pt idx="2">
                  <c:v>Sibling camps</c:v>
                </c:pt>
              </c:strCache>
            </c:strRef>
          </c:cat>
          <c:val>
            <c:numRef>
              <c:f>'Age Charts'!$B$44:$D$44</c:f>
              <c:numCache>
                <c:formatCode>General</c:formatCode>
                <c:ptCount val="3"/>
                <c:pt idx="0">
                  <c:v>473</c:v>
                </c:pt>
                <c:pt idx="1">
                  <c:v>0</c:v>
                </c:pt>
                <c:pt idx="2">
                  <c:v>15</c:v>
                </c:pt>
              </c:numCache>
            </c:numRef>
          </c:val>
        </c:ser>
        <c:ser>
          <c:idx val="1"/>
          <c:order val="1"/>
          <c:tx>
            <c:strRef>
              <c:f>'Age Charts'!$A$45</c:f>
              <c:strCache>
                <c:ptCount val="1"/>
                <c:pt idx="0">
                  <c:v>Secondary</c:v>
                </c:pt>
              </c:strCache>
            </c:strRef>
          </c:tx>
          <c:spPr>
            <a:solidFill>
              <a:srgbClr val="993366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75" spc="-1" strike="noStrike">
                    <a:solidFill>
                      <a:srgbClr val="000000"/>
                    </a:solidFill>
                    <a:latin typeface="Genev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Charts'!$B$43:$D$43</c:f>
              <c:strCache>
                <c:ptCount val="3"/>
                <c:pt idx="0">
                  <c:v>Peer skills</c:v>
                </c:pt>
                <c:pt idx="1">
                  <c:v>School Retention</c:v>
                </c:pt>
                <c:pt idx="2">
                  <c:v>Sibling camps</c:v>
                </c:pt>
              </c:strCache>
            </c:strRef>
          </c:cat>
          <c:val>
            <c:numRef>
              <c:f>'Age Charts'!$B$45:$D$45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4</c:v>
                </c:pt>
              </c:numCache>
            </c:numRef>
          </c:val>
        </c:ser>
        <c:gapWidth val="150"/>
        <c:overlap val="0"/>
        <c:axId val="83951124"/>
        <c:axId val="17912317"/>
      </c:barChart>
      <c:catAx>
        <c:axId val="839511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75" spc="-1" strike="noStrike">
                    <a:solidFill>
                      <a:srgbClr val="000000"/>
                    </a:solidFill>
                    <a:latin typeface="Geneva"/>
                  </a:defRPr>
                </a:pPr>
                <a:r>
                  <a:rPr b="1" sz="1075" spc="-1" strike="noStrike">
                    <a:solidFill>
                      <a:srgbClr val="000000"/>
                    </a:solidFill>
                    <a:latin typeface="Geneva"/>
                  </a:rPr>
                  <a:t>Program Type</a:t>
                </a:r>
              </a:p>
            </c:rich>
          </c:tx>
          <c:layout>
            <c:manualLayout>
              <c:xMode val="edge"/>
              <c:yMode val="edge"/>
              <c:x val="0.421601441812564"/>
              <c:y val="0.9239362575981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75" spc="-1" strike="noStrike">
                <a:solidFill>
                  <a:srgbClr val="000000"/>
                </a:solidFill>
                <a:latin typeface="Geneva"/>
              </a:defRPr>
            </a:pPr>
          </a:p>
        </c:txPr>
        <c:crossAx val="17912317"/>
        <c:crossesAt val="0"/>
        <c:auto val="1"/>
        <c:lblAlgn val="ctr"/>
        <c:lblOffset val="100"/>
        <c:noMultiLvlLbl val="0"/>
      </c:catAx>
      <c:valAx>
        <c:axId val="17912317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75" spc="-1" strike="noStrike">
                    <a:solidFill>
                      <a:srgbClr val="000000"/>
                    </a:solidFill>
                    <a:latin typeface="Geneva"/>
                  </a:defRPr>
                </a:pPr>
                <a:r>
                  <a:rPr b="1" sz="1075" spc="-1" strike="noStrike">
                    <a:solidFill>
                      <a:srgbClr val="000000"/>
                    </a:solidFill>
                    <a:latin typeface="Geneva"/>
                  </a:rPr>
                  <a:t>Number of Primary &amp; Secondary Age Children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75" spc="-1" strike="noStrike">
                <a:solidFill>
                  <a:srgbClr val="000000"/>
                </a:solidFill>
                <a:latin typeface="Geneva"/>
              </a:defRPr>
            </a:pPr>
          </a:p>
        </c:txPr>
        <c:crossAx val="83951124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507981462409887"/>
          <c:y val="0.338672580910136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75" spc="-1" strike="noStrike">
              <a:solidFill>
                <a:srgbClr val="000000"/>
              </a:solidFill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25" spc="-1" strike="noStrike">
                <a:solidFill>
                  <a:srgbClr val="000000"/>
                </a:solidFill>
                <a:latin typeface="Geneva"/>
              </a:defRPr>
            </a:pPr>
            <a:r>
              <a:rPr b="1" sz="1125" spc="-1" strike="noStrike">
                <a:solidFill>
                  <a:srgbClr val="000000"/>
                </a:solidFill>
                <a:latin typeface="Geneva"/>
              </a:rPr>
              <a:t>Cost per participant - 2001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772689318517567"/>
          <c:y val="0.0888943812819245"/>
          <c:w val="0.911619243368232"/>
          <c:h val="0.8157027516889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'Age Charts'!$A$46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850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txPr>
              <a:bodyPr wrap="none"/>
              <a:lstStyle/>
              <a:p>
                <a:pPr>
                  <a:defRPr b="0" sz="850" spc="-1" strike="noStrike">
                    <a:solidFill>
                      <a:srgbClr val="000000"/>
                    </a:solidFill>
                    <a:latin typeface="Genev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Charts'!$B$43:$D$43</c:f>
              <c:strCache>
                <c:ptCount val="3"/>
                <c:pt idx="0">
                  <c:v>Peer skills</c:v>
                </c:pt>
                <c:pt idx="1">
                  <c:v>School Retention</c:v>
                </c:pt>
                <c:pt idx="2">
                  <c:v>Sibling camps</c:v>
                </c:pt>
              </c:strCache>
            </c:strRef>
          </c:cat>
          <c:val>
            <c:numRef>
              <c:f>'Age Charts'!$B$46:$D$46</c:f>
              <c:numCache>
                <c:formatCode>General</c:formatCode>
                <c:ptCount val="3"/>
                <c:pt idx="0">
                  <c:v>24.5323762230198</c:v>
                </c:pt>
                <c:pt idx="1">
                  <c:v>0</c:v>
                </c:pt>
                <c:pt idx="2">
                  <c:v>400.12025</c:v>
                </c:pt>
              </c:numCache>
            </c:numRef>
          </c:val>
        </c:ser>
        <c:ser>
          <c:idx val="1"/>
          <c:order val="1"/>
          <c:tx>
            <c:strRef>
              <c:f>'Age Charts'!$A$47</c:f>
              <c:strCache>
                <c:ptCount val="1"/>
                <c:pt idx="0">
                  <c:v>Secondary</c:v>
                </c:pt>
              </c:strCache>
            </c:strRef>
          </c:tx>
          <c:spPr>
            <a:solidFill>
              <a:srgbClr val="993366"/>
            </a:solidFill>
            <a:ln w="12600">
              <a:solidFill>
                <a:srgbClr val="000000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993366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993366"/>
              </a:solidFill>
              <a:ln w="12600">
                <a:solidFill>
                  <a:srgbClr val="000000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850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2"/>
              <c:txPr>
                <a:bodyPr wrap="none"/>
                <a:lstStyle/>
                <a:p>
                  <a:pPr>
                    <a:defRPr b="0" sz="850" spc="-1" strike="noStrike">
                      <a:solidFill>
                        <a:srgbClr val="000000"/>
                      </a:solidFill>
                      <a:latin typeface="Geneva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txPr>
              <a:bodyPr wrap="none"/>
              <a:lstStyle/>
              <a:p>
                <a:pPr>
                  <a:defRPr b="0" sz="850" spc="-1" strike="noStrike">
                    <a:solidFill>
                      <a:srgbClr val="000000"/>
                    </a:solidFill>
                    <a:latin typeface="Genev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Charts'!$B$43:$D$43</c:f>
              <c:strCache>
                <c:ptCount val="3"/>
                <c:pt idx="0">
                  <c:v>Peer skills</c:v>
                </c:pt>
                <c:pt idx="1">
                  <c:v>School Retention</c:v>
                </c:pt>
                <c:pt idx="2">
                  <c:v>Sibling camps</c:v>
                </c:pt>
              </c:strCache>
            </c:strRef>
          </c:cat>
          <c:val>
            <c:numRef>
              <c:f>'Age Charts'!$B$47:$D$47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400.12025</c:v>
                </c:pt>
              </c:numCache>
            </c:numRef>
          </c:val>
        </c:ser>
        <c:gapWidth val="100"/>
        <c:overlap val="0"/>
        <c:axId val="64281264"/>
        <c:axId val="89768246"/>
      </c:barChart>
      <c:catAx>
        <c:axId val="64281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850" spc="-1" strike="noStrike">
                <a:solidFill>
                  <a:srgbClr val="000000"/>
                </a:solidFill>
                <a:latin typeface="Geneva"/>
              </a:defRPr>
            </a:pPr>
          </a:p>
        </c:txPr>
        <c:crossAx val="89768246"/>
        <c:crossesAt val="0"/>
        <c:auto val="1"/>
        <c:lblAlgn val="ctr"/>
        <c:lblOffset val="100"/>
        <c:noMultiLvlLbl val="0"/>
      </c:catAx>
      <c:valAx>
        <c:axId val="89768246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850" spc="-1" strike="noStrike">
                    <a:solidFill>
                      <a:srgbClr val="000000"/>
                    </a:solidFill>
                    <a:latin typeface="Geneva"/>
                  </a:defRPr>
                </a:pPr>
                <a:r>
                  <a:rPr b="1" sz="850" spc="-1" strike="noStrike">
                    <a:solidFill>
                      <a:srgbClr val="000000"/>
                    </a:solidFill>
                    <a:latin typeface="Geneva"/>
                  </a:rPr>
                  <a:t>Dollar per Participant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(\$* #,##0.00_);_(\$* \(#,##0.00\);_(\$* \-??_);_(@_)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850" spc="-1" strike="noStrike">
                <a:solidFill>
                  <a:srgbClr val="000000"/>
                </a:solidFill>
                <a:latin typeface="Geneva"/>
              </a:defRPr>
            </a:pPr>
          </a:p>
        </c:txPr>
        <c:crossAx val="64281264"/>
        <c:crossesAt val="1"/>
        <c:crossBetween val="midCat"/>
      </c:valAx>
      <c:spPr>
        <a:solidFill>
          <a:srgbClr val="ffffcc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425460851692466"/>
          <c:y val="0.21791069368924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900" spc="-1" strike="noStrike">
              <a:solidFill>
                <a:srgbClr val="000000"/>
              </a:solidFill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  <c:userShapes r:id="rId1"/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57.xml"/><Relationship Id="rId2" Type="http://schemas.openxmlformats.org/officeDocument/2006/relationships/chart" Target="../charts/chart58.xml"/><Relationship Id="rId3" Type="http://schemas.openxmlformats.org/officeDocument/2006/relationships/chart" Target="../charts/chart59.xml"/><Relationship Id="rId4" Type="http://schemas.openxmlformats.org/officeDocument/2006/relationships/chart" Target="../charts/chart60.xml"/><Relationship Id="rId5" Type="http://schemas.openxmlformats.org/officeDocument/2006/relationships/chart" Target="../charts/chart61.xml"/><Relationship Id="rId6" Type="http://schemas.openxmlformats.org/officeDocument/2006/relationships/chart" Target="../charts/chart62.xml"/><Relationship Id="rId7" Type="http://schemas.openxmlformats.org/officeDocument/2006/relationships/chart" Target="../charts/chart63.xml"/><Relationship Id="rId8" Type="http://schemas.openxmlformats.org/officeDocument/2006/relationships/chart" Target="../charts/chart64.xml"/><Relationship Id="rId9" Type="http://schemas.openxmlformats.org/officeDocument/2006/relationships/chart" Target="../charts/chart65.xml"/><Relationship Id="rId10" Type="http://schemas.openxmlformats.org/officeDocument/2006/relationships/chart" Target="../charts/chart66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67.xml"/><Relationship Id="rId2" Type="http://schemas.openxmlformats.org/officeDocument/2006/relationships/chart" Target="../charts/chart68.xml"/><Relationship Id="rId3" Type="http://schemas.openxmlformats.org/officeDocument/2006/relationships/chart" Target="../charts/chart69.xml"/><Relationship Id="rId4" Type="http://schemas.openxmlformats.org/officeDocument/2006/relationships/chart" Target="../charts/chart70.xml"/><Relationship Id="rId5" Type="http://schemas.openxmlformats.org/officeDocument/2006/relationships/chart" Target="../charts/chart7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72.xml"/><Relationship Id="rId2" Type="http://schemas.openxmlformats.org/officeDocument/2006/relationships/chart" Target="../charts/chart73.xml"/><Relationship Id="rId3" Type="http://schemas.openxmlformats.org/officeDocument/2006/relationships/chart" Target="../charts/chart74.xml"/><Relationship Id="rId4" Type="http://schemas.openxmlformats.org/officeDocument/2006/relationships/chart" Target="../charts/chart7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29</xdr:col>
      <xdr:colOff>12600</xdr:colOff>
      <xdr:row>0</xdr:row>
      <xdr:rowOff>38160</xdr:rowOff>
    </xdr:from>
    <xdr:to>
      <xdr:col>32</xdr:col>
      <xdr:colOff>633960</xdr:colOff>
      <xdr:row>25</xdr:row>
      <xdr:rowOff>127080</xdr:rowOff>
    </xdr:to>
    <xdr:graphicFrame>
      <xdr:nvGraphicFramePr>
        <xdr:cNvPr id="0" name="Chart 1"/>
        <xdr:cNvGraphicFramePr/>
      </xdr:nvGraphicFramePr>
      <xdr:xfrm>
        <a:off x="22881600" y="38160"/>
        <a:ext cx="3044520" cy="4241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43</xdr:col>
      <xdr:colOff>37080</xdr:colOff>
      <xdr:row>0</xdr:row>
      <xdr:rowOff>25200</xdr:rowOff>
    </xdr:from>
    <xdr:to>
      <xdr:col>49</xdr:col>
      <xdr:colOff>758880</xdr:colOff>
      <xdr:row>26</xdr:row>
      <xdr:rowOff>89280</xdr:rowOff>
    </xdr:to>
    <xdr:graphicFrame>
      <xdr:nvGraphicFramePr>
        <xdr:cNvPr id="1" name="Chart 2"/>
        <xdr:cNvGraphicFramePr/>
      </xdr:nvGraphicFramePr>
      <xdr:xfrm>
        <a:off x="34684560" y="25200"/>
        <a:ext cx="5568120" cy="4381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36</xdr:col>
      <xdr:colOff>25200</xdr:colOff>
      <xdr:row>0</xdr:row>
      <xdr:rowOff>25200</xdr:rowOff>
    </xdr:from>
    <xdr:to>
      <xdr:col>42</xdr:col>
      <xdr:colOff>905400</xdr:colOff>
      <xdr:row>26</xdr:row>
      <xdr:rowOff>89280</xdr:rowOff>
    </xdr:to>
    <xdr:graphicFrame>
      <xdr:nvGraphicFramePr>
        <xdr:cNvPr id="2" name="Chart 4"/>
        <xdr:cNvGraphicFramePr/>
      </xdr:nvGraphicFramePr>
      <xdr:xfrm>
        <a:off x="28886040" y="25200"/>
        <a:ext cx="5726520" cy="4381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29</xdr:col>
      <xdr:colOff>12600</xdr:colOff>
      <xdr:row>27</xdr:row>
      <xdr:rowOff>0</xdr:rowOff>
    </xdr:from>
    <xdr:to>
      <xdr:col>32</xdr:col>
      <xdr:colOff>633960</xdr:colOff>
      <xdr:row>52</xdr:row>
      <xdr:rowOff>76320</xdr:rowOff>
    </xdr:to>
    <xdr:graphicFrame>
      <xdr:nvGraphicFramePr>
        <xdr:cNvPr id="3" name="Chart 64513"/>
        <xdr:cNvGraphicFramePr/>
      </xdr:nvGraphicFramePr>
      <xdr:xfrm>
        <a:off x="22881600" y="4483080"/>
        <a:ext cx="3044520" cy="4203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50</xdr:col>
      <xdr:colOff>11880</xdr:colOff>
      <xdr:row>0</xdr:row>
      <xdr:rowOff>12960</xdr:rowOff>
    </xdr:from>
    <xdr:to>
      <xdr:col>56</xdr:col>
      <xdr:colOff>758880</xdr:colOff>
      <xdr:row>26</xdr:row>
      <xdr:rowOff>101880</xdr:rowOff>
    </xdr:to>
    <xdr:graphicFrame>
      <xdr:nvGraphicFramePr>
        <xdr:cNvPr id="4" name="Chart 64516"/>
        <xdr:cNvGraphicFramePr/>
      </xdr:nvGraphicFramePr>
      <xdr:xfrm>
        <a:off x="40313520" y="12960"/>
        <a:ext cx="5315760" cy="4406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36</xdr:col>
      <xdr:colOff>12600</xdr:colOff>
      <xdr:row>26</xdr:row>
      <xdr:rowOff>127080</xdr:rowOff>
    </xdr:from>
    <xdr:to>
      <xdr:col>42</xdr:col>
      <xdr:colOff>917280</xdr:colOff>
      <xdr:row>52</xdr:row>
      <xdr:rowOff>114120</xdr:rowOff>
    </xdr:to>
    <xdr:graphicFrame>
      <xdr:nvGraphicFramePr>
        <xdr:cNvPr id="5" name="Chart 5"/>
        <xdr:cNvGraphicFramePr/>
      </xdr:nvGraphicFramePr>
      <xdr:xfrm>
        <a:off x="28873440" y="4444920"/>
        <a:ext cx="5751000" cy="427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50</xdr:col>
      <xdr:colOff>11880</xdr:colOff>
      <xdr:row>26</xdr:row>
      <xdr:rowOff>114480</xdr:rowOff>
    </xdr:from>
    <xdr:to>
      <xdr:col>56</xdr:col>
      <xdr:colOff>783360</xdr:colOff>
      <xdr:row>52</xdr:row>
      <xdr:rowOff>140040</xdr:rowOff>
    </xdr:to>
    <xdr:graphicFrame>
      <xdr:nvGraphicFramePr>
        <xdr:cNvPr id="6" name="Chart 6"/>
        <xdr:cNvGraphicFramePr/>
      </xdr:nvGraphicFramePr>
      <xdr:xfrm>
        <a:off x="40313520" y="4432320"/>
        <a:ext cx="5340240" cy="431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43</xdr:col>
      <xdr:colOff>37080</xdr:colOff>
      <xdr:row>26</xdr:row>
      <xdr:rowOff>89280</xdr:rowOff>
    </xdr:from>
    <xdr:to>
      <xdr:col>49</xdr:col>
      <xdr:colOff>758880</xdr:colOff>
      <xdr:row>52</xdr:row>
      <xdr:rowOff>140040</xdr:rowOff>
    </xdr:to>
    <xdr:graphicFrame>
      <xdr:nvGraphicFramePr>
        <xdr:cNvPr id="7" name="Chart 7"/>
        <xdr:cNvGraphicFramePr/>
      </xdr:nvGraphicFramePr>
      <xdr:xfrm>
        <a:off x="34684560" y="4407120"/>
        <a:ext cx="5568120" cy="434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32</xdr:col>
      <xdr:colOff>658440</xdr:colOff>
      <xdr:row>27</xdr:row>
      <xdr:rowOff>0</xdr:rowOff>
    </xdr:from>
    <xdr:to>
      <xdr:col>35</xdr:col>
      <xdr:colOff>1121760</xdr:colOff>
      <xdr:row>52</xdr:row>
      <xdr:rowOff>76320</xdr:rowOff>
    </xdr:to>
    <xdr:graphicFrame>
      <xdr:nvGraphicFramePr>
        <xdr:cNvPr id="8" name="Chart 8"/>
        <xdr:cNvGraphicFramePr/>
      </xdr:nvGraphicFramePr>
      <xdr:xfrm>
        <a:off x="25950600" y="4483080"/>
        <a:ext cx="2886480" cy="4203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32</xdr:col>
      <xdr:colOff>658440</xdr:colOff>
      <xdr:row>0</xdr:row>
      <xdr:rowOff>25200</xdr:rowOff>
    </xdr:from>
    <xdr:to>
      <xdr:col>35</xdr:col>
      <xdr:colOff>1110600</xdr:colOff>
      <xdr:row>25</xdr:row>
      <xdr:rowOff>127080</xdr:rowOff>
    </xdr:to>
    <xdr:graphicFrame>
      <xdr:nvGraphicFramePr>
        <xdr:cNvPr id="9" name="Chart 9"/>
        <xdr:cNvGraphicFramePr/>
      </xdr:nvGraphicFramePr>
      <xdr:xfrm>
        <a:off x="25950600" y="25200"/>
        <a:ext cx="2875320" cy="4254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50</xdr:col>
      <xdr:colOff>60120</xdr:colOff>
      <xdr:row>51</xdr:row>
      <xdr:rowOff>63000</xdr:rowOff>
    </xdr:from>
    <xdr:to>
      <xdr:col>56</xdr:col>
      <xdr:colOff>746280</xdr:colOff>
      <xdr:row>52</xdr:row>
      <xdr:rowOff>101880</xdr:rowOff>
    </xdr:to>
    <xdr:sp>
      <xdr:nvSpPr>
        <xdr:cNvPr id="10" name="Text 10"/>
        <xdr:cNvSpPr/>
      </xdr:nvSpPr>
      <xdr:spPr>
        <a:xfrm>
          <a:off x="40361760" y="8508600"/>
          <a:ext cx="5254920" cy="2037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900" spc="-1" strike="noStrike">
              <a:latin typeface="Geneva"/>
            </a:rPr>
            <a:t>'Sibling Camps' here total cost ÷ children, 21 parents have not been included in calculation</a:t>
          </a:r>
          <a:endParaRPr b="0" lang="en-US" sz="9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21</xdr:col>
      <xdr:colOff>25200</xdr:colOff>
      <xdr:row>19</xdr:row>
      <xdr:rowOff>75960</xdr:rowOff>
    </xdr:from>
    <xdr:to>
      <xdr:col>27</xdr:col>
      <xdr:colOff>771480</xdr:colOff>
      <xdr:row>52</xdr:row>
      <xdr:rowOff>127080</xdr:rowOff>
    </xdr:to>
    <xdr:graphicFrame>
      <xdr:nvGraphicFramePr>
        <xdr:cNvPr id="11" name="Chart 64514"/>
        <xdr:cNvGraphicFramePr/>
      </xdr:nvGraphicFramePr>
      <xdr:xfrm>
        <a:off x="16806240" y="3213000"/>
        <a:ext cx="5592600" cy="5499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49680</xdr:colOff>
      <xdr:row>0</xdr:row>
      <xdr:rowOff>88920</xdr:rowOff>
    </xdr:from>
    <xdr:to>
      <xdr:col>20</xdr:col>
      <xdr:colOff>758520</xdr:colOff>
      <xdr:row>28</xdr:row>
      <xdr:rowOff>88920</xdr:rowOff>
    </xdr:to>
    <xdr:graphicFrame>
      <xdr:nvGraphicFramePr>
        <xdr:cNvPr id="12" name="Chart 64515"/>
        <xdr:cNvGraphicFramePr/>
      </xdr:nvGraphicFramePr>
      <xdr:xfrm>
        <a:off x="11176920" y="88920"/>
        <a:ext cx="5555160" cy="4622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24</xdr:col>
      <xdr:colOff>385200</xdr:colOff>
      <xdr:row>0</xdr:row>
      <xdr:rowOff>63360</xdr:rowOff>
    </xdr:from>
    <xdr:to>
      <xdr:col>27</xdr:col>
      <xdr:colOff>771480</xdr:colOff>
      <xdr:row>19</xdr:row>
      <xdr:rowOff>63000</xdr:rowOff>
    </xdr:to>
    <xdr:graphicFrame>
      <xdr:nvGraphicFramePr>
        <xdr:cNvPr id="13" name="Chart 64516"/>
        <xdr:cNvGraphicFramePr/>
      </xdr:nvGraphicFramePr>
      <xdr:xfrm>
        <a:off x="19589400" y="63360"/>
        <a:ext cx="2809440" cy="3136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37080</xdr:colOff>
      <xdr:row>28</xdr:row>
      <xdr:rowOff>101880</xdr:rowOff>
    </xdr:from>
    <xdr:to>
      <xdr:col>20</xdr:col>
      <xdr:colOff>783000</xdr:colOff>
      <xdr:row>52</xdr:row>
      <xdr:rowOff>140040</xdr:rowOff>
    </xdr:to>
    <xdr:graphicFrame>
      <xdr:nvGraphicFramePr>
        <xdr:cNvPr id="14" name="Chart 64517"/>
        <xdr:cNvGraphicFramePr/>
      </xdr:nvGraphicFramePr>
      <xdr:xfrm>
        <a:off x="11164320" y="4724640"/>
        <a:ext cx="5592240" cy="4000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21</xdr:col>
      <xdr:colOff>37080</xdr:colOff>
      <xdr:row>0</xdr:row>
      <xdr:rowOff>38160</xdr:rowOff>
    </xdr:from>
    <xdr:to>
      <xdr:col>24</xdr:col>
      <xdr:colOff>374040</xdr:colOff>
      <xdr:row>19</xdr:row>
      <xdr:rowOff>63000</xdr:rowOff>
    </xdr:to>
    <xdr:graphicFrame>
      <xdr:nvGraphicFramePr>
        <xdr:cNvPr id="15" name="Chart 64518"/>
        <xdr:cNvGraphicFramePr/>
      </xdr:nvGraphicFramePr>
      <xdr:xfrm>
        <a:off x="16818120" y="38160"/>
        <a:ext cx="2760120" cy="3161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37080</xdr:colOff>
      <xdr:row>0</xdr:row>
      <xdr:rowOff>12240</xdr:rowOff>
    </xdr:from>
    <xdr:to>
      <xdr:col>13</xdr:col>
      <xdr:colOff>771480</xdr:colOff>
      <xdr:row>24</xdr:row>
      <xdr:rowOff>165240</xdr:rowOff>
    </xdr:to>
    <xdr:graphicFrame>
      <xdr:nvGraphicFramePr>
        <xdr:cNvPr id="16" name="Chart 1"/>
        <xdr:cNvGraphicFramePr/>
      </xdr:nvGraphicFramePr>
      <xdr:xfrm>
        <a:off x="5691240" y="12240"/>
        <a:ext cx="5580720" cy="4267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25200</xdr:colOff>
      <xdr:row>0</xdr:row>
      <xdr:rowOff>24840</xdr:rowOff>
    </xdr:from>
    <xdr:to>
      <xdr:col>20</xdr:col>
      <xdr:colOff>771480</xdr:colOff>
      <xdr:row>24</xdr:row>
      <xdr:rowOff>165240</xdr:rowOff>
    </xdr:to>
    <xdr:graphicFrame>
      <xdr:nvGraphicFramePr>
        <xdr:cNvPr id="17" name="Chart 2"/>
        <xdr:cNvGraphicFramePr/>
      </xdr:nvGraphicFramePr>
      <xdr:xfrm>
        <a:off x="11333160" y="24840"/>
        <a:ext cx="5592600" cy="4255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25200</xdr:colOff>
      <xdr:row>25</xdr:row>
      <xdr:rowOff>24840</xdr:rowOff>
    </xdr:from>
    <xdr:to>
      <xdr:col>13</xdr:col>
      <xdr:colOff>771480</xdr:colOff>
      <xdr:row>49</xdr:row>
      <xdr:rowOff>140040</xdr:rowOff>
    </xdr:to>
    <xdr:graphicFrame>
      <xdr:nvGraphicFramePr>
        <xdr:cNvPr id="18" name="Chart 3"/>
        <xdr:cNvGraphicFramePr/>
      </xdr:nvGraphicFramePr>
      <xdr:xfrm>
        <a:off x="5679360" y="4304880"/>
        <a:ext cx="5592600" cy="4382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25200</xdr:colOff>
      <xdr:row>25</xdr:row>
      <xdr:rowOff>24840</xdr:rowOff>
    </xdr:from>
    <xdr:to>
      <xdr:col>20</xdr:col>
      <xdr:colOff>783360</xdr:colOff>
      <xdr:row>49</xdr:row>
      <xdr:rowOff>127080</xdr:rowOff>
    </xdr:to>
    <xdr:graphicFrame>
      <xdr:nvGraphicFramePr>
        <xdr:cNvPr id="19" name="Chart 4"/>
        <xdr:cNvGraphicFramePr/>
      </xdr:nvGraphicFramePr>
      <xdr:xfrm>
        <a:off x="11333160" y="4304880"/>
        <a:ext cx="5604480" cy="4369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0.0170210032757403</cdr:x>
      <cdr:y>0.900230680507497</cdr:y>
    </cdr:from>
    <cdr:to>
      <cdr:x>0.987732031601259</cdr:x>
      <cdr:y>0.987230186192124</cdr:y>
    </cdr:to>
    <cdr:sp>
      <cdr:nvSpPr>
        <cdr:cNvPr id="20" name="Text 1"/>
        <cdr:cNvSpPr/>
      </cdr:nvSpPr>
      <cdr:spPr>
        <a:xfrm>
          <a:off x="95400" y="3933720"/>
          <a:ext cx="5440680" cy="3801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20160" rIns="20160" tIns="20160" bIns="20160" anchor="t">
          <a:noAutofit/>
        </a:bodyPr>
        <a:p>
          <a:r>
            <a:rPr b="0" sz="850" spc="-1" strike="noStrike">
              <a:latin typeface="Geneva"/>
            </a:rPr>
            <a:t>Cost per participant has included 21 adults in calculations for 'Sibling Camps' so the unit cost is lower than for children only as shown in previous chart</a:t>
          </a:r>
          <a:endParaRPr b="0" sz="850" spc="-1" strike="noStrike">
            <a:latin typeface="Times New Roman"/>
          </a:endParaRPr>
        </a:p>
      </cdr:txBody>
    </cdr:sp>
  </cdr:relSizeAnchor>
</c:userShape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11.16015625" defaultRowHeight="13" zeroHeight="false" outlineLevelRow="0" outlineLevelCol="0"/>
  <cols>
    <col collapsed="false" customWidth="true" hidden="false" outlineLevel="0" max="1" min="1" style="0" width="13.5"/>
    <col collapsed="false" customWidth="true" hidden="false" outlineLevel="0" max="2" min="2" style="1" width="8.49"/>
    <col collapsed="false" customWidth="true" hidden="false" outlineLevel="0" max="3" min="3" style="0" width="8.83"/>
    <col collapsed="false" customWidth="true" hidden="false" outlineLevel="0" max="5" min="4" style="0" width="8.16"/>
    <col collapsed="false" customWidth="true" hidden="false" outlineLevel="0" max="6" min="6" style="0" width="7.83"/>
    <col collapsed="false" customWidth="true" hidden="false" outlineLevel="0" max="7" min="7" style="0" width="5.83"/>
    <col collapsed="false" customWidth="true" hidden="false" outlineLevel="0" max="8" min="8" style="0" width="7.33"/>
    <col collapsed="false" customWidth="true" hidden="false" outlineLevel="0" max="9" min="9" style="0" width="7.83"/>
    <col collapsed="false" customWidth="true" hidden="false" outlineLevel="0" max="10" min="10" style="0" width="7.66"/>
    <col collapsed="false" customWidth="true" hidden="false" outlineLevel="0" max="11" min="11" style="2" width="11.66"/>
    <col collapsed="false" customWidth="true" hidden="false" outlineLevel="0" max="14" min="12" style="0" width="2.83"/>
    <col collapsed="false" customWidth="true" hidden="false" outlineLevel="0" max="15" min="15" style="0" width="4.33"/>
    <col collapsed="false" customWidth="true" hidden="false" outlineLevel="0" max="17" min="16" style="0" width="2.83"/>
    <col collapsed="false" customWidth="true" hidden="false" outlineLevel="0" max="18" min="18" style="3" width="23.67"/>
  </cols>
  <sheetData>
    <row r="1" s="6" customFormat="true" ht="19" hidden="false" customHeight="false" outlineLevel="0" collapsed="false">
      <c r="A1" s="4" t="s">
        <v>0</v>
      </c>
      <c r="B1" s="5"/>
      <c r="K1" s="7"/>
      <c r="R1" s="8"/>
    </row>
    <row r="3" customFormat="false" ht="16" hidden="false" customHeight="false" outlineLevel="0" collapsed="false">
      <c r="B3" s="9" t="s">
        <v>1</v>
      </c>
      <c r="C3" s="10"/>
    </row>
    <row r="4" s="16" customFormat="true" ht="64" hidden="false" customHeight="true" outlineLevel="0" collapsed="false">
      <c r="A4" s="11" t="s">
        <v>2</v>
      </c>
      <c r="B4" s="12" t="s">
        <v>3</v>
      </c>
      <c r="C4" s="12" t="s">
        <v>4</v>
      </c>
      <c r="D4" s="13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4" t="s">
        <v>12</v>
      </c>
      <c r="L4" s="15" t="s">
        <v>13</v>
      </c>
      <c r="M4" s="15" t="s">
        <v>14</v>
      </c>
      <c r="N4" s="15" t="s">
        <v>15</v>
      </c>
      <c r="O4" s="15" t="s">
        <v>16</v>
      </c>
      <c r="P4" s="15" t="s">
        <v>17</v>
      </c>
      <c r="Q4" s="15" t="s">
        <v>18</v>
      </c>
    </row>
    <row r="5" customFormat="false" ht="25" hidden="false" customHeight="false" outlineLevel="0" collapsed="false">
      <c r="A5" s="17" t="s">
        <v>19</v>
      </c>
      <c r="B5" s="18" t="s">
        <v>20</v>
      </c>
      <c r="C5" s="18" t="s">
        <v>21</v>
      </c>
      <c r="D5" s="19" t="n">
        <v>141</v>
      </c>
      <c r="E5" s="19" t="n">
        <v>200</v>
      </c>
      <c r="F5" s="19" t="n">
        <v>2</v>
      </c>
      <c r="G5" s="19" t="n">
        <v>2</v>
      </c>
      <c r="H5" s="19" t="n">
        <v>22</v>
      </c>
      <c r="I5" s="20" t="n">
        <f aca="false">J6</f>
        <v>290.028571428571</v>
      </c>
      <c r="J5" s="20" t="n">
        <f aca="false">K5/(D5+E5)</f>
        <v>10.2639296187683</v>
      </c>
      <c r="K5" s="21" t="n">
        <v>3500</v>
      </c>
      <c r="L5" s="19"/>
      <c r="M5" s="19" t="s">
        <v>22</v>
      </c>
      <c r="N5" s="19" t="s">
        <v>22</v>
      </c>
      <c r="O5" s="19"/>
      <c r="P5" s="19" t="s">
        <v>22</v>
      </c>
      <c r="Q5" s="19"/>
      <c r="R5" s="3" t="s">
        <v>23</v>
      </c>
    </row>
    <row r="6" customFormat="false" ht="25" hidden="false" customHeight="false" outlineLevel="0" collapsed="false">
      <c r="A6" s="17" t="s">
        <v>24</v>
      </c>
      <c r="B6" s="18" t="s">
        <v>25</v>
      </c>
      <c r="C6" s="18" t="s">
        <v>26</v>
      </c>
      <c r="D6" s="19" t="n">
        <v>7</v>
      </c>
      <c r="E6" s="19" t="n">
        <v>0</v>
      </c>
      <c r="F6" s="19" t="n">
        <v>1</v>
      </c>
      <c r="G6" s="19" t="n">
        <v>2</v>
      </c>
      <c r="H6" s="19" t="n">
        <f aca="false">1.5*11</f>
        <v>16.5</v>
      </c>
      <c r="I6" s="20" t="n">
        <f aca="false">J6</f>
        <v>290.028571428571</v>
      </c>
      <c r="J6" s="20" t="n">
        <f aca="false">K6/(D6+E6)</f>
        <v>290.028571428571</v>
      </c>
      <c r="K6" s="21" t="n">
        <v>2030.2</v>
      </c>
      <c r="L6" s="19" t="s">
        <v>27</v>
      </c>
      <c r="M6" s="19" t="s">
        <v>22</v>
      </c>
      <c r="N6" s="19"/>
      <c r="O6" s="19"/>
      <c r="P6" s="19"/>
      <c r="Q6" s="19"/>
    </row>
    <row r="7" customFormat="false" ht="25" hidden="false" customHeight="false" outlineLevel="0" collapsed="false">
      <c r="A7" s="17" t="s">
        <v>28</v>
      </c>
      <c r="B7" s="18" t="s">
        <v>29</v>
      </c>
      <c r="C7" s="18" t="s">
        <v>30</v>
      </c>
      <c r="D7" s="19" t="n">
        <v>4</v>
      </c>
      <c r="E7" s="19" t="n">
        <v>0</v>
      </c>
      <c r="F7" s="19" t="n">
        <v>3</v>
      </c>
      <c r="G7" s="19" t="n">
        <v>1</v>
      </c>
      <c r="H7" s="19" t="n">
        <v>100</v>
      </c>
      <c r="I7" s="20" t="n">
        <f aca="false">J7</f>
        <v>875</v>
      </c>
      <c r="J7" s="20" t="n">
        <f aca="false">K7/(D7+E7)</f>
        <v>875</v>
      </c>
      <c r="K7" s="21" t="n">
        <v>3500</v>
      </c>
      <c r="L7" s="19" t="s">
        <v>31</v>
      </c>
      <c r="M7" s="19" t="s">
        <v>22</v>
      </c>
      <c r="N7" s="19"/>
      <c r="O7" s="19" t="s">
        <v>22</v>
      </c>
      <c r="P7" s="19" t="s">
        <v>22</v>
      </c>
      <c r="Q7" s="19" t="s">
        <v>22</v>
      </c>
    </row>
    <row r="8" customFormat="false" ht="25" hidden="false" customHeight="false" outlineLevel="0" collapsed="false">
      <c r="A8" s="17" t="s">
        <v>32</v>
      </c>
      <c r="B8" s="18" t="s">
        <v>33</v>
      </c>
      <c r="C8" s="18" t="s">
        <v>34</v>
      </c>
      <c r="D8" s="19" t="n">
        <v>148</v>
      </c>
      <c r="E8" s="19" t="n">
        <v>0</v>
      </c>
      <c r="F8" s="19" t="n">
        <v>4</v>
      </c>
      <c r="G8" s="19" t="n">
        <v>2</v>
      </c>
      <c r="H8" s="19" t="n">
        <f aca="false">(14*6)+(4*6)</f>
        <v>108</v>
      </c>
      <c r="I8" s="20" t="n">
        <f aca="false">J8</f>
        <v>26.2162162162162</v>
      </c>
      <c r="J8" s="20" t="n">
        <f aca="false">K8/(D8+E8)</f>
        <v>26.2162162162162</v>
      </c>
      <c r="K8" s="21" t="n">
        <v>3880</v>
      </c>
      <c r="L8" s="19" t="s">
        <v>22</v>
      </c>
      <c r="M8" s="19" t="s">
        <v>22</v>
      </c>
      <c r="N8" s="19"/>
      <c r="O8" s="19"/>
      <c r="P8" s="19"/>
      <c r="Q8" s="19"/>
      <c r="R8" s="3" t="s">
        <v>35</v>
      </c>
    </row>
    <row r="9" customFormat="false" ht="13" hidden="false" customHeight="false" outlineLevel="0" collapsed="false">
      <c r="A9" s="17" t="s">
        <v>36</v>
      </c>
      <c r="B9" s="18" t="s">
        <v>37</v>
      </c>
      <c r="C9" s="18" t="s">
        <v>38</v>
      </c>
      <c r="D9" s="19" t="n">
        <v>19</v>
      </c>
      <c r="E9" s="19" t="n">
        <v>0</v>
      </c>
      <c r="F9" s="19" t="n">
        <v>1</v>
      </c>
      <c r="G9" s="19" t="n">
        <v>1</v>
      </c>
      <c r="H9" s="19" t="n">
        <f aca="false">3*14</f>
        <v>42</v>
      </c>
      <c r="I9" s="20" t="n">
        <f aca="false">J9</f>
        <v>180.286315789474</v>
      </c>
      <c r="J9" s="20" t="n">
        <f aca="false">K9/(D9+E9)</f>
        <v>180.286315789474</v>
      </c>
      <c r="K9" s="21" t="n">
        <v>3425.44</v>
      </c>
      <c r="L9" s="19" t="s">
        <v>31</v>
      </c>
      <c r="M9" s="19" t="s">
        <v>22</v>
      </c>
      <c r="N9" s="19" t="s">
        <v>22</v>
      </c>
      <c r="O9" s="19"/>
      <c r="P9" s="19"/>
      <c r="Q9" s="19"/>
    </row>
    <row r="10" customFormat="false" ht="25" hidden="false" customHeight="false" outlineLevel="0" collapsed="false">
      <c r="A10" s="17" t="s">
        <v>39</v>
      </c>
      <c r="B10" s="18" t="s">
        <v>40</v>
      </c>
      <c r="C10" s="18" t="s">
        <v>41</v>
      </c>
      <c r="D10" s="19" t="n">
        <v>66</v>
      </c>
      <c r="E10" s="19" t="n">
        <v>0</v>
      </c>
      <c r="F10" s="19" t="n">
        <v>1</v>
      </c>
      <c r="G10" s="19" t="n">
        <v>1</v>
      </c>
      <c r="H10" s="19" t="n">
        <f aca="false">(1*5)+(4*3)</f>
        <v>17</v>
      </c>
      <c r="I10" s="20" t="n">
        <f aca="false">J10</f>
        <v>45.4545454545455</v>
      </c>
      <c r="J10" s="20" t="n">
        <f aca="false">K10/(D10+E10)</f>
        <v>45.4545454545455</v>
      </c>
      <c r="K10" s="21" t="n">
        <v>3000</v>
      </c>
      <c r="L10" s="19" t="s">
        <v>22</v>
      </c>
      <c r="M10" s="19" t="s">
        <v>22</v>
      </c>
      <c r="N10" s="19"/>
      <c r="O10" s="19"/>
      <c r="P10" s="19"/>
      <c r="Q10" s="19"/>
      <c r="R10" s="3" t="s">
        <v>42</v>
      </c>
    </row>
    <row r="11" customFormat="false" ht="25" hidden="false" customHeight="false" outlineLevel="0" collapsed="false">
      <c r="A11" s="17" t="s">
        <v>43</v>
      </c>
      <c r="B11" s="18" t="s">
        <v>44</v>
      </c>
      <c r="C11" s="18" t="s">
        <v>45</v>
      </c>
      <c r="D11" s="19" t="n">
        <v>38</v>
      </c>
      <c r="E11" s="19" t="n">
        <v>0</v>
      </c>
      <c r="F11" s="19" t="n">
        <v>2</v>
      </c>
      <c r="G11" s="19" t="n">
        <v>6</v>
      </c>
      <c r="H11" s="19" t="n">
        <v>6</v>
      </c>
      <c r="I11" s="20" t="n">
        <f aca="false">J11</f>
        <v>92.1052631578947</v>
      </c>
      <c r="J11" s="20" t="n">
        <f aca="false">K11/(D11+E11)</f>
        <v>92.1052631578947</v>
      </c>
      <c r="K11" s="21" t="n">
        <v>3500</v>
      </c>
      <c r="L11" s="19" t="s">
        <v>22</v>
      </c>
      <c r="M11" s="19" t="s">
        <v>22</v>
      </c>
      <c r="N11" s="19" t="s">
        <v>22</v>
      </c>
      <c r="O11" s="19" t="s">
        <v>22</v>
      </c>
      <c r="P11" s="19"/>
      <c r="Q11" s="19"/>
      <c r="R11" s="3" t="s">
        <v>46</v>
      </c>
    </row>
    <row r="12" customFormat="false" ht="25" hidden="false" customHeight="false" outlineLevel="0" collapsed="false">
      <c r="A12" s="17" t="s">
        <v>47</v>
      </c>
      <c r="B12" s="18" t="s">
        <v>48</v>
      </c>
      <c r="C12" s="18" t="s">
        <v>38</v>
      </c>
      <c r="D12" s="19" t="n">
        <v>60</v>
      </c>
      <c r="E12" s="19" t="n">
        <v>0</v>
      </c>
      <c r="F12" s="19" t="n">
        <v>3</v>
      </c>
      <c r="G12" s="19" t="n">
        <v>3</v>
      </c>
      <c r="H12" s="19" t="n">
        <v>6</v>
      </c>
      <c r="I12" s="20" t="n">
        <f aca="false">J12</f>
        <v>27.5</v>
      </c>
      <c r="J12" s="20" t="n">
        <f aca="false">K12/(D12+E12)</f>
        <v>27.5</v>
      </c>
      <c r="K12" s="21" t="n">
        <v>1650</v>
      </c>
      <c r="L12" s="19" t="s">
        <v>22</v>
      </c>
      <c r="M12" s="19" t="s">
        <v>22</v>
      </c>
      <c r="N12" s="19"/>
      <c r="O12" s="19"/>
      <c r="P12" s="19"/>
      <c r="Q12" s="19"/>
    </row>
    <row r="13" customFormat="false" ht="25" hidden="false" customHeight="false" outlineLevel="0" collapsed="false">
      <c r="A13" s="17" t="s">
        <v>49</v>
      </c>
      <c r="B13" s="18" t="s">
        <v>50</v>
      </c>
      <c r="C13" s="18" t="s">
        <v>51</v>
      </c>
      <c r="D13" s="19" t="n">
        <v>92</v>
      </c>
      <c r="E13" s="19" t="n">
        <v>0</v>
      </c>
      <c r="F13" s="19" t="n">
        <v>1</v>
      </c>
      <c r="G13" s="19" t="n">
        <v>2</v>
      </c>
      <c r="H13" s="19" t="n">
        <f aca="false">3*(1*5)+(5*6)</f>
        <v>45</v>
      </c>
      <c r="I13" s="20" t="n">
        <f aca="false">J13</f>
        <v>32.6086956521739</v>
      </c>
      <c r="J13" s="20" t="n">
        <f aca="false">K13/(D13+E13)</f>
        <v>32.6086956521739</v>
      </c>
      <c r="K13" s="21" t="n">
        <v>3000</v>
      </c>
      <c r="L13" s="19"/>
      <c r="M13" s="19" t="s">
        <v>22</v>
      </c>
      <c r="N13" s="19"/>
      <c r="O13" s="19"/>
      <c r="P13" s="19"/>
      <c r="Q13" s="19"/>
      <c r="R13" s="3" t="s">
        <v>52</v>
      </c>
    </row>
    <row r="14" customFormat="false" ht="25" hidden="false" customHeight="false" outlineLevel="0" collapsed="false">
      <c r="A14" s="17" t="s">
        <v>53</v>
      </c>
      <c r="B14" s="18" t="s">
        <v>29</v>
      </c>
      <c r="C14" s="18" t="s">
        <v>54</v>
      </c>
      <c r="D14" s="19" t="n">
        <v>30</v>
      </c>
      <c r="E14" s="19" t="n">
        <v>11</v>
      </c>
      <c r="F14" s="19" t="n">
        <v>1</v>
      </c>
      <c r="G14" s="19" t="n">
        <v>4</v>
      </c>
      <c r="H14" s="19" t="n">
        <v>10</v>
      </c>
      <c r="I14" s="20" t="n">
        <f aca="false">J14</f>
        <v>85.3658536585366</v>
      </c>
      <c r="J14" s="20" t="n">
        <f aca="false">K14/(D14+E14)</f>
        <v>85.3658536585366</v>
      </c>
      <c r="K14" s="21" t="n">
        <v>3500</v>
      </c>
      <c r="L14" s="19" t="s">
        <v>22</v>
      </c>
      <c r="M14" s="19" t="s">
        <v>22</v>
      </c>
      <c r="N14" s="19"/>
      <c r="O14" s="19"/>
      <c r="P14" s="19" t="s">
        <v>22</v>
      </c>
      <c r="Q14" s="19"/>
    </row>
    <row r="15" customFormat="false" ht="25" hidden="false" customHeight="false" outlineLevel="0" collapsed="false">
      <c r="A15" s="17" t="s">
        <v>55</v>
      </c>
      <c r="B15" s="18" t="s">
        <v>56</v>
      </c>
      <c r="C15" s="18" t="s">
        <v>57</v>
      </c>
      <c r="D15" s="19" t="n">
        <v>56</v>
      </c>
      <c r="E15" s="19" t="n">
        <v>54</v>
      </c>
      <c r="F15" s="19" t="n">
        <v>1</v>
      </c>
      <c r="G15" s="19" t="n">
        <v>2</v>
      </c>
      <c r="H15" s="19"/>
      <c r="I15" s="20" t="n">
        <f aca="false">J15</f>
        <v>18.5</v>
      </c>
      <c r="J15" s="20" t="n">
        <f aca="false">K15/(D15+E15)</f>
        <v>18.5</v>
      </c>
      <c r="K15" s="21" t="n">
        <v>2035</v>
      </c>
      <c r="L15" s="19" t="s">
        <v>22</v>
      </c>
      <c r="M15" s="19" t="s">
        <v>22</v>
      </c>
      <c r="N15" s="19" t="s">
        <v>22</v>
      </c>
      <c r="O15" s="19"/>
      <c r="P15" s="19"/>
      <c r="Q15" s="19"/>
      <c r="R15" s="3" t="s">
        <v>58</v>
      </c>
    </row>
    <row r="16" customFormat="false" ht="25" hidden="false" customHeight="false" outlineLevel="0" collapsed="false">
      <c r="A16" s="17" t="s">
        <v>47</v>
      </c>
      <c r="B16" s="18" t="s">
        <v>48</v>
      </c>
      <c r="C16" s="18" t="s">
        <v>59</v>
      </c>
      <c r="D16" s="19" t="n">
        <v>32</v>
      </c>
      <c r="E16" s="19" t="n">
        <v>0</v>
      </c>
      <c r="F16" s="19" t="n">
        <v>1</v>
      </c>
      <c r="G16" s="19" t="n">
        <v>3</v>
      </c>
      <c r="H16" s="19" t="n">
        <v>6</v>
      </c>
      <c r="I16" s="20" t="n">
        <f aca="false">J16</f>
        <v>31.03125</v>
      </c>
      <c r="J16" s="20" t="n">
        <f aca="false">K16/(D16+E16)</f>
        <v>31.03125</v>
      </c>
      <c r="K16" s="21" t="n">
        <v>993</v>
      </c>
      <c r="L16" s="19" t="s">
        <v>22</v>
      </c>
      <c r="M16" s="19" t="s">
        <v>22</v>
      </c>
      <c r="N16" s="19"/>
      <c r="O16" s="19"/>
      <c r="P16" s="19"/>
      <c r="Q16" s="19"/>
    </row>
    <row r="17" customFormat="false" ht="25" hidden="false" customHeight="false" outlineLevel="0" collapsed="false">
      <c r="A17" s="17" t="s">
        <v>60</v>
      </c>
      <c r="B17" s="18" t="s">
        <v>29</v>
      </c>
      <c r="C17" s="18" t="s">
        <v>61</v>
      </c>
      <c r="D17" s="19" t="n">
        <v>691</v>
      </c>
      <c r="E17" s="19" t="n">
        <v>0</v>
      </c>
      <c r="F17" s="19" t="n">
        <v>1</v>
      </c>
      <c r="G17" s="19" t="n">
        <v>1</v>
      </c>
      <c r="H17" s="19" t="n">
        <f aca="false">2*(2*16)</f>
        <v>64</v>
      </c>
      <c r="I17" s="20" t="n">
        <f aca="false">J17</f>
        <v>2.19971056439942</v>
      </c>
      <c r="J17" s="20" t="n">
        <f aca="false">K17/(D17+E17)</f>
        <v>2.19971056439942</v>
      </c>
      <c r="K17" s="21" t="n">
        <v>1520</v>
      </c>
      <c r="L17" s="19" t="s">
        <v>22</v>
      </c>
      <c r="M17" s="19"/>
      <c r="N17" s="19"/>
      <c r="O17" s="19"/>
      <c r="P17" s="19"/>
      <c r="Q17" s="19" t="s">
        <v>22</v>
      </c>
      <c r="R17" s="3" t="s">
        <v>62</v>
      </c>
    </row>
    <row r="18" customFormat="false" ht="13" hidden="false" customHeight="false" outlineLevel="0" collapsed="false">
      <c r="A18" s="17" t="s">
        <v>63</v>
      </c>
      <c r="B18" s="18" t="s">
        <v>20</v>
      </c>
      <c r="C18" s="18" t="s">
        <v>41</v>
      </c>
      <c r="D18" s="19" t="n">
        <v>89</v>
      </c>
      <c r="E18" s="19" t="n">
        <v>0</v>
      </c>
      <c r="F18" s="19" t="n">
        <v>1</v>
      </c>
      <c r="G18" s="19" t="n">
        <v>1</v>
      </c>
      <c r="H18" s="19" t="n">
        <f aca="false">3*(1*5)</f>
        <v>15</v>
      </c>
      <c r="I18" s="20" t="n">
        <f aca="false">J18</f>
        <v>16.8539325842697</v>
      </c>
      <c r="J18" s="20" t="n">
        <f aca="false">K18/(D18+E18)</f>
        <v>16.8539325842697</v>
      </c>
      <c r="K18" s="21" t="n">
        <v>1500</v>
      </c>
      <c r="L18" s="19" t="s">
        <v>22</v>
      </c>
      <c r="M18" s="19" t="s">
        <v>22</v>
      </c>
      <c r="N18" s="19"/>
      <c r="O18" s="19"/>
      <c r="P18" s="19"/>
      <c r="Q18" s="19"/>
    </row>
    <row r="19" customFormat="false" ht="25" hidden="false" customHeight="false" outlineLevel="0" collapsed="false">
      <c r="A19" s="17" t="s">
        <v>64</v>
      </c>
      <c r="B19" s="18" t="s">
        <v>56</v>
      </c>
      <c r="C19" s="18" t="s">
        <v>41</v>
      </c>
      <c r="D19" s="19" t="n">
        <v>67</v>
      </c>
      <c r="E19" s="19" t="n">
        <v>0</v>
      </c>
      <c r="F19" s="19" t="n">
        <v>1</v>
      </c>
      <c r="G19" s="19" t="n">
        <v>1</v>
      </c>
      <c r="H19" s="19" t="n">
        <f aca="false">3*(45/60*6)</f>
        <v>13.5</v>
      </c>
      <c r="I19" s="20" t="n">
        <f aca="false">J19</f>
        <v>20.1492537313433</v>
      </c>
      <c r="J19" s="20" t="n">
        <f aca="false">K19/(D19+E19)</f>
        <v>20.1492537313433</v>
      </c>
      <c r="K19" s="21" t="n">
        <v>1350</v>
      </c>
      <c r="L19" s="19" t="s">
        <v>22</v>
      </c>
      <c r="M19" s="19" t="s">
        <v>22</v>
      </c>
      <c r="N19" s="19"/>
      <c r="O19" s="19"/>
      <c r="P19" s="19"/>
      <c r="Q19" s="19"/>
    </row>
    <row r="20" customFormat="false" ht="25" hidden="false" customHeight="false" outlineLevel="0" collapsed="false">
      <c r="A20" s="17" t="s">
        <v>65</v>
      </c>
      <c r="B20" s="18" t="s">
        <v>29</v>
      </c>
      <c r="C20" s="18" t="s">
        <v>30</v>
      </c>
      <c r="D20" s="19" t="n">
        <v>14</v>
      </c>
      <c r="E20" s="19"/>
      <c r="F20" s="19"/>
      <c r="G20" s="19"/>
      <c r="H20" s="19" t="n">
        <v>30</v>
      </c>
      <c r="I20" s="20" t="n">
        <f aca="false">J20</f>
        <v>71.4285714285714</v>
      </c>
      <c r="J20" s="20" t="n">
        <f aca="false">K20/(D20+E20)</f>
        <v>71.4285714285714</v>
      </c>
      <c r="K20" s="21" t="n">
        <v>1000</v>
      </c>
      <c r="L20" s="19"/>
      <c r="M20" s="19"/>
      <c r="N20" s="19"/>
      <c r="O20" s="19"/>
      <c r="P20" s="19"/>
      <c r="Q20" s="19" t="s">
        <v>22</v>
      </c>
    </row>
    <row r="21" customFormat="false" ht="13" hidden="false" customHeight="false" outlineLevel="0" collapsed="false">
      <c r="A21" s="17"/>
      <c r="B21" s="18"/>
      <c r="C21" s="18"/>
      <c r="D21" s="19"/>
      <c r="E21" s="19"/>
      <c r="F21" s="19"/>
      <c r="G21" s="19"/>
      <c r="H21" s="19"/>
      <c r="I21" s="22"/>
      <c r="J21" s="22"/>
      <c r="K21" s="21"/>
      <c r="L21" s="19"/>
      <c r="M21" s="19"/>
      <c r="N21" s="19"/>
      <c r="O21" s="19"/>
      <c r="P21" s="19"/>
      <c r="Q21" s="19"/>
    </row>
    <row r="22" s="10" customFormat="true" ht="13" hidden="false" customHeight="false" outlineLevel="0" collapsed="false">
      <c r="A22" s="11" t="s">
        <v>66</v>
      </c>
      <c r="B22" s="12"/>
      <c r="C22" s="12"/>
      <c r="D22" s="23" t="n">
        <f aca="false">SUM(D5:D19)</f>
        <v>1540</v>
      </c>
      <c r="E22" s="23" t="n">
        <f aca="false">SUM(E5:E15)</f>
        <v>265</v>
      </c>
      <c r="F22" s="23" t="n">
        <f aca="false">SUM(F5:F19)</f>
        <v>24</v>
      </c>
      <c r="G22" s="23" t="n">
        <f aca="false">SUM(G5:G19)</f>
        <v>32</v>
      </c>
      <c r="H22" s="23" t="n">
        <f aca="false">SUM(H5:H20)</f>
        <v>501</v>
      </c>
      <c r="I22" s="24"/>
      <c r="J22" s="24"/>
      <c r="K22" s="25" t="n">
        <f aca="false">SUM(K5:K20)</f>
        <v>39383.64</v>
      </c>
      <c r="R22" s="16"/>
    </row>
    <row r="23" customFormat="false" ht="13" hidden="false" customHeight="false" outlineLevel="0" collapsed="false">
      <c r="A23" s="3"/>
      <c r="B23" s="26"/>
      <c r="C23" s="26"/>
    </row>
    <row r="24" customFormat="false" ht="16" hidden="false" customHeight="false" outlineLevel="0" collapsed="false">
      <c r="A24" s="3"/>
      <c r="B24" s="9" t="s">
        <v>67</v>
      </c>
      <c r="C24" s="27"/>
    </row>
    <row r="25" s="16" customFormat="true" ht="63" hidden="false" customHeight="true" outlineLevel="0" collapsed="false">
      <c r="A25" s="11" t="s">
        <v>2</v>
      </c>
      <c r="B25" s="12" t="s">
        <v>3</v>
      </c>
      <c r="C25" s="12" t="s">
        <v>68</v>
      </c>
      <c r="D25" s="11" t="s">
        <v>5</v>
      </c>
      <c r="E25" s="11" t="s">
        <v>6</v>
      </c>
      <c r="F25" s="11" t="s">
        <v>7</v>
      </c>
      <c r="G25" s="11" t="s">
        <v>8</v>
      </c>
      <c r="H25" s="11" t="s">
        <v>9</v>
      </c>
      <c r="I25" s="11" t="s">
        <v>10</v>
      </c>
      <c r="J25" s="11" t="s">
        <v>11</v>
      </c>
      <c r="K25" s="14" t="s">
        <v>12</v>
      </c>
      <c r="L25" s="15" t="s">
        <v>13</v>
      </c>
      <c r="M25" s="15" t="s">
        <v>14</v>
      </c>
      <c r="N25" s="15" t="s">
        <v>15</v>
      </c>
      <c r="O25" s="15" t="s">
        <v>16</v>
      </c>
      <c r="P25" s="15" t="s">
        <v>17</v>
      </c>
      <c r="Q25" s="15" t="s">
        <v>18</v>
      </c>
    </row>
    <row r="26" customFormat="false" ht="13" hidden="false" customHeight="false" outlineLevel="0" collapsed="false">
      <c r="A26" s="17" t="s">
        <v>69</v>
      </c>
      <c r="B26" s="18" t="s">
        <v>70</v>
      </c>
      <c r="C26" s="18" t="s">
        <v>51</v>
      </c>
      <c r="D26" s="19" t="n">
        <v>42</v>
      </c>
      <c r="E26" s="19"/>
      <c r="F26" s="19" t="n">
        <v>1</v>
      </c>
      <c r="G26" s="19" t="n">
        <v>2</v>
      </c>
      <c r="H26" s="19" t="n">
        <v>10</v>
      </c>
      <c r="I26" s="20" t="n">
        <f aca="false">K26/D26</f>
        <v>35.7142857142857</v>
      </c>
      <c r="J26" s="20" t="n">
        <f aca="false">K26/(D26+E26)</f>
        <v>35.7142857142857</v>
      </c>
      <c r="K26" s="21" t="n">
        <v>1500</v>
      </c>
      <c r="L26" s="19"/>
      <c r="M26" s="19" t="s">
        <v>22</v>
      </c>
      <c r="N26" s="19"/>
      <c r="O26" s="19"/>
      <c r="P26" s="19" t="s">
        <v>22</v>
      </c>
      <c r="Q26" s="19"/>
      <c r="R26" s="3" t="s">
        <v>71</v>
      </c>
    </row>
    <row r="27" customFormat="false" ht="13" hidden="false" customHeight="false" outlineLevel="0" collapsed="false">
      <c r="A27" s="17" t="s">
        <v>72</v>
      </c>
      <c r="B27" s="18" t="s">
        <v>70</v>
      </c>
      <c r="C27" s="18" t="s">
        <v>41</v>
      </c>
      <c r="D27" s="19" t="n">
        <v>90</v>
      </c>
      <c r="E27" s="19" t="n">
        <v>0</v>
      </c>
      <c r="F27" s="19" t="n">
        <v>1</v>
      </c>
      <c r="G27" s="19" t="n">
        <v>1</v>
      </c>
      <c r="H27" s="19" t="n">
        <f aca="false">(3*40/60)*5</f>
        <v>10</v>
      </c>
      <c r="I27" s="20" t="n">
        <f aca="false">K27/D27</f>
        <v>16.6666666666667</v>
      </c>
      <c r="J27" s="20" t="n">
        <f aca="false">K27/(D27+E27)</f>
        <v>16.6666666666667</v>
      </c>
      <c r="K27" s="21" t="n">
        <v>1500</v>
      </c>
      <c r="L27" s="19" t="s">
        <v>31</v>
      </c>
      <c r="M27" s="19" t="s">
        <v>22</v>
      </c>
      <c r="N27" s="19"/>
      <c r="O27" s="19"/>
      <c r="P27" s="19"/>
      <c r="Q27" s="19"/>
      <c r="R27" s="3" t="s">
        <v>73</v>
      </c>
    </row>
    <row r="28" customFormat="false" ht="25" hidden="false" customHeight="false" outlineLevel="0" collapsed="false">
      <c r="A28" s="17" t="s">
        <v>74</v>
      </c>
      <c r="B28" s="18" t="s">
        <v>70</v>
      </c>
      <c r="C28" s="18" t="s">
        <v>41</v>
      </c>
      <c r="D28" s="19" t="n">
        <v>30</v>
      </c>
      <c r="E28" s="19" t="n">
        <v>0</v>
      </c>
      <c r="F28" s="19" t="n">
        <v>1</v>
      </c>
      <c r="G28" s="19" t="n">
        <v>1</v>
      </c>
      <c r="H28" s="19" t="n">
        <f aca="false">(3*4)</f>
        <v>12</v>
      </c>
      <c r="I28" s="20" t="n">
        <f aca="false">K28/D28</f>
        <v>47.6666666666667</v>
      </c>
      <c r="J28" s="20" t="n">
        <f aca="false">K28/(D28+E28)</f>
        <v>47.6666666666667</v>
      </c>
      <c r="K28" s="21" t="n">
        <v>1430</v>
      </c>
      <c r="L28" s="19" t="s">
        <v>22</v>
      </c>
      <c r="M28" s="19" t="s">
        <v>22</v>
      </c>
      <c r="N28" s="19"/>
      <c r="O28" s="19"/>
      <c r="P28" s="19"/>
      <c r="Q28" s="19"/>
      <c r="R28" s="3" t="s">
        <v>75</v>
      </c>
    </row>
    <row r="29" customFormat="false" ht="13" hidden="false" customHeight="false" outlineLevel="0" collapsed="false">
      <c r="A29" s="17" t="s">
        <v>76</v>
      </c>
      <c r="B29" s="18" t="s">
        <v>77</v>
      </c>
      <c r="C29" s="18" t="s">
        <v>78</v>
      </c>
      <c r="D29" s="19" t="n">
        <v>102</v>
      </c>
      <c r="E29" s="19" t="n">
        <v>70</v>
      </c>
      <c r="F29" s="19" t="n">
        <v>1</v>
      </c>
      <c r="G29" s="19" t="n">
        <v>1</v>
      </c>
      <c r="H29" s="19" t="n">
        <f aca="false">(4*2)</f>
        <v>8</v>
      </c>
      <c r="I29" s="20" t="n">
        <f aca="false">J29</f>
        <v>3.48837209302326</v>
      </c>
      <c r="J29" s="20" t="n">
        <f aca="false">K29/(D29+E29)</f>
        <v>3.48837209302326</v>
      </c>
      <c r="K29" s="21" t="n">
        <v>600</v>
      </c>
      <c r="L29" s="19" t="s">
        <v>22</v>
      </c>
      <c r="M29" s="19" t="s">
        <v>22</v>
      </c>
      <c r="N29" s="19"/>
      <c r="O29" s="19"/>
      <c r="P29" s="19"/>
      <c r="Q29" s="19"/>
    </row>
    <row r="30" customFormat="false" ht="25" hidden="false" customHeight="false" outlineLevel="0" collapsed="false">
      <c r="A30" s="17" t="s">
        <v>79</v>
      </c>
      <c r="B30" s="18"/>
      <c r="C30" s="18" t="s">
        <v>30</v>
      </c>
      <c r="D30" s="19" t="n">
        <v>0</v>
      </c>
      <c r="E30" s="19"/>
      <c r="F30" s="19" t="n">
        <v>8</v>
      </c>
      <c r="G30" s="19" t="n">
        <v>3</v>
      </c>
      <c r="H30" s="19" t="n">
        <f aca="false">(2.5*16)</f>
        <v>40</v>
      </c>
      <c r="I30" s="22" t="s">
        <v>80</v>
      </c>
      <c r="J30" s="22" t="s">
        <v>80</v>
      </c>
      <c r="K30" s="21" t="n">
        <v>1500</v>
      </c>
      <c r="L30" s="19"/>
      <c r="M30" s="19" t="s">
        <v>22</v>
      </c>
      <c r="N30" s="19"/>
      <c r="O30" s="19"/>
      <c r="P30" s="19"/>
      <c r="Q30" s="19" t="s">
        <v>22</v>
      </c>
    </row>
    <row r="31" customFormat="false" ht="25" hidden="false" customHeight="false" outlineLevel="0" collapsed="false">
      <c r="A31" s="17" t="s">
        <v>81</v>
      </c>
      <c r="B31" s="18" t="s">
        <v>82</v>
      </c>
      <c r="C31" s="18"/>
      <c r="D31" s="19" t="n">
        <v>19</v>
      </c>
      <c r="E31" s="19" t="n">
        <v>21</v>
      </c>
      <c r="F31" s="19" t="n">
        <v>4</v>
      </c>
      <c r="G31" s="19" t="n">
        <v>3</v>
      </c>
      <c r="H31" s="19" t="n">
        <f aca="false">(19*3)</f>
        <v>57</v>
      </c>
      <c r="I31" s="20" t="n">
        <f aca="false">J31</f>
        <v>400.12025</v>
      </c>
      <c r="J31" s="20" t="n">
        <f aca="false">K31/(D31+E31)</f>
        <v>400.12025</v>
      </c>
      <c r="K31" s="21" t="n">
        <v>16004.81</v>
      </c>
      <c r="L31" s="19"/>
      <c r="M31" s="19" t="s">
        <v>22</v>
      </c>
      <c r="N31" s="19" t="s">
        <v>22</v>
      </c>
      <c r="O31" s="19"/>
      <c r="P31" s="19"/>
      <c r="Q31" s="19"/>
    </row>
    <row r="32" customFormat="false" ht="25" hidden="false" customHeight="false" outlineLevel="0" collapsed="false">
      <c r="A32" s="17" t="s">
        <v>83</v>
      </c>
      <c r="B32" s="18" t="s">
        <v>84</v>
      </c>
      <c r="C32" s="18" t="s">
        <v>85</v>
      </c>
      <c r="D32" s="19" t="n">
        <v>54</v>
      </c>
      <c r="E32" s="19" t="n">
        <v>0</v>
      </c>
      <c r="F32" s="19" t="n">
        <v>1</v>
      </c>
      <c r="G32" s="19" t="n">
        <v>1</v>
      </c>
      <c r="H32" s="19" t="n">
        <f aca="false">(1*8)</f>
        <v>8</v>
      </c>
      <c r="I32" s="20" t="n">
        <f aca="false">K32/D32</f>
        <v>26.7037037037037</v>
      </c>
      <c r="J32" s="20" t="n">
        <f aca="false">K32/(D32+E32)</f>
        <v>26.7037037037037</v>
      </c>
      <c r="K32" s="21" t="n">
        <v>1442</v>
      </c>
      <c r="L32" s="19"/>
      <c r="M32" s="19" t="s">
        <v>22</v>
      </c>
      <c r="N32" s="19"/>
      <c r="O32" s="19"/>
      <c r="P32" s="19"/>
      <c r="Q32" s="19"/>
      <c r="R32" s="3" t="s">
        <v>86</v>
      </c>
    </row>
    <row r="33" customFormat="false" ht="25" hidden="false" customHeight="false" outlineLevel="0" collapsed="false">
      <c r="A33" s="17" t="s">
        <v>32</v>
      </c>
      <c r="B33" s="18" t="s">
        <v>84</v>
      </c>
      <c r="C33" s="18" t="s">
        <v>85</v>
      </c>
      <c r="D33" s="19" t="n">
        <v>8</v>
      </c>
      <c r="E33" s="19" t="n">
        <v>0</v>
      </c>
      <c r="F33" s="19" t="n">
        <v>1</v>
      </c>
      <c r="G33" s="19" t="n">
        <v>2</v>
      </c>
      <c r="H33" s="19" t="n">
        <f aca="false">(1*8)</f>
        <v>8</v>
      </c>
      <c r="I33" s="20" t="n">
        <f aca="false">K33/D33</f>
        <v>118.25</v>
      </c>
      <c r="J33" s="20" t="n">
        <f aca="false">K33/(D33+E33)</f>
        <v>118.25</v>
      </c>
      <c r="K33" s="21" t="n">
        <v>946</v>
      </c>
      <c r="L33" s="19" t="s">
        <v>31</v>
      </c>
      <c r="M33" s="19"/>
      <c r="N33" s="19"/>
      <c r="O33" s="19"/>
      <c r="P33" s="19"/>
      <c r="Q33" s="19"/>
      <c r="R33" s="3" t="s">
        <v>87</v>
      </c>
    </row>
    <row r="34" customFormat="false" ht="13" hidden="false" customHeight="false" outlineLevel="0" collapsed="false">
      <c r="A34" s="17" t="s">
        <v>88</v>
      </c>
      <c r="B34" s="18" t="s">
        <v>70</v>
      </c>
      <c r="C34" s="18" t="s">
        <v>41</v>
      </c>
      <c r="D34" s="19" t="n">
        <v>23</v>
      </c>
      <c r="E34" s="19" t="n">
        <v>0</v>
      </c>
      <c r="F34" s="19" t="n">
        <v>1</v>
      </c>
      <c r="G34" s="19" t="n">
        <v>1</v>
      </c>
      <c r="H34" s="19" t="n">
        <f aca="false">(3*4)</f>
        <v>12</v>
      </c>
      <c r="I34" s="20" t="n">
        <f aca="false">K34/D34</f>
        <v>62.1739130434783</v>
      </c>
      <c r="J34" s="20" t="n">
        <f aca="false">K34/(D34+E34)</f>
        <v>62.1739130434783</v>
      </c>
      <c r="K34" s="21" t="n">
        <v>1430</v>
      </c>
      <c r="L34" s="19" t="s">
        <v>22</v>
      </c>
      <c r="M34" s="19" t="s">
        <v>22</v>
      </c>
      <c r="N34" s="19"/>
      <c r="O34" s="19"/>
      <c r="P34" s="19"/>
      <c r="Q34" s="19"/>
    </row>
    <row r="35" customFormat="false" ht="13" hidden="false" customHeight="false" outlineLevel="0" collapsed="false">
      <c r="A35" s="17" t="s">
        <v>89</v>
      </c>
      <c r="B35" s="18" t="s">
        <v>40</v>
      </c>
      <c r="C35" s="18" t="s">
        <v>90</v>
      </c>
      <c r="D35" s="19" t="n">
        <v>50</v>
      </c>
      <c r="E35" s="19" t="n">
        <v>0</v>
      </c>
      <c r="F35" s="19" t="n">
        <v>1</v>
      </c>
      <c r="G35" s="19" t="n">
        <v>1</v>
      </c>
      <c r="H35" s="19" t="n">
        <f aca="false">(4*7)+(2*4)</f>
        <v>36</v>
      </c>
      <c r="I35" s="20" t="n">
        <f aca="false">K35/D35</f>
        <v>30</v>
      </c>
      <c r="J35" s="20" t="n">
        <f aca="false">K35/(D35+E35)</f>
        <v>30</v>
      </c>
      <c r="K35" s="21" t="n">
        <v>1500</v>
      </c>
      <c r="L35" s="19" t="s">
        <v>22</v>
      </c>
      <c r="M35" s="19" t="s">
        <v>22</v>
      </c>
      <c r="N35" s="19"/>
      <c r="O35" s="19"/>
      <c r="P35" s="19"/>
      <c r="Q35" s="19"/>
      <c r="R35" s="3" t="s">
        <v>91</v>
      </c>
    </row>
    <row r="36" customFormat="false" ht="13" hidden="false" customHeight="false" outlineLevel="0" collapsed="false">
      <c r="A36" s="17" t="s">
        <v>92</v>
      </c>
      <c r="B36" s="18" t="s">
        <v>40</v>
      </c>
      <c r="C36" s="18" t="s">
        <v>90</v>
      </c>
      <c r="D36" s="19" t="n">
        <v>74</v>
      </c>
      <c r="E36" s="19" t="n">
        <v>0</v>
      </c>
      <c r="F36" s="19" t="n">
        <v>1</v>
      </c>
      <c r="G36" s="19" t="n">
        <v>1</v>
      </c>
      <c r="H36" s="19" t="n">
        <v>0</v>
      </c>
      <c r="I36" s="20" t="n">
        <f aca="false">K36/D36</f>
        <v>20.2702702702703</v>
      </c>
      <c r="J36" s="20" t="n">
        <f aca="false">K36/(D36+E36)</f>
        <v>20.2702702702703</v>
      </c>
      <c r="K36" s="21" t="n">
        <v>1500</v>
      </c>
      <c r="L36" s="19" t="s">
        <v>22</v>
      </c>
      <c r="M36" s="19" t="s">
        <v>22</v>
      </c>
      <c r="N36" s="19"/>
      <c r="O36" s="19"/>
      <c r="P36" s="19"/>
      <c r="Q36" s="19"/>
      <c r="R36" s="3" t="s">
        <v>93</v>
      </c>
    </row>
    <row r="37" customFormat="false" ht="13" hidden="false" customHeight="false" outlineLevel="0" collapsed="false">
      <c r="A37" s="3"/>
      <c r="B37" s="26"/>
      <c r="C37" s="26"/>
    </row>
    <row r="38" s="10" customFormat="true" ht="13" hidden="false" customHeight="false" outlineLevel="0" collapsed="false">
      <c r="A38" s="28" t="s">
        <v>66</v>
      </c>
      <c r="B38" s="29"/>
      <c r="C38" s="29"/>
      <c r="D38" s="30" t="n">
        <f aca="false">SUM(D26:D37)</f>
        <v>492</v>
      </c>
      <c r="E38" s="30" t="n">
        <f aca="false">SUM(E27:E36)</f>
        <v>91</v>
      </c>
      <c r="F38" s="30" t="n">
        <f aca="false">SUM(F26:F36)</f>
        <v>21</v>
      </c>
      <c r="G38" s="30" t="n">
        <f aca="false">SUM(G26:G36)</f>
        <v>17</v>
      </c>
      <c r="H38" s="30" t="n">
        <f aca="false">SUM(H26:H35)</f>
        <v>201</v>
      </c>
      <c r="I38" s="30"/>
      <c r="J38" s="30"/>
      <c r="K38" s="31" t="n">
        <f aca="false">SUM(K26:K37)</f>
        <v>29352.81</v>
      </c>
      <c r="R38" s="16"/>
    </row>
    <row r="39" customFormat="false" ht="13" hidden="false" customHeight="false" outlineLevel="0" collapsed="false">
      <c r="A39" s="3"/>
      <c r="C39" s="26"/>
    </row>
    <row r="40" customFormat="false" ht="16" hidden="false" customHeight="false" outlineLevel="0" collapsed="false">
      <c r="A40" s="3"/>
      <c r="B40" s="9" t="s">
        <v>94</v>
      </c>
    </row>
    <row r="41" customFormat="false" ht="13" hidden="false" customHeight="false" outlineLevel="0" collapsed="false">
      <c r="A41" s="3"/>
      <c r="B41" s="32" t="s">
        <v>95</v>
      </c>
      <c r="C41" s="10"/>
      <c r="F41" s="10" t="s">
        <v>96</v>
      </c>
    </row>
    <row r="42" s="10" customFormat="true" ht="68" hidden="false" customHeight="false" outlineLevel="0" collapsed="false">
      <c r="A42" s="11"/>
      <c r="B42" s="12" t="s">
        <v>97</v>
      </c>
      <c r="C42" s="13" t="s">
        <v>98</v>
      </c>
      <c r="D42" s="13" t="s">
        <v>99</v>
      </c>
      <c r="E42" s="13" t="s">
        <v>100</v>
      </c>
      <c r="F42" s="33" t="s">
        <v>20</v>
      </c>
      <c r="G42" s="33" t="s">
        <v>101</v>
      </c>
      <c r="H42" s="33" t="s">
        <v>102</v>
      </c>
      <c r="I42" s="33" t="s">
        <v>103</v>
      </c>
      <c r="J42" s="13"/>
      <c r="K42" s="34" t="s">
        <v>29</v>
      </c>
      <c r="L42" s="15" t="s">
        <v>37</v>
      </c>
      <c r="M42" s="15" t="s">
        <v>104</v>
      </c>
      <c r="N42" s="15" t="s">
        <v>105</v>
      </c>
      <c r="O42" s="15" t="s">
        <v>77</v>
      </c>
      <c r="P42" s="15" t="s">
        <v>106</v>
      </c>
      <c r="Q42" s="35"/>
      <c r="R42" s="16"/>
    </row>
    <row r="43" customFormat="false" ht="13" hidden="false" customHeight="false" outlineLevel="0" collapsed="false">
      <c r="A43" s="17" t="s">
        <v>107</v>
      </c>
      <c r="B43" s="36" t="n">
        <f aca="false">SUM(D5+D6+D7+D8+D9+D10+D11+D12+D13+D14+D15+D16+D18+D19+D26+D27+D28+D29+D30+D31+D32+D34+D35+D36)</f>
        <v>1333</v>
      </c>
      <c r="C43" s="19" t="n">
        <f aca="false">SUM(D5+D9+D11+D15+D31)</f>
        <v>273</v>
      </c>
      <c r="D43" s="19" t="n">
        <f aca="false">SUM(D7+D14+D17)</f>
        <v>725</v>
      </c>
      <c r="E43" s="19"/>
      <c r="F43" s="19" t="n">
        <f aca="false">SUM(D5+D10+D18+D35+D36)</f>
        <v>420</v>
      </c>
      <c r="G43" s="19" t="n">
        <f aca="false">SUM(D8+D26+D27+D28+D34)</f>
        <v>333</v>
      </c>
      <c r="H43" s="19" t="n">
        <f aca="false">SUM(D32+D33)</f>
        <v>62</v>
      </c>
      <c r="I43" s="19" t="n">
        <f aca="false">SUM(D6+D13+D15+D19)</f>
        <v>222</v>
      </c>
      <c r="J43" s="19"/>
      <c r="K43" s="37" t="n">
        <f aca="false">SUM(D7+D14+D17)</f>
        <v>725</v>
      </c>
      <c r="L43" s="19" t="n">
        <v>19</v>
      </c>
      <c r="M43" s="19" t="n">
        <v>38</v>
      </c>
      <c r="N43" s="19" t="n">
        <f aca="false">SUM(D12+D16)</f>
        <v>92</v>
      </c>
      <c r="O43" s="19" t="n">
        <v>102</v>
      </c>
      <c r="P43" s="19" t="n">
        <v>19</v>
      </c>
    </row>
    <row r="44" customFormat="false" ht="13" hidden="false" customHeight="false" outlineLevel="0" collapsed="false">
      <c r="A44" s="17" t="s">
        <v>108</v>
      </c>
      <c r="B44" s="36" t="n">
        <f aca="false">SUM(E5+E14+E15+E29+E31)</f>
        <v>356</v>
      </c>
      <c r="C44" s="19" t="n">
        <f aca="false">SUM(E5+E15+E31)</f>
        <v>275</v>
      </c>
      <c r="D44" s="19" t="n">
        <v>11</v>
      </c>
      <c r="E44" s="19"/>
      <c r="F44" s="19" t="n">
        <f aca="false">SUM(E5)</f>
        <v>200</v>
      </c>
      <c r="G44" s="19" t="n">
        <v>0</v>
      </c>
      <c r="H44" s="19" t="n">
        <v>0</v>
      </c>
      <c r="I44" s="19" t="n">
        <f aca="false">SUM(E15)</f>
        <v>54</v>
      </c>
      <c r="J44" s="19"/>
      <c r="K44" s="37" t="n">
        <f aca="false">SUM(E14)</f>
        <v>11</v>
      </c>
      <c r="L44" s="19" t="n">
        <v>0</v>
      </c>
      <c r="M44" s="19" t="n">
        <v>0</v>
      </c>
      <c r="N44" s="19" t="n">
        <v>0</v>
      </c>
      <c r="O44" s="19" t="n">
        <v>70</v>
      </c>
      <c r="P44" s="19" t="n">
        <v>21</v>
      </c>
    </row>
    <row r="45" customFormat="false" ht="13" hidden="false" customHeight="false" outlineLevel="0" collapsed="false">
      <c r="A45" s="17" t="s">
        <v>109</v>
      </c>
      <c r="B45" s="36" t="n">
        <f aca="false">SUM(F5+F6+F8+F9+F10+F11+F12+F13+F14+F15+F16+F18+F19+F26+F27+F28+F29+F30+F31+F32+F34+F35+F36)</f>
        <v>40</v>
      </c>
      <c r="C45" s="19" t="n">
        <f aca="false">SUM(F5+F9+F11+F15+F31)</f>
        <v>10</v>
      </c>
      <c r="D45" s="19" t="n">
        <f aca="false">SUM(F14+F30)</f>
        <v>9</v>
      </c>
      <c r="E45" s="19"/>
      <c r="F45" s="19" t="n">
        <f aca="false">SUM(F5+F10+F18+F35+F36)</f>
        <v>6</v>
      </c>
      <c r="G45" s="19" t="n">
        <f aca="false">SUM(F8+F26+F27+F28+F34)</f>
        <v>8</v>
      </c>
      <c r="H45" s="19" t="n">
        <f aca="false">SUM(F32+F33)</f>
        <v>2</v>
      </c>
      <c r="I45" s="19" t="n">
        <f aca="false">SUM(F6+F13+F15+F19)</f>
        <v>4</v>
      </c>
      <c r="J45" s="19"/>
      <c r="K45" s="37" t="n">
        <f aca="false">SUM(F14+F17)</f>
        <v>2</v>
      </c>
      <c r="L45" s="19" t="n">
        <v>1</v>
      </c>
      <c r="M45" s="19" t="n">
        <v>2</v>
      </c>
      <c r="N45" s="19" t="n">
        <f aca="false">SUM(F12+F16)</f>
        <v>4</v>
      </c>
      <c r="O45" s="19" t="n">
        <v>1</v>
      </c>
      <c r="P45" s="19" t="n">
        <v>4</v>
      </c>
    </row>
    <row r="46" customFormat="false" ht="13" hidden="false" customHeight="false" outlineLevel="0" collapsed="false">
      <c r="A46" s="17" t="s">
        <v>110</v>
      </c>
      <c r="B46" s="36" t="n">
        <f aca="false">SUM(G5+G6+G7+G8+G9+G10+G11+G12+G13+G14+G15+G16+G18+G19+G26+G27+G28+G29+G30+G31+G32+G34+G35+G36)</f>
        <v>46</v>
      </c>
      <c r="C46" s="19" t="n">
        <f aca="false">SUM(G5+G9+G11+G15+G31)</f>
        <v>14</v>
      </c>
      <c r="D46" s="19" t="n">
        <f aca="false">SUM(G7+G14+G30)</f>
        <v>8</v>
      </c>
      <c r="E46" s="19"/>
      <c r="F46" s="19" t="n">
        <f aca="false">SUM(G5+G10+G18+G35+G36)</f>
        <v>6</v>
      </c>
      <c r="G46" s="19" t="n">
        <f aca="false">SUM(G8+G27+G28+G26+G34)</f>
        <v>7</v>
      </c>
      <c r="H46" s="19" t="n">
        <f aca="false">SUM(G32+G33)</f>
        <v>3</v>
      </c>
      <c r="I46" s="19" t="n">
        <f aca="false">SUM(G6+G13+G15+G19)</f>
        <v>7</v>
      </c>
      <c r="J46" s="19"/>
      <c r="K46" s="37" t="n">
        <f aca="false">SUM(G7+G14+G17+G30)</f>
        <v>9</v>
      </c>
      <c r="L46" s="19" t="n">
        <v>1</v>
      </c>
      <c r="M46" s="19" t="n">
        <v>6</v>
      </c>
      <c r="N46" s="19" t="n">
        <f aca="false">SUM(G12+G16)</f>
        <v>6</v>
      </c>
      <c r="O46" s="19" t="n">
        <v>1</v>
      </c>
      <c r="P46" s="19" t="n">
        <v>3</v>
      </c>
    </row>
    <row r="47" customFormat="false" ht="13" hidden="false" customHeight="false" outlineLevel="0" collapsed="false">
      <c r="A47" s="17" t="s">
        <v>111</v>
      </c>
      <c r="B47" s="36" t="n">
        <v>24</v>
      </c>
      <c r="C47" s="19" t="n">
        <v>5</v>
      </c>
      <c r="D47" s="19" t="n">
        <v>5</v>
      </c>
      <c r="E47" s="19"/>
      <c r="F47" s="19" t="n">
        <v>5</v>
      </c>
      <c r="G47" s="19" t="n">
        <v>5</v>
      </c>
      <c r="H47" s="19" t="n">
        <v>2</v>
      </c>
      <c r="I47" s="19" t="n">
        <v>4</v>
      </c>
      <c r="J47" s="19"/>
      <c r="K47" s="37" t="n">
        <v>5</v>
      </c>
      <c r="L47" s="19" t="n">
        <v>1</v>
      </c>
      <c r="M47" s="19" t="n">
        <v>1</v>
      </c>
      <c r="N47" s="19" t="n">
        <v>2</v>
      </c>
      <c r="O47" s="19" t="n">
        <v>1</v>
      </c>
      <c r="P47" s="19" t="n">
        <v>1</v>
      </c>
    </row>
    <row r="48" customFormat="false" ht="33" hidden="false" customHeight="true" outlineLevel="0" collapsed="false">
      <c r="A48" s="38" t="s">
        <v>112</v>
      </c>
      <c r="B48" s="39" t="s">
        <v>41</v>
      </c>
      <c r="C48" s="40" t="s">
        <v>113</v>
      </c>
      <c r="D48" s="40" t="s">
        <v>114</v>
      </c>
      <c r="E48" s="40" t="s">
        <v>38</v>
      </c>
      <c r="F48" s="40" t="s">
        <v>115</v>
      </c>
      <c r="G48" s="40"/>
      <c r="H48" s="40" t="s">
        <v>116</v>
      </c>
      <c r="I48" s="41" t="s">
        <v>117</v>
      </c>
      <c r="J48" s="42" t="s">
        <v>118</v>
      </c>
      <c r="K48" s="42" t="s">
        <v>65</v>
      </c>
      <c r="M48" s="2" t="s">
        <v>119</v>
      </c>
      <c r="O48" s="2"/>
      <c r="Q48" s="43" t="s">
        <v>120</v>
      </c>
    </row>
    <row r="49" s="42" customFormat="true" ht="13" hidden="false" customHeight="false" outlineLevel="0" collapsed="false">
      <c r="A49" s="41"/>
      <c r="B49" s="36" t="n">
        <v>6</v>
      </c>
      <c r="C49" s="19" t="n">
        <v>3</v>
      </c>
      <c r="D49" s="19" t="n">
        <v>2</v>
      </c>
      <c r="E49" s="19" t="n">
        <v>4</v>
      </c>
      <c r="F49" s="19" t="n">
        <v>2</v>
      </c>
      <c r="G49" s="19"/>
      <c r="H49" s="19" t="n">
        <v>3</v>
      </c>
      <c r="I49" s="19" t="n">
        <v>2</v>
      </c>
      <c r="J49" s="19" t="n">
        <v>2</v>
      </c>
      <c r="K49" s="44" t="n">
        <v>2</v>
      </c>
      <c r="L49" s="45"/>
      <c r="M49" s="46"/>
      <c r="N49" s="46"/>
      <c r="O49" s="47" t="n">
        <v>1</v>
      </c>
      <c r="P49" s="46"/>
      <c r="Q49" s="47" t="n">
        <v>27</v>
      </c>
      <c r="R49" s="41"/>
    </row>
    <row r="50" customFormat="false" ht="13" hidden="false" customHeight="false" outlineLevel="0" collapsed="false">
      <c r="A50" s="3"/>
    </row>
    <row r="54" customFormat="false" ht="13" hidden="false" customHeight="false" outlineLevel="0" collapsed="false">
      <c r="K54" s="0"/>
    </row>
  </sheetData>
  <printOptions headings="false" gridLines="false" gridLinesSet="true" horizontalCentered="true" verticalCentered="true"/>
  <pageMargins left="0.509722222222222" right="0.570138888888889" top="0.709722222222222" bottom="0.740277777777778" header="0.5" footer="0.511811023622047"/>
  <pageSetup paperSize="9" scale="93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&amp;C&amp;"Geneva,Bold"&amp;12Appendix A&amp;R&amp;10Page &amp;P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54"/>
  <sheetViews>
    <sheetView showFormulas="false" showGridLines="true" showRowColHeaders="true" showZeros="true" rightToLeft="false" tabSelected="true" showOutlineSymbols="true" defaultGridColor="true" view="normal" topLeftCell="AK21" colorId="64" zoomScale="100" zoomScaleNormal="100" zoomScalePageLayoutView="100" workbookViewId="0">
      <selection pane="topLeft" activeCell="A17" activeCellId="0" sqref="A17"/>
    </sheetView>
  </sheetViews>
  <sheetFormatPr defaultColWidth="11.16015625" defaultRowHeight="13" zeroHeight="false" outlineLevelRow="0" outlineLevelCol="0"/>
  <cols>
    <col collapsed="false" customWidth="true" hidden="false" outlineLevel="0" max="1" min="1" style="1" width="16.33"/>
    <col collapsed="false" customWidth="true" hidden="false" outlineLevel="0" max="2" min="2" style="1" width="10.83"/>
    <col collapsed="false" customWidth="true" hidden="false" outlineLevel="0" max="3" min="3" style="0" width="11"/>
    <col collapsed="false" customWidth="true" hidden="false" outlineLevel="0" max="4" min="4" style="0" width="6.33"/>
    <col collapsed="false" customWidth="true" hidden="false" outlineLevel="0" max="5" min="5" style="0" width="13.5"/>
    <col collapsed="false" customWidth="true" hidden="false" outlineLevel="0" max="13" min="13" style="0" width="7.33"/>
    <col collapsed="false" customWidth="true" hidden="false" outlineLevel="0" max="15" min="14" style="0" width="8.16"/>
    <col collapsed="false" customWidth="true" hidden="false" outlineLevel="0" max="36" min="36" style="0" width="15.83"/>
    <col collapsed="false" customWidth="true" hidden="false" outlineLevel="0" max="43" min="43" style="0" width="13"/>
    <col collapsed="false" customWidth="true" hidden="false" outlineLevel="0" max="51" min="51" style="0" width="7.33"/>
  </cols>
  <sheetData>
    <row r="1" customFormat="false" ht="13" hidden="false" customHeight="false" outlineLevel="0" collapsed="false">
      <c r="A1" s="48" t="str">
        <f aca="false">'Raw Data'!A4</f>
        <v>Auspice</v>
      </c>
      <c r="B1" s="48" t="str">
        <f aca="false">'Raw Data'!B4</f>
        <v>issue</v>
      </c>
      <c r="C1" s="0" t="s">
        <v>101</v>
      </c>
      <c r="D1" s="0" t="s">
        <v>121</v>
      </c>
      <c r="E1" s="0" t="s">
        <v>122</v>
      </c>
      <c r="F1" s="0" t="s">
        <v>123</v>
      </c>
      <c r="H1" s="0" t="str">
        <f aca="false">'Raw Data'!A4</f>
        <v>Auspice</v>
      </c>
      <c r="I1" s="0" t="str">
        <f aca="false">'Raw Data'!B4</f>
        <v>issue</v>
      </c>
      <c r="J1" s="0" t="str">
        <f aca="false">'Raw Data'!F4</f>
        <v>schools</v>
      </c>
      <c r="K1" s="0" t="str">
        <f aca="false">'Raw Data'!G4</f>
        <v>orgns</v>
      </c>
      <c r="L1" s="0" t="str">
        <f aca="false">C1</f>
        <v>Peer skills</v>
      </c>
      <c r="M1" s="0" t="str">
        <f aca="false">D1</f>
        <v>Culture</v>
      </c>
      <c r="N1" s="0" t="str">
        <f aca="false">E1</f>
        <v>School Retention</v>
      </c>
      <c r="O1" s="0" t="str">
        <f aca="false">F1</f>
        <v>Health</v>
      </c>
      <c r="P1" s="10" t="s">
        <v>3</v>
      </c>
      <c r="Q1" s="49" t="s">
        <v>5</v>
      </c>
      <c r="R1" s="10" t="s">
        <v>10</v>
      </c>
      <c r="T1" s="0" t="s">
        <v>124</v>
      </c>
      <c r="U1" s="0" t="s">
        <v>121</v>
      </c>
      <c r="V1" s="0" t="s">
        <v>122</v>
      </c>
      <c r="W1" s="42" t="s">
        <v>123</v>
      </c>
    </row>
    <row r="2" customFormat="false" ht="13" hidden="false" customHeight="false" outlineLevel="0" collapsed="false">
      <c r="A2" s="1" t="str">
        <f aca="false">'Raw Data'!A5</f>
        <v>B'ton prim, sec</v>
      </c>
      <c r="B2" s="1" t="str">
        <f aca="false">'Raw Data'!B5</f>
        <v>Bullying</v>
      </c>
      <c r="C2" s="0" t="n">
        <v>1</v>
      </c>
      <c r="H2" s="0" t="str">
        <f aca="false">'Raw Data'!A5</f>
        <v>B'ton prim, sec</v>
      </c>
      <c r="I2" s="0" t="str">
        <f aca="false">'Raw Data'!B5</f>
        <v>Bullying</v>
      </c>
      <c r="J2" s="0" t="n">
        <f aca="false">'Raw Data'!F5</f>
        <v>2</v>
      </c>
      <c r="K2" s="0" t="n">
        <f aca="false">'Raw Data'!G5</f>
        <v>2</v>
      </c>
      <c r="L2" s="0" t="n">
        <f aca="false">C2</f>
        <v>1</v>
      </c>
      <c r="M2" s="0" t="n">
        <f aca="false">D2</f>
        <v>0</v>
      </c>
      <c r="N2" s="0" t="n">
        <f aca="false">E2</f>
        <v>0</v>
      </c>
      <c r="O2" s="0" t="n">
        <f aca="false">F2</f>
        <v>0</v>
      </c>
      <c r="P2" s="0" t="s">
        <v>20</v>
      </c>
      <c r="Q2" s="0" t="n">
        <f aca="false">'Raw Data'!D5</f>
        <v>141</v>
      </c>
      <c r="R2" s="50" t="n">
        <f aca="false">'Raw Data'!J5</f>
        <v>10.2639296187683</v>
      </c>
      <c r="S2" s="0" t="n">
        <f aca="false">Q2*R2</f>
        <v>1447.21407624633</v>
      </c>
      <c r="T2" s="0" t="n">
        <f aca="false">SUM(J28+J29+J31+J33+J36+J38+J42)</f>
        <v>577</v>
      </c>
      <c r="U2" s="0" t="n">
        <v>19</v>
      </c>
      <c r="V2" s="0" t="n">
        <f aca="false">SUM(J30+J37+J40+J43)</f>
        <v>739</v>
      </c>
      <c r="W2" s="0" t="n">
        <f aca="false">SUM(J34+J35+J39)</f>
        <v>130</v>
      </c>
    </row>
    <row r="3" customFormat="false" ht="13" hidden="false" customHeight="false" outlineLevel="0" collapsed="false">
      <c r="A3" s="1" t="str">
        <f aca="false">'Raw Data'!A6</f>
        <v>Mordi Chels Sec</v>
      </c>
      <c r="B3" s="1" t="str">
        <f aca="false">'Raw Data'!B6</f>
        <v>Anger mgt</v>
      </c>
      <c r="C3" s="0" t="n">
        <v>1</v>
      </c>
      <c r="H3" s="0" t="str">
        <f aca="false">'Raw Data'!A6</f>
        <v>Mordi Chels Sec</v>
      </c>
      <c r="I3" s="0" t="str">
        <f aca="false">'Raw Data'!B6</f>
        <v>Anger mgt</v>
      </c>
      <c r="J3" s="0" t="n">
        <f aca="false">'Raw Data'!F6</f>
        <v>1</v>
      </c>
      <c r="K3" s="0" t="n">
        <f aca="false">'Raw Data'!G6</f>
        <v>2</v>
      </c>
      <c r="L3" s="0" t="n">
        <f aca="false">C3</f>
        <v>1</v>
      </c>
      <c r="M3" s="0" t="n">
        <f aca="false">D3</f>
        <v>0</v>
      </c>
      <c r="N3" s="0" t="n">
        <f aca="false">E3</f>
        <v>0</v>
      </c>
      <c r="O3" s="0" t="n">
        <f aca="false">F3</f>
        <v>0</v>
      </c>
      <c r="P3" s="0" t="s">
        <v>25</v>
      </c>
      <c r="Q3" s="0" t="n">
        <f aca="false">'Raw Data'!D6</f>
        <v>7</v>
      </c>
      <c r="R3" s="50" t="n">
        <f aca="false">'Raw Data'!J6</f>
        <v>290.028571428571</v>
      </c>
      <c r="S3" s="0" t="n">
        <f aca="false">Q3*R3</f>
        <v>2030.2</v>
      </c>
      <c r="T3" s="50" t="n">
        <f aca="false">SUM(S2+S3+S5+S7+S10+S12+S15+S16)</f>
        <v>17243.4140762463</v>
      </c>
      <c r="U3" s="50" t="n">
        <f aca="false">SUM(S6)</f>
        <v>3425.44</v>
      </c>
      <c r="V3" s="50" t="n">
        <f aca="false">SUM(S4+S11+S14+S17)</f>
        <v>8580.9756097561</v>
      </c>
      <c r="W3" s="50" t="n">
        <f aca="false">SUM(S9+S13+S8)</f>
        <v>6143</v>
      </c>
    </row>
    <row r="4" customFormat="false" ht="13" hidden="false" customHeight="false" outlineLevel="0" collapsed="false">
      <c r="A4" s="1" t="str">
        <f aca="false">'Raw Data'!A7</f>
        <v>Gordon Homes</v>
      </c>
      <c r="B4" s="1" t="str">
        <f aca="false">'Raw Data'!B7</f>
        <v>school ret</v>
      </c>
      <c r="C4" s="0" t="n">
        <f aca="false">IF(B4="bullying",1,0)</f>
        <v>0</v>
      </c>
      <c r="E4" s="0" t="n">
        <v>1</v>
      </c>
      <c r="H4" s="0" t="str">
        <f aca="false">'Raw Data'!A7</f>
        <v>Gordon Homes</v>
      </c>
      <c r="I4" s="0" t="str">
        <f aca="false">'Raw Data'!B7</f>
        <v>school ret</v>
      </c>
      <c r="J4" s="0" t="n">
        <f aca="false">'Raw Data'!F7</f>
        <v>3</v>
      </c>
      <c r="K4" s="0" t="n">
        <f aca="false">'Raw Data'!G7</f>
        <v>1</v>
      </c>
      <c r="L4" s="0" t="n">
        <f aca="false">C4</f>
        <v>0</v>
      </c>
      <c r="M4" s="0" t="n">
        <f aca="false">D4</f>
        <v>0</v>
      </c>
      <c r="N4" s="0" t="n">
        <f aca="false">E4</f>
        <v>1</v>
      </c>
      <c r="O4" s="0" t="n">
        <f aca="false">F4</f>
        <v>0</v>
      </c>
      <c r="P4" s="0" t="s">
        <v>29</v>
      </c>
      <c r="Q4" s="0" t="n">
        <f aca="false">'Raw Data'!D7</f>
        <v>4</v>
      </c>
      <c r="R4" s="50" t="n">
        <f aca="false">'Raw Data'!J7</f>
        <v>875</v>
      </c>
      <c r="S4" s="0" t="n">
        <f aca="false">Q4*R4</f>
        <v>3500</v>
      </c>
      <c r="T4" s="50" t="n">
        <f aca="false">T3/T2</f>
        <v>29.8845997855222</v>
      </c>
      <c r="U4" s="50" t="n">
        <f aca="false">U3/U2</f>
        <v>180.286315789474</v>
      </c>
      <c r="V4" s="50" t="n">
        <f aca="false">V3/V2</f>
        <v>11.6116043433777</v>
      </c>
      <c r="W4" s="50" t="n">
        <f aca="false">W3/W2</f>
        <v>47.2538461538462</v>
      </c>
    </row>
    <row r="5" customFormat="false" ht="13" hidden="false" customHeight="false" outlineLevel="0" collapsed="false">
      <c r="A5" s="1" t="str">
        <f aca="false">'Raw Data'!A8</f>
        <v>Bayside council</v>
      </c>
      <c r="B5" s="1" t="str">
        <f aca="false">'Raw Data'!B8</f>
        <v>Peer skills </v>
      </c>
      <c r="C5" s="0" t="n">
        <v>1</v>
      </c>
      <c r="H5" s="0" t="str">
        <f aca="false">'Raw Data'!A8</f>
        <v>Bayside council</v>
      </c>
      <c r="I5" s="0" t="str">
        <f aca="false">'Raw Data'!B8</f>
        <v>Peer skills </v>
      </c>
      <c r="J5" s="0" t="n">
        <f aca="false">'Raw Data'!F8</f>
        <v>4</v>
      </c>
      <c r="K5" s="0" t="n">
        <f aca="false">'Raw Data'!G8</f>
        <v>2</v>
      </c>
      <c r="L5" s="0" t="n">
        <f aca="false">C5</f>
        <v>1</v>
      </c>
      <c r="M5" s="0" t="n">
        <f aca="false">D5</f>
        <v>0</v>
      </c>
      <c r="N5" s="0" t="n">
        <f aca="false">E5</f>
        <v>0</v>
      </c>
      <c r="O5" s="0" t="n">
        <f aca="false">F5</f>
        <v>0</v>
      </c>
      <c r="P5" s="0" t="s">
        <v>33</v>
      </c>
      <c r="Q5" s="0" t="n">
        <f aca="false">'Raw Data'!D8</f>
        <v>148</v>
      </c>
      <c r="R5" s="50" t="n">
        <f aca="false">'Raw Data'!J8</f>
        <v>26.2162162162162</v>
      </c>
      <c r="S5" s="0" t="n">
        <f aca="false">Q5*R5</f>
        <v>3880</v>
      </c>
    </row>
    <row r="6" customFormat="false" ht="13" hidden="false" customHeight="false" outlineLevel="0" collapsed="false">
      <c r="A6" s="1" t="str">
        <f aca="false">'Raw Data'!A9</f>
        <v>Kingston council</v>
      </c>
      <c r="B6" s="1" t="str">
        <f aca="false">'Raw Data'!B9</f>
        <v>culture</v>
      </c>
      <c r="C6" s="0" t="n">
        <f aca="false">IF(B6="bullying",1,0)</f>
        <v>0</v>
      </c>
      <c r="D6" s="0" t="n">
        <v>1</v>
      </c>
      <c r="H6" s="0" t="str">
        <f aca="false">'Raw Data'!A9</f>
        <v>Kingston council</v>
      </c>
      <c r="I6" s="0" t="str">
        <f aca="false">'Raw Data'!B9</f>
        <v>culture</v>
      </c>
      <c r="J6" s="0" t="n">
        <f aca="false">'Raw Data'!F9</f>
        <v>1</v>
      </c>
      <c r="K6" s="0" t="n">
        <f aca="false">'Raw Data'!G9</f>
        <v>1</v>
      </c>
      <c r="L6" s="0" t="n">
        <f aca="false">C6</f>
        <v>0</v>
      </c>
      <c r="M6" s="0" t="n">
        <f aca="false">D6</f>
        <v>1</v>
      </c>
      <c r="N6" s="0" t="n">
        <f aca="false">E6</f>
        <v>0</v>
      </c>
      <c r="O6" s="0" t="n">
        <f aca="false">F6</f>
        <v>0</v>
      </c>
      <c r="P6" s="0" t="s">
        <v>37</v>
      </c>
      <c r="Q6" s="0" t="n">
        <f aca="false">'Raw Data'!D9</f>
        <v>19</v>
      </c>
      <c r="R6" s="50" t="n">
        <f aca="false">'Raw Data'!J9</f>
        <v>180.286315789474</v>
      </c>
      <c r="S6" s="0" t="n">
        <f aca="false">Q6*R6</f>
        <v>3425.44</v>
      </c>
    </row>
    <row r="7" customFormat="false" ht="13" hidden="false" customHeight="false" outlineLevel="0" collapsed="false">
      <c r="A7" s="1" t="str">
        <f aca="false">'Raw Data'!A10</f>
        <v>Clarinda prim</v>
      </c>
      <c r="B7" s="1" t="str">
        <f aca="false">'Raw Data'!B10</f>
        <v>bullying</v>
      </c>
      <c r="C7" s="0" t="n">
        <v>1</v>
      </c>
      <c r="H7" s="0" t="str">
        <f aca="false">'Raw Data'!A10</f>
        <v>Clarinda prim</v>
      </c>
      <c r="I7" s="0" t="str">
        <f aca="false">'Raw Data'!B10</f>
        <v>bullying</v>
      </c>
      <c r="J7" s="0" t="n">
        <f aca="false">'Raw Data'!F10</f>
        <v>1</v>
      </c>
      <c r="K7" s="0" t="n">
        <f aca="false">'Raw Data'!G10</f>
        <v>1</v>
      </c>
      <c r="L7" s="0" t="n">
        <f aca="false">C7</f>
        <v>1</v>
      </c>
      <c r="M7" s="0" t="n">
        <f aca="false">D7</f>
        <v>0</v>
      </c>
      <c r="N7" s="0" t="n">
        <f aca="false">E7</f>
        <v>0</v>
      </c>
      <c r="O7" s="0" t="n">
        <f aca="false">F7</f>
        <v>0</v>
      </c>
      <c r="P7" s="0" t="s">
        <v>40</v>
      </c>
      <c r="Q7" s="0" t="n">
        <f aca="false">'Raw Data'!D10</f>
        <v>66</v>
      </c>
      <c r="R7" s="50" t="n">
        <f aca="false">'Raw Data'!J10</f>
        <v>45.4545454545455</v>
      </c>
      <c r="S7" s="0" t="n">
        <f aca="false">Q7*R7</f>
        <v>3000</v>
      </c>
    </row>
    <row r="8" customFormat="false" ht="13" hidden="false" customHeight="false" outlineLevel="0" collapsed="false">
      <c r="A8" s="1" t="str">
        <f aca="false">'Raw Data'!A11</f>
        <v>Bayside Youth Found</v>
      </c>
      <c r="B8" s="1" t="str">
        <f aca="false">'Raw Data'!B11</f>
        <v>body image</v>
      </c>
      <c r="C8" s="0" t="n">
        <f aca="false">IF(B8="bullying",1,0)</f>
        <v>0</v>
      </c>
      <c r="F8" s="0" t="n">
        <v>1</v>
      </c>
      <c r="H8" s="0" t="str">
        <f aca="false">'Raw Data'!A11</f>
        <v>Bayside Youth Found</v>
      </c>
      <c r="I8" s="0" t="str">
        <f aca="false">'Raw Data'!B11</f>
        <v>body image</v>
      </c>
      <c r="J8" s="0" t="n">
        <f aca="false">'Raw Data'!F11</f>
        <v>2</v>
      </c>
      <c r="K8" s="0" t="n">
        <f aca="false">'Raw Data'!G11</f>
        <v>6</v>
      </c>
      <c r="L8" s="0" t="n">
        <f aca="false">C8</f>
        <v>0</v>
      </c>
      <c r="M8" s="0" t="n">
        <f aca="false">D8</f>
        <v>0</v>
      </c>
      <c r="N8" s="0" t="n">
        <f aca="false">E8</f>
        <v>0</v>
      </c>
      <c r="O8" s="0" t="n">
        <f aca="false">F8</f>
        <v>1</v>
      </c>
      <c r="P8" s="0" t="s">
        <v>44</v>
      </c>
      <c r="Q8" s="0" t="n">
        <f aca="false">'Raw Data'!D11</f>
        <v>38</v>
      </c>
      <c r="R8" s="50" t="n">
        <f aca="false">'Raw Data'!J11</f>
        <v>92.1052631578947</v>
      </c>
      <c r="S8" s="0" t="n">
        <f aca="false">Q8*R8</f>
        <v>3500</v>
      </c>
    </row>
    <row r="9" customFormat="false" ht="13" hidden="false" customHeight="false" outlineLevel="0" collapsed="false">
      <c r="A9" s="1" t="str">
        <f aca="false">'Raw Data'!A12</f>
        <v>CBCHS</v>
      </c>
      <c r="B9" s="1" t="str">
        <f aca="false">'Raw Data'!B12</f>
        <v>health, D/A</v>
      </c>
      <c r="C9" s="0" t="n">
        <f aca="false">IF(B9="bullying",1,0)</f>
        <v>0</v>
      </c>
      <c r="F9" s="0" t="n">
        <v>1</v>
      </c>
      <c r="H9" s="0" t="str">
        <f aca="false">'Raw Data'!A12</f>
        <v>CBCHS</v>
      </c>
      <c r="I9" s="0" t="str">
        <f aca="false">'Raw Data'!B12</f>
        <v>health, D/A</v>
      </c>
      <c r="J9" s="0" t="n">
        <f aca="false">'Raw Data'!F12</f>
        <v>3</v>
      </c>
      <c r="K9" s="0" t="n">
        <f aca="false">'Raw Data'!G12</f>
        <v>3</v>
      </c>
      <c r="L9" s="0" t="n">
        <f aca="false">C9</f>
        <v>0</v>
      </c>
      <c r="M9" s="0" t="n">
        <f aca="false">D9</f>
        <v>0</v>
      </c>
      <c r="N9" s="0" t="n">
        <f aca="false">E9</f>
        <v>0</v>
      </c>
      <c r="O9" s="0" t="n">
        <f aca="false">F9</f>
        <v>1</v>
      </c>
      <c r="P9" s="0" t="s">
        <v>48</v>
      </c>
      <c r="Q9" s="0" t="n">
        <f aca="false">'Raw Data'!D12</f>
        <v>60</v>
      </c>
      <c r="R9" s="50" t="n">
        <f aca="false">'Raw Data'!J12</f>
        <v>27.5</v>
      </c>
      <c r="S9" s="0" t="n">
        <f aca="false">Q9*R9</f>
        <v>1650</v>
      </c>
    </row>
    <row r="10" customFormat="false" ht="13" hidden="false" customHeight="false" outlineLevel="0" collapsed="false">
      <c r="A10" s="1" t="str">
        <f aca="false">'Raw Data'!A13</f>
        <v>Chelsea prim</v>
      </c>
      <c r="B10" s="1" t="str">
        <f aca="false">'Raw Data'!B13</f>
        <v>anger mgt</v>
      </c>
      <c r="C10" s="0" t="n">
        <v>1</v>
      </c>
      <c r="H10" s="0" t="str">
        <f aca="false">'Raw Data'!A13</f>
        <v>Chelsea prim</v>
      </c>
      <c r="I10" s="0" t="str">
        <f aca="false">'Raw Data'!B13</f>
        <v>anger mgt</v>
      </c>
      <c r="J10" s="0" t="n">
        <f aca="false">'Raw Data'!F13</f>
        <v>1</v>
      </c>
      <c r="K10" s="0" t="n">
        <f aca="false">'Raw Data'!G13</f>
        <v>2</v>
      </c>
      <c r="L10" s="0" t="n">
        <f aca="false">C10</f>
        <v>1</v>
      </c>
      <c r="M10" s="0" t="n">
        <f aca="false">D10</f>
        <v>0</v>
      </c>
      <c r="N10" s="0" t="n">
        <f aca="false">E10</f>
        <v>0</v>
      </c>
      <c r="O10" s="0" t="n">
        <f aca="false">F10</f>
        <v>0</v>
      </c>
      <c r="P10" s="0" t="s">
        <v>50</v>
      </c>
      <c r="Q10" s="0" t="n">
        <f aca="false">'Raw Data'!D13</f>
        <v>92</v>
      </c>
      <c r="R10" s="50" t="n">
        <f aca="false">'Raw Data'!J13</f>
        <v>32.6086956521739</v>
      </c>
      <c r="S10" s="0" t="n">
        <f aca="false">Q10*R10</f>
        <v>3000</v>
      </c>
    </row>
    <row r="11" customFormat="false" ht="13" hidden="false" customHeight="false" outlineLevel="0" collapsed="false">
      <c r="A11" s="1" t="str">
        <f aca="false">'Raw Data'!A14</f>
        <v>Kibreda</v>
      </c>
      <c r="B11" s="1" t="str">
        <f aca="false">'Raw Data'!B14</f>
        <v>school ret</v>
      </c>
      <c r="C11" s="0" t="n">
        <f aca="false">IF(B11="bullying",1,0)</f>
        <v>0</v>
      </c>
      <c r="E11" s="0" t="n">
        <v>1</v>
      </c>
      <c r="H11" s="0" t="str">
        <f aca="false">'Raw Data'!A14</f>
        <v>Kibreda</v>
      </c>
      <c r="I11" s="0" t="str">
        <f aca="false">'Raw Data'!B14</f>
        <v>school ret</v>
      </c>
      <c r="J11" s="0" t="n">
        <f aca="false">'Raw Data'!F14</f>
        <v>1</v>
      </c>
      <c r="K11" s="0" t="n">
        <f aca="false">'Raw Data'!G14</f>
        <v>4</v>
      </c>
      <c r="L11" s="0" t="n">
        <f aca="false">C11</f>
        <v>0</v>
      </c>
      <c r="M11" s="0" t="n">
        <f aca="false">D11</f>
        <v>0</v>
      </c>
      <c r="N11" s="0" t="n">
        <f aca="false">E11</f>
        <v>1</v>
      </c>
      <c r="O11" s="0" t="n">
        <f aca="false">F11</f>
        <v>0</v>
      </c>
      <c r="P11" s="0" t="s">
        <v>29</v>
      </c>
      <c r="Q11" s="0" t="n">
        <f aca="false">'Raw Data'!D14</f>
        <v>30</v>
      </c>
      <c r="R11" s="50" t="n">
        <f aca="false">'Raw Data'!J14</f>
        <v>85.3658536585366</v>
      </c>
      <c r="S11" s="0" t="n">
        <f aca="false">Q11*R11</f>
        <v>2560.9756097561</v>
      </c>
    </row>
    <row r="12" customFormat="false" ht="13" hidden="false" customHeight="false" outlineLevel="0" collapsed="false">
      <c r="A12" s="1" t="str">
        <f aca="false">'Raw Data'!A15</f>
        <v>Brighton Beach prim</v>
      </c>
      <c r="B12" s="1" t="str">
        <f aca="false">'Raw Data'!B15</f>
        <v>conflict res</v>
      </c>
      <c r="C12" s="0" t="n">
        <v>1</v>
      </c>
      <c r="H12" s="0" t="str">
        <f aca="false">'Raw Data'!A15</f>
        <v>Brighton Beach prim</v>
      </c>
      <c r="I12" s="0" t="str">
        <f aca="false">'Raw Data'!B15</f>
        <v>conflict res</v>
      </c>
      <c r="J12" s="0" t="n">
        <f aca="false">'Raw Data'!F15</f>
        <v>1</v>
      </c>
      <c r="K12" s="0" t="n">
        <f aca="false">'Raw Data'!G15</f>
        <v>2</v>
      </c>
      <c r="L12" s="0" t="n">
        <f aca="false">C12</f>
        <v>1</v>
      </c>
      <c r="M12" s="0" t="n">
        <f aca="false">D12</f>
        <v>0</v>
      </c>
      <c r="N12" s="0" t="n">
        <f aca="false">E12</f>
        <v>0</v>
      </c>
      <c r="O12" s="0" t="n">
        <f aca="false">F12</f>
        <v>0</v>
      </c>
      <c r="P12" s="0" t="s">
        <v>56</v>
      </c>
      <c r="Q12" s="0" t="n">
        <f aca="false">'Raw Data'!D15</f>
        <v>56</v>
      </c>
      <c r="R12" s="50" t="n">
        <f aca="false">'Raw Data'!J15</f>
        <v>18.5</v>
      </c>
      <c r="S12" s="0" t="n">
        <f aca="false">Q12*R12</f>
        <v>1036</v>
      </c>
    </row>
    <row r="13" customFormat="false" ht="13" hidden="false" customHeight="false" outlineLevel="0" collapsed="false">
      <c r="A13" s="1" t="str">
        <f aca="false">'Raw Data'!A16</f>
        <v>CBCHS</v>
      </c>
      <c r="B13" s="1" t="str">
        <f aca="false">'Raw Data'!B16</f>
        <v>health, D/A</v>
      </c>
      <c r="C13" s="0" t="n">
        <f aca="false">IF(B13="bullying",1,0)</f>
        <v>0</v>
      </c>
      <c r="F13" s="0" t="n">
        <v>1</v>
      </c>
      <c r="H13" s="0" t="str">
        <f aca="false">'Raw Data'!A16</f>
        <v>CBCHS</v>
      </c>
      <c r="I13" s="0" t="str">
        <f aca="false">'Raw Data'!B16</f>
        <v>health, D/A</v>
      </c>
      <c r="J13" s="0" t="n">
        <f aca="false">'Raw Data'!F16</f>
        <v>1</v>
      </c>
      <c r="K13" s="0" t="n">
        <f aca="false">'Raw Data'!G16</f>
        <v>3</v>
      </c>
      <c r="L13" s="0" t="n">
        <f aca="false">C13</f>
        <v>0</v>
      </c>
      <c r="M13" s="0" t="n">
        <f aca="false">D13</f>
        <v>0</v>
      </c>
      <c r="N13" s="0" t="n">
        <f aca="false">E13</f>
        <v>0</v>
      </c>
      <c r="O13" s="0" t="n">
        <f aca="false">F13</f>
        <v>1</v>
      </c>
      <c r="P13" s="0" t="s">
        <v>48</v>
      </c>
      <c r="Q13" s="0" t="n">
        <f aca="false">'Raw Data'!D16</f>
        <v>32</v>
      </c>
      <c r="R13" s="50" t="n">
        <f aca="false">'Raw Data'!J16</f>
        <v>31.03125</v>
      </c>
      <c r="S13" s="0" t="n">
        <f aca="false">Q13*R13</f>
        <v>993</v>
      </c>
    </row>
    <row r="14" customFormat="false" ht="13" hidden="false" customHeight="false" outlineLevel="0" collapsed="false">
      <c r="A14" s="1" t="str">
        <f aca="false">'Raw Data'!A17</f>
        <v>Chelt sec</v>
      </c>
      <c r="B14" s="1" t="str">
        <f aca="false">'Raw Data'!B17</f>
        <v>school ret</v>
      </c>
      <c r="C14" s="0" t="n">
        <f aca="false">IF(B14="bullying",1,0)</f>
        <v>0</v>
      </c>
      <c r="E14" s="0" t="n">
        <v>1</v>
      </c>
      <c r="H14" s="0" t="str">
        <f aca="false">'Raw Data'!A17</f>
        <v>Chelt sec</v>
      </c>
      <c r="I14" s="0" t="str">
        <f aca="false">'Raw Data'!B17</f>
        <v>school ret</v>
      </c>
      <c r="J14" s="0" t="n">
        <f aca="false">'Raw Data'!F17</f>
        <v>1</v>
      </c>
      <c r="K14" s="0" t="n">
        <f aca="false">'Raw Data'!G17</f>
        <v>1</v>
      </c>
      <c r="L14" s="0" t="n">
        <f aca="false">C14</f>
        <v>0</v>
      </c>
      <c r="M14" s="0" t="n">
        <f aca="false">D14</f>
        <v>0</v>
      </c>
      <c r="N14" s="0" t="n">
        <f aca="false">E14</f>
        <v>1</v>
      </c>
      <c r="O14" s="0" t="n">
        <f aca="false">F14</f>
        <v>0</v>
      </c>
      <c r="P14" s="0" t="s">
        <v>29</v>
      </c>
      <c r="Q14" s="0" t="n">
        <f aca="false">'Raw Data'!D17</f>
        <v>691</v>
      </c>
      <c r="R14" s="50" t="n">
        <f aca="false">'Raw Data'!J17</f>
        <v>2.19971056439942</v>
      </c>
      <c r="S14" s="0" t="n">
        <f aca="false">Q14*R14</f>
        <v>1520</v>
      </c>
    </row>
    <row r="15" customFormat="false" ht="13" hidden="false" customHeight="false" outlineLevel="0" collapsed="false">
      <c r="A15" s="1" t="str">
        <f aca="false">'Raw Data'!A18</f>
        <v>St Finbars</v>
      </c>
      <c r="B15" s="1" t="str">
        <f aca="false">'Raw Data'!B18</f>
        <v>Bullying</v>
      </c>
      <c r="C15" s="0" t="n">
        <f aca="false">IF(B15="bullying",1,0)</f>
        <v>1</v>
      </c>
      <c r="H15" s="0" t="str">
        <f aca="false">'Raw Data'!A18</f>
        <v>St Finbars</v>
      </c>
      <c r="I15" s="0" t="str">
        <f aca="false">'Raw Data'!B18</f>
        <v>Bullying</v>
      </c>
      <c r="J15" s="0" t="n">
        <f aca="false">'Raw Data'!F18</f>
        <v>1</v>
      </c>
      <c r="K15" s="0" t="n">
        <f aca="false">'Raw Data'!G18</f>
        <v>1</v>
      </c>
      <c r="L15" s="0" t="n">
        <f aca="false">C15</f>
        <v>1</v>
      </c>
      <c r="M15" s="0" t="n">
        <f aca="false">D15</f>
        <v>0</v>
      </c>
      <c r="N15" s="0" t="n">
        <f aca="false">E15</f>
        <v>0</v>
      </c>
      <c r="O15" s="0" t="n">
        <f aca="false">F15</f>
        <v>0</v>
      </c>
      <c r="P15" s="0" t="s">
        <v>20</v>
      </c>
      <c r="Q15" s="0" t="n">
        <f aca="false">'Raw Data'!D18</f>
        <v>89</v>
      </c>
      <c r="R15" s="50" t="n">
        <f aca="false">'Raw Data'!J18</f>
        <v>16.8539325842697</v>
      </c>
      <c r="S15" s="0" t="n">
        <f aca="false">Q15*R15</f>
        <v>1500</v>
      </c>
    </row>
    <row r="16" customFormat="false" ht="13" hidden="false" customHeight="false" outlineLevel="0" collapsed="false">
      <c r="A16" s="1" t="str">
        <f aca="false">'Raw Data'!A19</f>
        <v>Edithvale prim</v>
      </c>
      <c r="B16" s="1" t="str">
        <f aca="false">'Raw Data'!B19</f>
        <v>conflict res</v>
      </c>
      <c r="C16" s="0" t="n">
        <v>1</v>
      </c>
      <c r="H16" s="0" t="str">
        <f aca="false">'Raw Data'!A19</f>
        <v>Edithvale prim</v>
      </c>
      <c r="I16" s="0" t="str">
        <f aca="false">'Raw Data'!B19</f>
        <v>conflict res</v>
      </c>
      <c r="J16" s="0" t="n">
        <f aca="false">'Raw Data'!F19</f>
        <v>1</v>
      </c>
      <c r="K16" s="0" t="n">
        <f aca="false">'Raw Data'!G19</f>
        <v>1</v>
      </c>
      <c r="L16" s="0" t="n">
        <f aca="false">C16</f>
        <v>1</v>
      </c>
      <c r="M16" s="0" t="n">
        <f aca="false">D16</f>
        <v>0</v>
      </c>
      <c r="N16" s="0" t="n">
        <f aca="false">E16</f>
        <v>0</v>
      </c>
      <c r="O16" s="0" t="n">
        <f aca="false">F16</f>
        <v>0</v>
      </c>
      <c r="P16" s="0" t="s">
        <v>56</v>
      </c>
      <c r="Q16" s="0" t="n">
        <f aca="false">'Raw Data'!D19</f>
        <v>67</v>
      </c>
      <c r="R16" s="50" t="n">
        <f aca="false">'Raw Data'!J19</f>
        <v>20.1492537313433</v>
      </c>
      <c r="S16" s="0" t="n">
        <f aca="false">Q16*R16</f>
        <v>1350</v>
      </c>
    </row>
    <row r="17" customFormat="false" ht="13" hidden="false" customHeight="false" outlineLevel="0" collapsed="false">
      <c r="A17" s="1" t="str">
        <f aca="false">'Raw Data'!A20</f>
        <v>Anglicare</v>
      </c>
      <c r="B17" s="1" t="str">
        <f aca="false">'Raw Data'!B20</f>
        <v>school ret</v>
      </c>
      <c r="C17" s="0" t="n">
        <f aca="false">IF(B17="bullying",1,0)</f>
        <v>0</v>
      </c>
      <c r="E17" s="0" t="n">
        <v>1</v>
      </c>
      <c r="H17" s="0" t="str">
        <f aca="false">'Raw Data'!A20</f>
        <v>Anglicare</v>
      </c>
      <c r="I17" s="0" t="str">
        <f aca="false">'Raw Data'!B20</f>
        <v>school ret</v>
      </c>
      <c r="J17" s="0" t="n">
        <f aca="false">'Raw Data'!F20</f>
        <v>0</v>
      </c>
      <c r="K17" s="0" t="n">
        <f aca="false">'Raw Data'!G20</f>
        <v>0</v>
      </c>
      <c r="L17" s="0" t="n">
        <f aca="false">C17</f>
        <v>0</v>
      </c>
      <c r="M17" s="0" t="n">
        <f aca="false">D17</f>
        <v>0</v>
      </c>
      <c r="N17" s="0" t="n">
        <f aca="false">E17</f>
        <v>1</v>
      </c>
      <c r="O17" s="0" t="n">
        <f aca="false">F17</f>
        <v>0</v>
      </c>
      <c r="P17" s="0" t="s">
        <v>29</v>
      </c>
      <c r="Q17" s="0" t="n">
        <f aca="false">'Raw Data'!D20</f>
        <v>14</v>
      </c>
      <c r="R17" s="50" t="n">
        <f aca="false">'Raw Data'!J20</f>
        <v>71.4285714285714</v>
      </c>
      <c r="S17" s="0" t="n">
        <f aca="false">Q17*R17</f>
        <v>1000</v>
      </c>
    </row>
    <row r="18" customFormat="false" ht="14" hidden="false" customHeight="false" outlineLevel="0" collapsed="false">
      <c r="C18" s="51" t="n">
        <f aca="false">SUM(C2:C17)</f>
        <v>8</v>
      </c>
      <c r="D18" s="51" t="n">
        <f aca="false">SUM(D2:D17)</f>
        <v>1</v>
      </c>
      <c r="E18" s="51" t="n">
        <f aca="false">SUM(E2:E17)</f>
        <v>4</v>
      </c>
      <c r="F18" s="51" t="n">
        <f aca="false">SUM(F2:F17)</f>
        <v>3</v>
      </c>
      <c r="J18" s="0" t="n">
        <f aca="false">SUM(J2:J17)</f>
        <v>24</v>
      </c>
      <c r="K18" s="0" t="n">
        <f aca="false">SUM(K2:K17)</f>
        <v>32</v>
      </c>
      <c r="L18" s="51" t="n">
        <f aca="false">SUM(L2:L17)</f>
        <v>8</v>
      </c>
      <c r="M18" s="51" t="n">
        <f aca="false">SUM(M2:M17)</f>
        <v>1</v>
      </c>
      <c r="N18" s="51" t="n">
        <f aca="false">SUM(N2:N17)</f>
        <v>4</v>
      </c>
      <c r="O18" s="51" t="n">
        <f aca="false">SUM(O2:O17)</f>
        <v>3</v>
      </c>
    </row>
    <row r="19" customFormat="false" ht="14" hidden="false" customHeight="false" outlineLevel="0" collapsed="false">
      <c r="C19" s="0" t="str">
        <f aca="false">C1</f>
        <v>Peer skills</v>
      </c>
      <c r="D19" s="0" t="str">
        <f aca="false">D1</f>
        <v>Culture</v>
      </c>
      <c r="E19" s="0" t="str">
        <f aca="false">E1</f>
        <v>School Retention</v>
      </c>
      <c r="F19" s="0" t="str">
        <f aca="false">F1</f>
        <v>Health</v>
      </c>
      <c r="K19" s="0" t="n">
        <f aca="false">J18+K18</f>
        <v>56</v>
      </c>
    </row>
    <row r="21" customFormat="false" ht="13" hidden="false" customHeight="false" outlineLevel="0" collapsed="false">
      <c r="A21" s="32" t="str">
        <f aca="false">'Raw Data'!A4</f>
        <v>Auspice</v>
      </c>
      <c r="B21" s="52" t="str">
        <f aca="false">'Raw Data'!F4</f>
        <v>schools</v>
      </c>
      <c r="C21" s="52" t="str">
        <f aca="false">'Raw Data'!G4</f>
        <v>orgns</v>
      </c>
      <c r="J21" s="0" t="str">
        <f aca="false">C1</f>
        <v>Peer skills</v>
      </c>
      <c r="K21" s="0" t="str">
        <f aca="false">D1</f>
        <v>Culture</v>
      </c>
      <c r="L21" s="0" t="str">
        <f aca="false">E1</f>
        <v>School Retention</v>
      </c>
      <c r="M21" s="0" t="str">
        <f aca="false">F1</f>
        <v>Health</v>
      </c>
    </row>
    <row r="22" customFormat="false" ht="13" hidden="false" customHeight="false" outlineLevel="0" collapsed="false">
      <c r="A22" s="1" t="str">
        <f aca="false">'Raw Data'!A5</f>
        <v>B'ton prim, sec</v>
      </c>
      <c r="B22" s="0" t="n">
        <f aca="false">'Raw Data'!F5</f>
        <v>2</v>
      </c>
      <c r="C22" s="0" t="n">
        <f aca="false">'Raw Data'!G5</f>
        <v>2</v>
      </c>
      <c r="I22" s="0" t="s">
        <v>109</v>
      </c>
      <c r="J22" s="0" t="n">
        <f aca="false">SUM(J2+J3+J5+J7+J10+J12+J15+J16)</f>
        <v>12</v>
      </c>
      <c r="K22" s="0" t="n">
        <f aca="false">SUM(J6)</f>
        <v>1</v>
      </c>
      <c r="L22" s="0" t="n">
        <f aca="false">SUM(J4+J11+J14+J17)</f>
        <v>5</v>
      </c>
      <c r="M22" s="0" t="n">
        <f aca="false">SUM(J8+J9+J13)</f>
        <v>6</v>
      </c>
    </row>
    <row r="23" customFormat="false" ht="13" hidden="false" customHeight="false" outlineLevel="0" collapsed="false">
      <c r="A23" s="1" t="str">
        <f aca="false">'Raw Data'!A6</f>
        <v>Mordi Chels Sec</v>
      </c>
      <c r="B23" s="0" t="n">
        <f aca="false">'Raw Data'!F6</f>
        <v>1</v>
      </c>
      <c r="C23" s="0" t="n">
        <f aca="false">'Raw Data'!G6</f>
        <v>2</v>
      </c>
      <c r="I23" s="0" t="s">
        <v>125</v>
      </c>
      <c r="J23" s="0" t="n">
        <f aca="false">SUM(K2+K3+K5+K7+K10+K12+K15+K16)</f>
        <v>13</v>
      </c>
      <c r="K23" s="0" t="n">
        <f aca="false">SUM(K6)</f>
        <v>1</v>
      </c>
      <c r="L23" s="0" t="n">
        <f aca="false">SUM(K4+K11+K14+K17)</f>
        <v>6</v>
      </c>
      <c r="M23" s="0" t="n">
        <f aca="false">SUM(K8+K9+K13)</f>
        <v>12</v>
      </c>
    </row>
    <row r="24" customFormat="false" ht="13" hidden="false" customHeight="false" outlineLevel="0" collapsed="false">
      <c r="A24" s="1" t="str">
        <f aca="false">'Raw Data'!A7</f>
        <v>Gordon Homes</v>
      </c>
      <c r="B24" s="0" t="n">
        <f aca="false">'Raw Data'!F7</f>
        <v>3</v>
      </c>
      <c r="C24" s="0" t="n">
        <f aca="false">'Raw Data'!G7</f>
        <v>1</v>
      </c>
      <c r="I24" s="0" t="s">
        <v>126</v>
      </c>
      <c r="J24" s="0" t="n">
        <f aca="false">SUM(L18)</f>
        <v>8</v>
      </c>
      <c r="K24" s="0" t="n">
        <v>1</v>
      </c>
      <c r="L24" s="0" t="n">
        <v>4</v>
      </c>
      <c r="M24" s="0" t="n">
        <v>3</v>
      </c>
    </row>
    <row r="25" customFormat="false" ht="13" hidden="false" customHeight="false" outlineLevel="0" collapsed="false">
      <c r="A25" s="1" t="str">
        <f aca="false">'Raw Data'!A8</f>
        <v>Bayside council</v>
      </c>
      <c r="B25" s="0" t="n">
        <f aca="false">'Raw Data'!F8</f>
        <v>4</v>
      </c>
      <c r="C25" s="0" t="n">
        <f aca="false">'Raw Data'!G8</f>
        <v>2</v>
      </c>
    </row>
    <row r="26" customFormat="false" ht="13" hidden="false" customHeight="false" outlineLevel="0" collapsed="false">
      <c r="A26" s="1" t="str">
        <f aca="false">'Raw Data'!A9</f>
        <v>Kingston council</v>
      </c>
      <c r="B26" s="0" t="n">
        <f aca="false">'Raw Data'!F9</f>
        <v>1</v>
      </c>
      <c r="C26" s="0" t="n">
        <f aca="false">'Raw Data'!G9</f>
        <v>1</v>
      </c>
    </row>
    <row r="27" customFormat="false" ht="13" hidden="false" customHeight="false" outlineLevel="0" collapsed="false">
      <c r="A27" s="1" t="str">
        <f aca="false">'Raw Data'!A10</f>
        <v>Clarinda prim</v>
      </c>
      <c r="B27" s="0" t="n">
        <f aca="false">'Raw Data'!F10</f>
        <v>1</v>
      </c>
      <c r="C27" s="0" t="n">
        <f aca="false">'Raw Data'!G10</f>
        <v>1</v>
      </c>
      <c r="H27" s="10" t="s">
        <v>3</v>
      </c>
      <c r="I27" s="10" t="s">
        <v>4</v>
      </c>
      <c r="J27" s="49" t="s">
        <v>5</v>
      </c>
      <c r="K27" s="0" t="s">
        <v>101</v>
      </c>
      <c r="L27" s="0" t="s">
        <v>121</v>
      </c>
      <c r="M27" s="0" t="s">
        <v>122</v>
      </c>
      <c r="N27" s="0" t="s">
        <v>123</v>
      </c>
    </row>
    <row r="28" customFormat="false" ht="13" hidden="false" customHeight="false" outlineLevel="0" collapsed="false">
      <c r="A28" s="1" t="str">
        <f aca="false">'Raw Data'!A11</f>
        <v>Bayside Youth Found</v>
      </c>
      <c r="B28" s="0" t="n">
        <f aca="false">'Raw Data'!F11</f>
        <v>2</v>
      </c>
      <c r="C28" s="0" t="n">
        <f aca="false">'Raw Data'!G11</f>
        <v>6</v>
      </c>
      <c r="H28" s="0" t="s">
        <v>20</v>
      </c>
      <c r="I28" s="0" t="s">
        <v>21</v>
      </c>
      <c r="J28" s="0" t="n">
        <f aca="false">Q2</f>
        <v>141</v>
      </c>
      <c r="K28" s="0" t="n">
        <v>1</v>
      </c>
    </row>
    <row r="29" customFormat="false" ht="13" hidden="false" customHeight="false" outlineLevel="0" collapsed="false">
      <c r="A29" s="1" t="str">
        <f aca="false">'Raw Data'!A12</f>
        <v>CBCHS</v>
      </c>
      <c r="B29" s="0" t="n">
        <f aca="false">'Raw Data'!F12</f>
        <v>3</v>
      </c>
      <c r="C29" s="0" t="n">
        <f aca="false">'Raw Data'!G12</f>
        <v>3</v>
      </c>
      <c r="H29" s="0" t="s">
        <v>25</v>
      </c>
      <c r="I29" s="0" t="s">
        <v>26</v>
      </c>
      <c r="J29" s="0" t="n">
        <f aca="false">Q3</f>
        <v>7</v>
      </c>
      <c r="K29" s="0" t="n">
        <v>1</v>
      </c>
    </row>
    <row r="30" customFormat="false" ht="13" hidden="false" customHeight="false" outlineLevel="0" collapsed="false">
      <c r="A30" s="1" t="str">
        <f aca="false">'Raw Data'!A13</f>
        <v>Chelsea prim</v>
      </c>
      <c r="B30" s="0" t="n">
        <f aca="false">'Raw Data'!F13</f>
        <v>1</v>
      </c>
      <c r="C30" s="0" t="n">
        <f aca="false">'Raw Data'!G13</f>
        <v>2</v>
      </c>
      <c r="H30" s="0" t="s">
        <v>29</v>
      </c>
      <c r="I30" s="0" t="s">
        <v>30</v>
      </c>
      <c r="J30" s="0" t="n">
        <f aca="false">Q4</f>
        <v>4</v>
      </c>
      <c r="K30" s="0" t="n">
        <f aca="false">IF(J30="bullying",1,0)</f>
        <v>0</v>
      </c>
      <c r="M30" s="0" t="n">
        <v>1</v>
      </c>
    </row>
    <row r="31" customFormat="false" ht="13" hidden="false" customHeight="false" outlineLevel="0" collapsed="false">
      <c r="A31" s="1" t="str">
        <f aca="false">'Raw Data'!A14</f>
        <v>Kibreda</v>
      </c>
      <c r="B31" s="0" t="n">
        <f aca="false">'Raw Data'!F14</f>
        <v>1</v>
      </c>
      <c r="C31" s="0" t="n">
        <f aca="false">'Raw Data'!G14</f>
        <v>4</v>
      </c>
      <c r="H31" s="0" t="s">
        <v>33</v>
      </c>
      <c r="I31" s="0" t="s">
        <v>34</v>
      </c>
      <c r="J31" s="0" t="n">
        <f aca="false">Q5</f>
        <v>148</v>
      </c>
      <c r="K31" s="0" t="n">
        <v>1</v>
      </c>
    </row>
    <row r="32" customFormat="false" ht="13" hidden="false" customHeight="false" outlineLevel="0" collapsed="false">
      <c r="A32" s="1" t="str">
        <f aca="false">'Raw Data'!A15</f>
        <v>Brighton Beach prim</v>
      </c>
      <c r="B32" s="0" t="n">
        <f aca="false">'Raw Data'!F15</f>
        <v>1</v>
      </c>
      <c r="C32" s="0" t="n">
        <f aca="false">'Raw Data'!G15</f>
        <v>2</v>
      </c>
      <c r="H32" s="0" t="s">
        <v>37</v>
      </c>
      <c r="I32" s="0" t="s">
        <v>38</v>
      </c>
      <c r="J32" s="0" t="n">
        <f aca="false">Q6</f>
        <v>19</v>
      </c>
      <c r="K32" s="0" t="n">
        <f aca="false">IF(J32="bullying",1,0)</f>
        <v>0</v>
      </c>
      <c r="L32" s="0" t="n">
        <v>1</v>
      </c>
    </row>
    <row r="33" customFormat="false" ht="13" hidden="false" customHeight="false" outlineLevel="0" collapsed="false">
      <c r="A33" s="1" t="str">
        <f aca="false">'Raw Data'!A16</f>
        <v>CBCHS</v>
      </c>
      <c r="B33" s="0" t="n">
        <f aca="false">'Raw Data'!F16</f>
        <v>1</v>
      </c>
      <c r="C33" s="0" t="n">
        <f aca="false">'Raw Data'!G16</f>
        <v>3</v>
      </c>
      <c r="H33" s="0" t="s">
        <v>40</v>
      </c>
      <c r="I33" s="0" t="s">
        <v>41</v>
      </c>
      <c r="J33" s="0" t="n">
        <f aca="false">Q7</f>
        <v>66</v>
      </c>
      <c r="K33" s="0" t="n">
        <v>1</v>
      </c>
    </row>
    <row r="34" customFormat="false" ht="13" hidden="false" customHeight="false" outlineLevel="0" collapsed="false">
      <c r="A34" s="1" t="str">
        <f aca="false">'Raw Data'!A17</f>
        <v>Chelt sec</v>
      </c>
      <c r="B34" s="0" t="n">
        <f aca="false">'Raw Data'!F17</f>
        <v>1</v>
      </c>
      <c r="C34" s="0" t="n">
        <f aca="false">'Raw Data'!G17</f>
        <v>1</v>
      </c>
      <c r="H34" s="0" t="s">
        <v>44</v>
      </c>
      <c r="I34" s="0" t="s">
        <v>45</v>
      </c>
      <c r="J34" s="0" t="n">
        <f aca="false">Q8</f>
        <v>38</v>
      </c>
      <c r="K34" s="0" t="n">
        <f aca="false">IF(J34="bullying",1,0)</f>
        <v>0</v>
      </c>
      <c r="N34" s="0" t="n">
        <v>1</v>
      </c>
    </row>
    <row r="35" customFormat="false" ht="13" hidden="false" customHeight="false" outlineLevel="0" collapsed="false">
      <c r="A35" s="1" t="str">
        <f aca="false">'Raw Data'!A18</f>
        <v>St Finbars</v>
      </c>
      <c r="B35" s="0" t="n">
        <f aca="false">'Raw Data'!F18</f>
        <v>1</v>
      </c>
      <c r="C35" s="0" t="n">
        <f aca="false">'Raw Data'!G18</f>
        <v>1</v>
      </c>
      <c r="H35" s="0" t="s">
        <v>48</v>
      </c>
      <c r="I35" s="0" t="s">
        <v>38</v>
      </c>
      <c r="J35" s="0" t="n">
        <f aca="false">Q9</f>
        <v>60</v>
      </c>
      <c r="K35" s="0" t="n">
        <f aca="false">IF(J35="bullying",1,0)</f>
        <v>0</v>
      </c>
      <c r="N35" s="0" t="n">
        <v>1</v>
      </c>
    </row>
    <row r="36" customFormat="false" ht="13" hidden="false" customHeight="false" outlineLevel="0" collapsed="false">
      <c r="A36" s="1" t="str">
        <f aca="false">'Raw Data'!A19</f>
        <v>Edithvale prim</v>
      </c>
      <c r="B36" s="0" t="n">
        <f aca="false">'Raw Data'!F19</f>
        <v>1</v>
      </c>
      <c r="C36" s="0" t="n">
        <f aca="false">'Raw Data'!G19</f>
        <v>1</v>
      </c>
      <c r="H36" s="0" t="s">
        <v>50</v>
      </c>
      <c r="I36" s="0" t="s">
        <v>51</v>
      </c>
      <c r="J36" s="0" t="n">
        <f aca="false">Q10</f>
        <v>92</v>
      </c>
      <c r="K36" s="0" t="n">
        <v>1</v>
      </c>
    </row>
    <row r="37" customFormat="false" ht="13" hidden="false" customHeight="false" outlineLevel="0" collapsed="false">
      <c r="A37" s="1" t="str">
        <f aca="false">'Raw Data'!A20</f>
        <v>Anglicare</v>
      </c>
      <c r="B37" s="0" t="n">
        <f aca="false">'Raw Data'!F20</f>
        <v>0</v>
      </c>
      <c r="C37" s="0" t="n">
        <f aca="false">'Raw Data'!G20</f>
        <v>0</v>
      </c>
      <c r="H37" s="0" t="s">
        <v>29</v>
      </c>
      <c r="I37" s="0" t="s">
        <v>54</v>
      </c>
      <c r="J37" s="0" t="n">
        <f aca="false">Q11</f>
        <v>30</v>
      </c>
      <c r="K37" s="0" t="n">
        <f aca="false">IF(J37="bullying",1,0)</f>
        <v>0</v>
      </c>
      <c r="M37" s="0" t="n">
        <v>1</v>
      </c>
    </row>
    <row r="38" customFormat="false" ht="13" hidden="false" customHeight="false" outlineLevel="0" collapsed="false">
      <c r="H38" s="0" t="s">
        <v>56</v>
      </c>
      <c r="I38" s="0" t="s">
        <v>57</v>
      </c>
      <c r="J38" s="0" t="n">
        <f aca="false">Q12</f>
        <v>56</v>
      </c>
      <c r="K38" s="0" t="n">
        <v>1</v>
      </c>
    </row>
    <row r="39" customFormat="false" ht="13" hidden="false" customHeight="false" outlineLevel="0" collapsed="false">
      <c r="H39" s="0" t="s">
        <v>48</v>
      </c>
      <c r="I39" s="0" t="s">
        <v>59</v>
      </c>
      <c r="J39" s="0" t="n">
        <f aca="false">Q13</f>
        <v>32</v>
      </c>
      <c r="K39" s="0" t="n">
        <f aca="false">IF(J39="bullying",1,0)</f>
        <v>0</v>
      </c>
      <c r="N39" s="0" t="n">
        <v>1</v>
      </c>
    </row>
    <row r="40" customFormat="false" ht="13" hidden="false" customHeight="false" outlineLevel="0" collapsed="false">
      <c r="A40" s="0"/>
      <c r="H40" s="0" t="s">
        <v>29</v>
      </c>
      <c r="I40" s="0" t="s">
        <v>61</v>
      </c>
      <c r="J40" s="0" t="n">
        <f aca="false">Q14</f>
        <v>691</v>
      </c>
      <c r="K40" s="0" t="n">
        <f aca="false">IF(J40="bullying",1,0)</f>
        <v>0</v>
      </c>
      <c r="M40" s="0" t="n">
        <v>1</v>
      </c>
    </row>
    <row r="41" customFormat="false" ht="13" hidden="false" customHeight="false" outlineLevel="0" collapsed="false">
      <c r="A41" s="0"/>
      <c r="H41" s="0" t="s">
        <v>20</v>
      </c>
      <c r="I41" s="0" t="s">
        <v>41</v>
      </c>
      <c r="J41" s="0" t="n">
        <f aca="false">Q15</f>
        <v>89</v>
      </c>
      <c r="K41" s="0" t="n">
        <f aca="false">IF(J41="bullying",1,0)</f>
        <v>0</v>
      </c>
    </row>
    <row r="42" customFormat="false" ht="13" hidden="false" customHeight="false" outlineLevel="0" collapsed="false">
      <c r="A42" s="0"/>
      <c r="H42" s="0" t="s">
        <v>56</v>
      </c>
      <c r="I42" s="0" t="s">
        <v>41</v>
      </c>
      <c r="J42" s="0" t="n">
        <f aca="false">Q16</f>
        <v>67</v>
      </c>
      <c r="K42" s="0" t="n">
        <v>1</v>
      </c>
    </row>
    <row r="43" customFormat="false" ht="13" hidden="false" customHeight="false" outlineLevel="0" collapsed="false">
      <c r="A43" s="0"/>
      <c r="H43" s="0" t="s">
        <v>29</v>
      </c>
      <c r="I43" s="0" t="s">
        <v>30</v>
      </c>
      <c r="J43" s="0" t="n">
        <f aca="false">Q17</f>
        <v>14</v>
      </c>
      <c r="K43" s="0" t="n">
        <f aca="false">IF(J43="bullying",1,0)</f>
        <v>0</v>
      </c>
      <c r="M43" s="0" t="n">
        <v>1</v>
      </c>
    </row>
    <row r="44" customFormat="false" ht="13" hidden="false" customHeight="false" outlineLevel="0" collapsed="false">
      <c r="A44" s="0"/>
      <c r="H44" s="1"/>
      <c r="I44" s="1"/>
      <c r="K44" s="0" t="n">
        <f aca="false">SUM(K28:K43)</f>
        <v>7</v>
      </c>
    </row>
    <row r="45" customFormat="false" ht="13" hidden="false" customHeight="false" outlineLevel="0" collapsed="false">
      <c r="A45" s="0"/>
    </row>
    <row r="46" customFormat="false" ht="13" hidden="false" customHeight="false" outlineLevel="0" collapsed="false">
      <c r="A46" s="0"/>
    </row>
    <row r="152" customFormat="false" ht="13" hidden="false" customHeight="false" outlineLevel="0" collapsed="false">
      <c r="K152" s="0" t="n">
        <v>107</v>
      </c>
    </row>
    <row r="153" customFormat="false" ht="13" hidden="false" customHeight="false" outlineLevel="0" collapsed="false">
      <c r="K153" s="0" t="n">
        <f aca="false">159-107</f>
        <v>52</v>
      </c>
    </row>
    <row r="154" customFormat="false" ht="13" hidden="false" customHeight="false" outlineLevel="0" collapsed="false">
      <c r="K154" s="0" t="n">
        <f aca="false">K152+(K153/2)</f>
        <v>133</v>
      </c>
    </row>
  </sheetData>
  <printOptions headings="false" gridLines="false" gridLinesSet="true" horizontalCentered="true" verticalCentered="true"/>
  <pageMargins left="0.747916666666667" right="0.747916666666667" top="0.984027777777778" bottom="0.984027777777778" header="0.5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&amp;C&amp;"Geneva,Bold"&amp;12Appendix A&amp;R&amp;10Page &amp;P</oddHeader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11.16015625" defaultRowHeight="13" zeroHeight="false" outlineLevelRow="0" outlineLevelCol="0"/>
  <cols>
    <col collapsed="false" customWidth="true" hidden="false" outlineLevel="0" max="3" min="3" style="0" width="8.83"/>
    <col collapsed="false" customWidth="true" hidden="false" outlineLevel="0" max="6" min="6" style="0" width="11"/>
  </cols>
  <sheetData>
    <row r="1" customFormat="false" ht="13" hidden="false" customHeight="false" outlineLevel="0" collapsed="false">
      <c r="A1" s="10" t="s">
        <v>2</v>
      </c>
      <c r="B1" s="10" t="s">
        <v>3</v>
      </c>
      <c r="C1" s="0" t="s">
        <v>101</v>
      </c>
      <c r="D1" s="0" t="s">
        <v>127</v>
      </c>
      <c r="E1" s="0" t="s">
        <v>128</v>
      </c>
    </row>
    <row r="2" customFormat="false" ht="13" hidden="false" customHeight="false" outlineLevel="0" collapsed="false">
      <c r="A2" s="0" t="s">
        <v>69</v>
      </c>
      <c r="B2" s="0" t="s">
        <v>70</v>
      </c>
      <c r="C2" s="0" t="n">
        <v>1</v>
      </c>
    </row>
    <row r="3" customFormat="false" ht="13" hidden="false" customHeight="false" outlineLevel="0" collapsed="false">
      <c r="A3" s="0" t="s">
        <v>72</v>
      </c>
      <c r="B3" s="0" t="s">
        <v>70</v>
      </c>
      <c r="C3" s="0" t="n">
        <v>1</v>
      </c>
    </row>
    <row r="4" customFormat="false" ht="13" hidden="false" customHeight="false" outlineLevel="0" collapsed="false">
      <c r="A4" s="0" t="s">
        <v>74</v>
      </c>
      <c r="B4" s="0" t="s">
        <v>70</v>
      </c>
      <c r="C4" s="0" t="n">
        <v>1</v>
      </c>
    </row>
    <row r="5" customFormat="false" ht="13" hidden="false" customHeight="false" outlineLevel="0" collapsed="false">
      <c r="A5" s="0" t="s">
        <v>76</v>
      </c>
      <c r="B5" s="0" t="s">
        <v>77</v>
      </c>
      <c r="C5" s="0" t="n">
        <v>1</v>
      </c>
    </row>
    <row r="6" customFormat="false" ht="13" hidden="false" customHeight="false" outlineLevel="0" collapsed="false">
      <c r="A6" s="0" t="s">
        <v>79</v>
      </c>
      <c r="D6" s="0" t="n">
        <v>1</v>
      </c>
    </row>
    <row r="7" customFormat="false" ht="13" hidden="false" customHeight="false" outlineLevel="0" collapsed="false">
      <c r="A7" s="0" t="s">
        <v>81</v>
      </c>
      <c r="B7" s="0" t="s">
        <v>82</v>
      </c>
      <c r="E7" s="0" t="n">
        <v>1</v>
      </c>
      <c r="AC7" s="0" t="s">
        <v>129</v>
      </c>
    </row>
    <row r="8" customFormat="false" ht="13" hidden="false" customHeight="false" outlineLevel="0" collapsed="false">
      <c r="A8" s="0" t="s">
        <v>83</v>
      </c>
      <c r="B8" s="0" t="s">
        <v>84</v>
      </c>
      <c r="C8" s="0" t="n">
        <v>1</v>
      </c>
    </row>
    <row r="9" customFormat="false" ht="13" hidden="false" customHeight="false" outlineLevel="0" collapsed="false">
      <c r="A9" s="0" t="s">
        <v>32</v>
      </c>
      <c r="B9" s="0" t="s">
        <v>84</v>
      </c>
      <c r="C9" s="0" t="n">
        <v>1</v>
      </c>
    </row>
    <row r="10" customFormat="false" ht="13" hidden="false" customHeight="false" outlineLevel="0" collapsed="false">
      <c r="A10" s="0" t="s">
        <v>88</v>
      </c>
      <c r="B10" s="0" t="s">
        <v>70</v>
      </c>
      <c r="C10" s="0" t="n">
        <v>1</v>
      </c>
    </row>
    <row r="11" customFormat="false" ht="13" hidden="false" customHeight="false" outlineLevel="0" collapsed="false">
      <c r="A11" s="0" t="s">
        <v>89</v>
      </c>
      <c r="B11" s="0" t="s">
        <v>40</v>
      </c>
      <c r="C11" s="0" t="n">
        <v>1</v>
      </c>
    </row>
    <row r="12" customFormat="false" ht="13" hidden="false" customHeight="false" outlineLevel="0" collapsed="false">
      <c r="A12" s="0" t="s">
        <v>92</v>
      </c>
      <c r="B12" s="0" t="s">
        <v>40</v>
      </c>
      <c r="C12" s="0" t="n">
        <v>1</v>
      </c>
    </row>
    <row r="13" customFormat="false" ht="13" hidden="false" customHeight="false" outlineLevel="0" collapsed="false">
      <c r="C13" s="0" t="n">
        <f aca="false">SUM(C2:C12)</f>
        <v>9</v>
      </c>
      <c r="D13" s="0" t="n">
        <v>1</v>
      </c>
      <c r="E13" s="0" t="n">
        <v>1</v>
      </c>
    </row>
    <row r="15" customFormat="false" ht="13" hidden="false" customHeight="false" outlineLevel="0" collapsed="false">
      <c r="A15" s="10" t="s">
        <v>2</v>
      </c>
      <c r="B15" s="10" t="s">
        <v>7</v>
      </c>
      <c r="C15" s="49" t="s">
        <v>8</v>
      </c>
      <c r="D15" s="10" t="s">
        <v>5</v>
      </c>
      <c r="E15" s="10" t="s">
        <v>10</v>
      </c>
    </row>
    <row r="16" customFormat="false" ht="13" hidden="false" customHeight="false" outlineLevel="0" collapsed="false">
      <c r="A16" s="0" t="s">
        <v>69</v>
      </c>
      <c r="B16" s="0" t="n">
        <v>1</v>
      </c>
      <c r="C16" s="0" t="n">
        <v>2</v>
      </c>
      <c r="D16" s="0" t="n">
        <v>42</v>
      </c>
      <c r="E16" s="50" t="n">
        <v>35.7142857142857</v>
      </c>
      <c r="F16" s="50" t="n">
        <f aca="false">E16*D16</f>
        <v>1500</v>
      </c>
    </row>
    <row r="17" customFormat="false" ht="13" hidden="false" customHeight="false" outlineLevel="0" collapsed="false">
      <c r="A17" s="0" t="s">
        <v>72</v>
      </c>
      <c r="B17" s="0" t="n">
        <v>1</v>
      </c>
      <c r="C17" s="0" t="n">
        <v>1</v>
      </c>
      <c r="D17" s="0" t="n">
        <v>90</v>
      </c>
      <c r="E17" s="50" t="n">
        <v>16.6666666666667</v>
      </c>
      <c r="F17" s="50" t="n">
        <f aca="false">E17*D17</f>
        <v>1500</v>
      </c>
    </row>
    <row r="18" customFormat="false" ht="13" hidden="false" customHeight="false" outlineLevel="0" collapsed="false">
      <c r="A18" s="0" t="s">
        <v>74</v>
      </c>
      <c r="B18" s="0" t="n">
        <v>1</v>
      </c>
      <c r="C18" s="0" t="n">
        <v>1</v>
      </c>
      <c r="D18" s="0" t="n">
        <v>30</v>
      </c>
      <c r="E18" s="50" t="n">
        <v>47.6666666666667</v>
      </c>
      <c r="F18" s="50" t="n">
        <f aca="false">E18*D18</f>
        <v>1430</v>
      </c>
    </row>
    <row r="19" customFormat="false" ht="13" hidden="false" customHeight="false" outlineLevel="0" collapsed="false">
      <c r="A19" s="0" t="s">
        <v>76</v>
      </c>
      <c r="B19" s="0" t="n">
        <v>1</v>
      </c>
      <c r="C19" s="0" t="n">
        <v>1</v>
      </c>
      <c r="D19" s="0" t="n">
        <v>102</v>
      </c>
      <c r="E19" s="50" t="n">
        <v>5.88235294117647</v>
      </c>
      <c r="F19" s="50" t="n">
        <f aca="false">E19*D19</f>
        <v>600</v>
      </c>
    </row>
    <row r="20" customFormat="false" ht="13" hidden="false" customHeight="false" outlineLevel="0" collapsed="false">
      <c r="A20" s="0" t="s">
        <v>130</v>
      </c>
      <c r="B20" s="0" t="n">
        <v>8</v>
      </c>
      <c r="C20" s="0" t="n">
        <v>3</v>
      </c>
      <c r="D20" s="0" t="n">
        <v>0</v>
      </c>
      <c r="E20" s="53" t="s">
        <v>80</v>
      </c>
      <c r="F20" s="53" t="s">
        <v>80</v>
      </c>
    </row>
    <row r="21" customFormat="false" ht="13" hidden="false" customHeight="false" outlineLevel="0" collapsed="false">
      <c r="A21" s="0" t="s">
        <v>81</v>
      </c>
      <c r="B21" s="0" t="n">
        <v>4</v>
      </c>
      <c r="C21" s="0" t="n">
        <v>3</v>
      </c>
      <c r="D21" s="0" t="n">
        <v>19</v>
      </c>
      <c r="E21" s="50" t="n">
        <v>842.358421052632</v>
      </c>
      <c r="F21" s="50" t="n">
        <f aca="false">E21*D21</f>
        <v>16004.81</v>
      </c>
    </row>
    <row r="22" customFormat="false" ht="13" hidden="false" customHeight="false" outlineLevel="0" collapsed="false">
      <c r="A22" s="0" t="s">
        <v>83</v>
      </c>
      <c r="B22" s="0" t="n">
        <v>1</v>
      </c>
      <c r="C22" s="0" t="n">
        <v>1</v>
      </c>
      <c r="D22" s="0" t="n">
        <v>54</v>
      </c>
      <c r="E22" s="50" t="n">
        <v>26.7037037037037</v>
      </c>
      <c r="F22" s="50" t="n">
        <f aca="false">E22*D22</f>
        <v>1442</v>
      </c>
    </row>
    <row r="23" customFormat="false" ht="13" hidden="false" customHeight="false" outlineLevel="0" collapsed="false">
      <c r="A23" s="0" t="s">
        <v>32</v>
      </c>
      <c r="B23" s="0" t="n">
        <v>1</v>
      </c>
      <c r="C23" s="0" t="n">
        <v>2</v>
      </c>
      <c r="D23" s="0" t="n">
        <v>8</v>
      </c>
      <c r="E23" s="50" t="n">
        <v>118.25</v>
      </c>
      <c r="F23" s="50" t="n">
        <f aca="false">E23*D23</f>
        <v>946</v>
      </c>
    </row>
    <row r="24" customFormat="false" ht="13" hidden="false" customHeight="false" outlineLevel="0" collapsed="false">
      <c r="A24" s="0" t="s">
        <v>88</v>
      </c>
      <c r="B24" s="0" t="n">
        <v>1</v>
      </c>
      <c r="C24" s="0" t="n">
        <v>1</v>
      </c>
      <c r="D24" s="0" t="n">
        <v>23</v>
      </c>
      <c r="E24" s="50" t="n">
        <v>62.1739130434783</v>
      </c>
      <c r="F24" s="50" t="n">
        <f aca="false">E24*D24</f>
        <v>1430</v>
      </c>
    </row>
    <row r="25" customFormat="false" ht="13" hidden="false" customHeight="false" outlineLevel="0" collapsed="false">
      <c r="A25" s="0" t="s">
        <v>89</v>
      </c>
      <c r="B25" s="0" t="n">
        <v>1</v>
      </c>
      <c r="C25" s="0" t="n">
        <v>1</v>
      </c>
      <c r="D25" s="0" t="n">
        <v>50</v>
      </c>
      <c r="E25" s="50" t="n">
        <v>30</v>
      </c>
      <c r="F25" s="50" t="n">
        <f aca="false">E25*D25</f>
        <v>1500</v>
      </c>
    </row>
    <row r="26" customFormat="false" ht="13" hidden="false" customHeight="false" outlineLevel="0" collapsed="false">
      <c r="A26" s="0" t="s">
        <v>92</v>
      </c>
      <c r="B26" s="0" t="n">
        <v>1</v>
      </c>
      <c r="C26" s="0" t="n">
        <v>1</v>
      </c>
      <c r="D26" s="0" t="n">
        <v>74</v>
      </c>
      <c r="E26" s="50" t="n">
        <v>20.2702702702703</v>
      </c>
      <c r="F26" s="50" t="n">
        <f aca="false">E26*D26</f>
        <v>1500</v>
      </c>
    </row>
    <row r="29" customFormat="false" ht="13" hidden="false" customHeight="false" outlineLevel="0" collapsed="false">
      <c r="B29" s="0" t="s">
        <v>101</v>
      </c>
      <c r="C29" s="0" t="s">
        <v>127</v>
      </c>
      <c r="D29" s="0" t="s">
        <v>128</v>
      </c>
    </row>
    <row r="30" customFormat="false" ht="13" hidden="false" customHeight="false" outlineLevel="0" collapsed="false">
      <c r="A30" s="0" t="s">
        <v>131</v>
      </c>
      <c r="B30" s="0" t="n">
        <f aca="false">SUM(D16+D17+D18+D19+D22+D23+D24+D25+D26)</f>
        <v>473</v>
      </c>
      <c r="C30" s="0" t="n">
        <v>0</v>
      </c>
      <c r="D30" s="0" t="n">
        <v>19</v>
      </c>
    </row>
    <row r="31" customFormat="false" ht="13" hidden="false" customHeight="false" outlineLevel="0" collapsed="false">
      <c r="A31" s="0" t="s">
        <v>132</v>
      </c>
      <c r="B31" s="50" t="n">
        <f aca="false">SUM(F16+F17+F18+F19+F22+F23+F24+F25+F26)</f>
        <v>11848</v>
      </c>
      <c r="C31" s="0" t="n">
        <v>0</v>
      </c>
      <c r="D31" s="50" t="n">
        <v>842.358421052632</v>
      </c>
    </row>
    <row r="32" customFormat="false" ht="13" hidden="false" customHeight="false" outlineLevel="0" collapsed="false">
      <c r="A32" s="0" t="s">
        <v>133</v>
      </c>
      <c r="B32" s="50" t="n">
        <f aca="false">B31/B30</f>
        <v>25.0486257928118</v>
      </c>
      <c r="C32" s="0" t="n">
        <f aca="false">C31/D13</f>
        <v>0</v>
      </c>
      <c r="D32" s="54" t="n">
        <f aca="false">D31/E13</f>
        <v>842.358421052632</v>
      </c>
    </row>
    <row r="35" customFormat="false" ht="13" hidden="false" customHeight="false" outlineLevel="0" collapsed="false">
      <c r="B35" s="0" t="s">
        <v>101</v>
      </c>
      <c r="C35" s="0" t="s">
        <v>127</v>
      </c>
      <c r="D35" s="0" t="s">
        <v>128</v>
      </c>
    </row>
    <row r="36" customFormat="false" ht="13" hidden="false" customHeight="false" outlineLevel="0" collapsed="false">
      <c r="A36" s="42" t="s">
        <v>7</v>
      </c>
      <c r="B36" s="0" t="n">
        <f aca="false">SUM(B16+B17+B18+B19+B22+B23+B24+B25+B26)</f>
        <v>9</v>
      </c>
      <c r="C36" s="0" t="n">
        <f aca="false">SUM(B20)</f>
        <v>8</v>
      </c>
      <c r="D36" s="0" t="n">
        <v>4</v>
      </c>
    </row>
    <row r="37" customFormat="false" ht="13" hidden="false" customHeight="false" outlineLevel="0" collapsed="false">
      <c r="A37" s="0" t="s">
        <v>134</v>
      </c>
      <c r="B37" s="0" t="n">
        <f aca="false">SUM(C16+C17+C18+C19+C22+C23+C24+C25+C26)</f>
        <v>11</v>
      </c>
      <c r="C37" s="0" t="n">
        <v>3</v>
      </c>
      <c r="D37" s="0" t="n">
        <v>3</v>
      </c>
    </row>
  </sheetData>
  <printOptions headings="false" gridLines="false" gridLinesSet="true" horizontalCentered="true" verticalCentered="true"/>
  <pageMargins left="0.747916666666667" right="0.747916666666667" top="0.984027777777778" bottom="0.984027777777778" header="0.5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&amp;C&amp;"Geneva,Bold"&amp;12Appendix A&amp;R&amp;10Page &amp;P</oddHeader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37"/>
  <sheetViews>
    <sheetView showFormulas="false" showGridLines="true" showRowColHeaders="true" showZeros="true" rightToLeft="false" tabSelected="true" showOutlineSymbols="true" defaultGridColor="true" view="normal" topLeftCell="A8" colorId="64" zoomScale="100" zoomScaleNormal="100" zoomScalePageLayoutView="100" workbookViewId="0">
      <selection pane="topLeft" activeCell="A17" activeCellId="0" sqref="A17"/>
    </sheetView>
  </sheetViews>
  <sheetFormatPr defaultColWidth="11.16015625" defaultRowHeight="13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9.5"/>
    <col collapsed="false" customWidth="true" hidden="false" outlineLevel="0" max="3" min="3" style="0" width="9.33"/>
    <col collapsed="false" customWidth="true" hidden="false" outlineLevel="0" max="4" min="4" style="0" width="6"/>
    <col collapsed="false" customWidth="true" hidden="false" outlineLevel="0" max="5" min="5" style="0" width="6.49"/>
    <col collapsed="false" customWidth="true" hidden="false" outlineLevel="0" max="10" min="6" style="0" width="4.83"/>
    <col collapsed="false" customWidth="true" hidden="false" outlineLevel="0" max="11" min="11" style="0" width="9"/>
    <col collapsed="false" customWidth="true" hidden="false" outlineLevel="0" max="13" min="12" style="0" width="11.66"/>
    <col collapsed="false" customWidth="true" hidden="false" outlineLevel="0" max="21" min="21" style="0" width="11.66"/>
  </cols>
  <sheetData>
    <row r="1" customFormat="false" ht="19" hidden="false" customHeight="false" outlineLevel="0" collapsed="false">
      <c r="A1" s="4" t="s">
        <v>0</v>
      </c>
      <c r="B1" s="6"/>
      <c r="C1" s="6"/>
      <c r="D1" s="6"/>
    </row>
    <row r="2" customFormat="false" ht="16" hidden="false" customHeight="false" outlineLevel="0" collapsed="false">
      <c r="B2" s="55" t="s">
        <v>1</v>
      </c>
      <c r="C2" s="10"/>
      <c r="M2" s="10" t="s">
        <v>135</v>
      </c>
      <c r="Q2" s="56" t="s">
        <v>136</v>
      </c>
    </row>
    <row r="3" customFormat="false" ht="59" hidden="false" customHeight="true" outlineLevel="0" collapsed="false">
      <c r="A3" s="57" t="s">
        <v>2</v>
      </c>
      <c r="B3" s="57" t="s">
        <v>3</v>
      </c>
      <c r="C3" s="58" t="s">
        <v>4</v>
      </c>
      <c r="D3" s="59" t="s">
        <v>131</v>
      </c>
      <c r="E3" s="15" t="s">
        <v>135</v>
      </c>
      <c r="F3" s="15" t="s">
        <v>136</v>
      </c>
      <c r="G3" s="60" t="s">
        <v>101</v>
      </c>
      <c r="H3" s="15" t="s">
        <v>121</v>
      </c>
      <c r="I3" s="15" t="s">
        <v>123</v>
      </c>
      <c r="J3" s="60" t="s">
        <v>122</v>
      </c>
      <c r="K3" s="61" t="str">
        <f aca="false">'Raw Data'!I4</f>
        <v>$$ per child</v>
      </c>
      <c r="M3" s="62" t="str">
        <f aca="false">G3</f>
        <v>Peer skills</v>
      </c>
      <c r="N3" s="62" t="str">
        <f aca="false">H3</f>
        <v>Culture</v>
      </c>
      <c r="O3" s="62" t="str">
        <f aca="false">I3</f>
        <v>Health</v>
      </c>
      <c r="P3" s="62" t="str">
        <f aca="false">J3</f>
        <v>School Retention</v>
      </c>
      <c r="Q3" s="63" t="str">
        <f aca="false">M3</f>
        <v>Peer skills</v>
      </c>
      <c r="R3" s="62" t="str">
        <f aca="false">N3</f>
        <v>Culture</v>
      </c>
      <c r="S3" s="62" t="str">
        <f aca="false">O3</f>
        <v>Health</v>
      </c>
      <c r="T3" s="62" t="str">
        <f aca="false">P3</f>
        <v>School Retention</v>
      </c>
    </row>
    <row r="4" customFormat="false" ht="25" hidden="false" customHeight="false" outlineLevel="0" collapsed="false">
      <c r="A4" s="18" t="s">
        <v>19</v>
      </c>
      <c r="B4" s="18" t="s">
        <v>20</v>
      </c>
      <c r="C4" s="17" t="s">
        <v>21</v>
      </c>
      <c r="D4" s="19" t="n">
        <v>141</v>
      </c>
      <c r="E4" s="19" t="n">
        <v>141</v>
      </c>
      <c r="F4" s="19"/>
      <c r="G4" s="19" t="n">
        <v>1</v>
      </c>
      <c r="H4" s="19"/>
      <c r="I4" s="19"/>
      <c r="J4" s="19"/>
      <c r="K4" s="64" t="n">
        <f aca="false">'Raw Data'!I5</f>
        <v>290.028571428571</v>
      </c>
      <c r="L4" s="54" t="n">
        <f aca="false">'Raw Data'!K5</f>
        <v>3500</v>
      </c>
      <c r="M4" s="2" t="n">
        <f aca="false">IF(G4=1,$K4*$E4,0)</f>
        <v>40894.0285714286</v>
      </c>
      <c r="N4" s="2" t="n">
        <f aca="false">IF(H4=1,$K4*$E4,0)</f>
        <v>0</v>
      </c>
      <c r="O4" s="2" t="n">
        <f aca="false">IF(I4=1,$K4*$E4,0)</f>
        <v>0</v>
      </c>
      <c r="P4" s="2" t="n">
        <f aca="false">IF(J4=1,$K4*$E4,0)</f>
        <v>0</v>
      </c>
      <c r="Q4" s="65" t="n">
        <f aca="false">IF(G4=1,$K4*$F4,0)</f>
        <v>0</v>
      </c>
      <c r="R4" s="2" t="n">
        <f aca="false">IF(H4=1,$K4*$F4,0)</f>
        <v>0</v>
      </c>
      <c r="S4" s="2" t="n">
        <f aca="false">IF(I4=1,$K4*$F4,0)</f>
        <v>0</v>
      </c>
      <c r="T4" s="2" t="n">
        <f aca="false">IF(J4=1,$K4*$F4,0)</f>
        <v>0</v>
      </c>
    </row>
    <row r="5" customFormat="false" ht="25" hidden="false" customHeight="false" outlineLevel="0" collapsed="false">
      <c r="A5" s="18" t="s">
        <v>24</v>
      </c>
      <c r="B5" s="18" t="s">
        <v>25</v>
      </c>
      <c r="C5" s="17" t="s">
        <v>26</v>
      </c>
      <c r="D5" s="19" t="n">
        <v>7</v>
      </c>
      <c r="E5" s="19"/>
      <c r="F5" s="19" t="n">
        <v>7</v>
      </c>
      <c r="G5" s="19" t="n">
        <v>1</v>
      </c>
      <c r="H5" s="19"/>
      <c r="I5" s="19"/>
      <c r="J5" s="19"/>
      <c r="K5" s="64" t="n">
        <f aca="false">'Raw Data'!I6</f>
        <v>290.028571428571</v>
      </c>
      <c r="L5" s="54" t="n">
        <f aca="false">'Raw Data'!K6</f>
        <v>2030.2</v>
      </c>
      <c r="M5" s="2" t="n">
        <f aca="false">IF(G5=1,$K5*$E5,0)</f>
        <v>0</v>
      </c>
      <c r="N5" s="2" t="n">
        <f aca="false">IF(H5=1,$K5*$E5,0)</f>
        <v>0</v>
      </c>
      <c r="O5" s="2" t="n">
        <f aca="false">IF(I5=1,$K5*$E5,0)</f>
        <v>0</v>
      </c>
      <c r="P5" s="2" t="n">
        <f aca="false">IF(J5=1,$K5*$E5,0)</f>
        <v>0</v>
      </c>
      <c r="Q5" s="65" t="n">
        <f aca="false">IF(G5=1,$K5*$F5,0)</f>
        <v>2030.2</v>
      </c>
      <c r="R5" s="2" t="n">
        <f aca="false">IF(H5=1,$K5*$F5,0)</f>
        <v>0</v>
      </c>
      <c r="S5" s="2" t="n">
        <f aca="false">IF(I5=1,$K5*$F5,0)</f>
        <v>0</v>
      </c>
      <c r="T5" s="2" t="n">
        <f aca="false">IF(J5=1,$K5*$F5,0)</f>
        <v>0</v>
      </c>
    </row>
    <row r="6" customFormat="false" ht="13" hidden="false" customHeight="false" outlineLevel="0" collapsed="false">
      <c r="A6" s="18" t="s">
        <v>28</v>
      </c>
      <c r="B6" s="18" t="s">
        <v>29</v>
      </c>
      <c r="C6" s="17" t="s">
        <v>30</v>
      </c>
      <c r="D6" s="19" t="n">
        <v>4</v>
      </c>
      <c r="E6" s="19" t="n">
        <v>2</v>
      </c>
      <c r="F6" s="19" t="n">
        <v>2</v>
      </c>
      <c r="G6" s="19"/>
      <c r="H6" s="19"/>
      <c r="I6" s="19"/>
      <c r="J6" s="19" t="n">
        <v>1</v>
      </c>
      <c r="K6" s="64" t="n">
        <f aca="false">'Raw Data'!I7</f>
        <v>875</v>
      </c>
      <c r="L6" s="54" t="n">
        <f aca="false">'Raw Data'!K7</f>
        <v>3500</v>
      </c>
      <c r="M6" s="2" t="n">
        <f aca="false">IF(G6=1,$K6*$E6,0)</f>
        <v>0</v>
      </c>
      <c r="N6" s="2" t="n">
        <f aca="false">IF(H6=1,$K6*$E6,0)</f>
        <v>0</v>
      </c>
      <c r="O6" s="2" t="n">
        <f aca="false">IF(I6=1,$K6*$E6,0)</f>
        <v>0</v>
      </c>
      <c r="P6" s="2" t="n">
        <f aca="false">IF(J6=1,$K6*$E6,0)</f>
        <v>1750</v>
      </c>
      <c r="Q6" s="65" t="n">
        <f aca="false">IF(G6=1,$K6*$F6,0)</f>
        <v>0</v>
      </c>
      <c r="R6" s="2" t="n">
        <f aca="false">IF(H6=1,$K6*$F6,0)</f>
        <v>0</v>
      </c>
      <c r="S6" s="2" t="n">
        <f aca="false">IF(I6=1,$K6*$F6,0)</f>
        <v>0</v>
      </c>
      <c r="T6" s="2" t="n">
        <f aca="false">IF(J6=1,$K6*$F6,0)</f>
        <v>1750</v>
      </c>
    </row>
    <row r="7" customFormat="false" ht="25" hidden="false" customHeight="false" outlineLevel="0" collapsed="false">
      <c r="A7" s="18" t="s">
        <v>32</v>
      </c>
      <c r="B7" s="18" t="s">
        <v>33</v>
      </c>
      <c r="C7" s="17" t="s">
        <v>34</v>
      </c>
      <c r="D7" s="19" t="n">
        <v>148</v>
      </c>
      <c r="E7" s="19"/>
      <c r="F7" s="19" t="n">
        <v>148</v>
      </c>
      <c r="G7" s="19" t="n">
        <v>1</v>
      </c>
      <c r="H7" s="19"/>
      <c r="I7" s="19"/>
      <c r="J7" s="19"/>
      <c r="K7" s="64" t="n">
        <f aca="false">'Raw Data'!I8</f>
        <v>26.2162162162162</v>
      </c>
      <c r="L7" s="54" t="n">
        <f aca="false">'Raw Data'!K8</f>
        <v>3880</v>
      </c>
      <c r="M7" s="2" t="n">
        <f aca="false">IF(G7=1,$K7*$E7,0)</f>
        <v>0</v>
      </c>
      <c r="N7" s="2" t="n">
        <f aca="false">IF(H7=1,$K7*$E7,0)</f>
        <v>0</v>
      </c>
      <c r="O7" s="2" t="n">
        <f aca="false">IF(I7=1,$K7*$E7,0)</f>
        <v>0</v>
      </c>
      <c r="P7" s="2" t="n">
        <f aca="false">IF(J7=1,$K7*$E7,0)</f>
        <v>0</v>
      </c>
      <c r="Q7" s="65" t="n">
        <f aca="false">IF(G7=1,$K7*$F7,0)</f>
        <v>3880</v>
      </c>
      <c r="R7" s="2" t="n">
        <f aca="false">IF(H7=1,$K7*$F7,0)</f>
        <v>0</v>
      </c>
      <c r="S7" s="2" t="n">
        <f aca="false">IF(I7=1,$K7*$F7,0)</f>
        <v>0</v>
      </c>
      <c r="T7" s="2" t="n">
        <f aca="false">IF(J7=1,$K7*$F7,0)</f>
        <v>0</v>
      </c>
    </row>
    <row r="8" customFormat="false" ht="13" hidden="false" customHeight="false" outlineLevel="0" collapsed="false">
      <c r="A8" s="18" t="s">
        <v>36</v>
      </c>
      <c r="B8" s="18" t="s">
        <v>37</v>
      </c>
      <c r="C8" s="17" t="s">
        <v>38</v>
      </c>
      <c r="D8" s="19" t="n">
        <v>19</v>
      </c>
      <c r="E8" s="19"/>
      <c r="F8" s="19" t="n">
        <v>19</v>
      </c>
      <c r="G8" s="19"/>
      <c r="H8" s="19" t="n">
        <v>1</v>
      </c>
      <c r="I8" s="19"/>
      <c r="J8" s="19"/>
      <c r="K8" s="64" t="n">
        <f aca="false">'Raw Data'!I9</f>
        <v>180.286315789474</v>
      </c>
      <c r="L8" s="54" t="n">
        <f aca="false">'Raw Data'!K9</f>
        <v>3425.44</v>
      </c>
      <c r="M8" s="2" t="n">
        <f aca="false">IF(G8=1,$K8*$E8,0)</f>
        <v>0</v>
      </c>
      <c r="N8" s="2" t="n">
        <f aca="false">IF(H8=1,$K8*$E8,0)</f>
        <v>0</v>
      </c>
      <c r="O8" s="2" t="n">
        <f aca="false">IF(I8=1,$K8*$E8,0)</f>
        <v>0</v>
      </c>
      <c r="P8" s="2" t="n">
        <f aca="false">IF(J8=1,$K8*$E8,0)</f>
        <v>0</v>
      </c>
      <c r="Q8" s="65" t="n">
        <f aca="false">IF(G8=1,$K8*$F8,0)</f>
        <v>0</v>
      </c>
      <c r="R8" s="2" t="n">
        <f aca="false">IF(H8=1,$K8*$F8,0)</f>
        <v>3425.44</v>
      </c>
      <c r="S8" s="2" t="n">
        <f aca="false">IF(I8=1,$K8*$F8,0)</f>
        <v>0</v>
      </c>
      <c r="T8" s="2" t="n">
        <f aca="false">IF(J8=1,$K8*$F8,0)</f>
        <v>0</v>
      </c>
    </row>
    <row r="9" customFormat="false" ht="13" hidden="false" customHeight="false" outlineLevel="0" collapsed="false">
      <c r="A9" s="18" t="s">
        <v>39</v>
      </c>
      <c r="B9" s="18" t="s">
        <v>40</v>
      </c>
      <c r="C9" s="17" t="s">
        <v>41</v>
      </c>
      <c r="D9" s="19" t="n">
        <v>66</v>
      </c>
      <c r="E9" s="19" t="n">
        <v>66</v>
      </c>
      <c r="F9" s="19"/>
      <c r="G9" s="19" t="n">
        <v>1</v>
      </c>
      <c r="H9" s="19"/>
      <c r="I9" s="19"/>
      <c r="J9" s="19"/>
      <c r="K9" s="64" t="n">
        <f aca="false">'Raw Data'!I10</f>
        <v>45.4545454545455</v>
      </c>
      <c r="L9" s="54" t="n">
        <f aca="false">'Raw Data'!K10</f>
        <v>3000</v>
      </c>
      <c r="M9" s="2" t="n">
        <f aca="false">IF(G9=1,$K9*$E9,0)</f>
        <v>3000</v>
      </c>
      <c r="N9" s="2" t="n">
        <f aca="false">IF(H9=1,$K9*$E9,0)</f>
        <v>0</v>
      </c>
      <c r="O9" s="2" t="n">
        <f aca="false">IF(I9=1,$K9*$E9,0)</f>
        <v>0</v>
      </c>
      <c r="P9" s="2" t="n">
        <f aca="false">IF(J9=1,$K9*$E9,0)</f>
        <v>0</v>
      </c>
      <c r="Q9" s="65" t="n">
        <f aca="false">IF(G9=1,$K9*$F9,0)</f>
        <v>0</v>
      </c>
      <c r="R9" s="2" t="n">
        <f aca="false">IF(H9=1,$K9*$F9,0)</f>
        <v>0</v>
      </c>
      <c r="S9" s="2" t="n">
        <f aca="false">IF(I9=1,$K9*$F9,0)</f>
        <v>0</v>
      </c>
      <c r="T9" s="2" t="n">
        <f aca="false">IF(J9=1,$K9*$F9,0)</f>
        <v>0</v>
      </c>
    </row>
    <row r="10" customFormat="false" ht="25" hidden="false" customHeight="false" outlineLevel="0" collapsed="false">
      <c r="A10" s="18" t="s">
        <v>43</v>
      </c>
      <c r="B10" s="18" t="s">
        <v>44</v>
      </c>
      <c r="C10" s="17" t="s">
        <v>45</v>
      </c>
      <c r="D10" s="19" t="n">
        <v>38</v>
      </c>
      <c r="E10" s="19" t="n">
        <v>1</v>
      </c>
      <c r="F10" s="19" t="n">
        <v>37</v>
      </c>
      <c r="G10" s="19"/>
      <c r="H10" s="19"/>
      <c r="I10" s="19" t="n">
        <v>1</v>
      </c>
      <c r="J10" s="19"/>
      <c r="K10" s="64" t="n">
        <f aca="false">'Raw Data'!I11</f>
        <v>92.1052631578947</v>
      </c>
      <c r="L10" s="54" t="n">
        <f aca="false">'Raw Data'!K11</f>
        <v>3500</v>
      </c>
      <c r="M10" s="2" t="n">
        <f aca="false">IF(G10=1,$K10*$E10,0)</f>
        <v>0</v>
      </c>
      <c r="N10" s="2" t="n">
        <f aca="false">IF(H10=1,$K10*$E10,0)</f>
        <v>0</v>
      </c>
      <c r="O10" s="2" t="n">
        <f aca="false">IF(I10=1,$K10*$E10,0)</f>
        <v>92.1052631578947</v>
      </c>
      <c r="P10" s="2" t="n">
        <f aca="false">IF(J10=1,$K10*$E10,0)</f>
        <v>0</v>
      </c>
      <c r="Q10" s="65" t="n">
        <f aca="false">IF(G10=1,$K10*$F10,0)</f>
        <v>0</v>
      </c>
      <c r="R10" s="2" t="n">
        <f aca="false">IF(H10=1,$K10*$F10,0)</f>
        <v>0</v>
      </c>
      <c r="S10" s="2" t="n">
        <f aca="false">IF(I10=1,$K10*$F10,0)</f>
        <v>3407.89473684211</v>
      </c>
      <c r="T10" s="2" t="n">
        <f aca="false">IF(J10=1,$K10*$F10,0)</f>
        <v>0</v>
      </c>
    </row>
    <row r="11" customFormat="false" ht="25" hidden="false" customHeight="false" outlineLevel="0" collapsed="false">
      <c r="A11" s="18" t="s">
        <v>47</v>
      </c>
      <c r="B11" s="18" t="s">
        <v>48</v>
      </c>
      <c r="C11" s="17" t="s">
        <v>38</v>
      </c>
      <c r="D11" s="19" t="n">
        <v>60</v>
      </c>
      <c r="E11" s="19"/>
      <c r="F11" s="19" t="n">
        <v>60</v>
      </c>
      <c r="G11" s="19"/>
      <c r="H11" s="19"/>
      <c r="I11" s="19" t="n">
        <v>1</v>
      </c>
      <c r="J11" s="19"/>
      <c r="K11" s="64" t="n">
        <f aca="false">'Raw Data'!I12</f>
        <v>27.5</v>
      </c>
      <c r="L11" s="54" t="n">
        <f aca="false">'Raw Data'!K12</f>
        <v>1650</v>
      </c>
      <c r="M11" s="2" t="n">
        <f aca="false">IF(G11=1,$K11*$E11,0)</f>
        <v>0</v>
      </c>
      <c r="N11" s="2" t="n">
        <f aca="false">IF(H11=1,$K11*$E11,0)</f>
        <v>0</v>
      </c>
      <c r="O11" s="2" t="n">
        <f aca="false">IF(I11=1,$K11*$E11,0)</f>
        <v>0</v>
      </c>
      <c r="P11" s="2" t="n">
        <f aca="false">IF(J11=1,$K11*$E11,0)</f>
        <v>0</v>
      </c>
      <c r="Q11" s="65" t="n">
        <f aca="false">IF(G11=1,$K11*$F11,0)</f>
        <v>0</v>
      </c>
      <c r="R11" s="2" t="n">
        <f aca="false">IF(H11=1,$K11*$F11,0)</f>
        <v>0</v>
      </c>
      <c r="S11" s="2" t="n">
        <f aca="false">IF(I11=1,$K11*$F11,0)</f>
        <v>1650</v>
      </c>
      <c r="T11" s="2" t="n">
        <f aca="false">IF(J11=1,$K11*$F11,0)</f>
        <v>0</v>
      </c>
    </row>
    <row r="12" customFormat="false" ht="13" hidden="false" customHeight="false" outlineLevel="0" collapsed="false">
      <c r="A12" s="18" t="s">
        <v>49</v>
      </c>
      <c r="B12" s="18" t="s">
        <v>50</v>
      </c>
      <c r="C12" s="17" t="s">
        <v>51</v>
      </c>
      <c r="D12" s="19" t="n">
        <v>92</v>
      </c>
      <c r="E12" s="19" t="n">
        <v>92</v>
      </c>
      <c r="F12" s="19"/>
      <c r="G12" s="19" t="n">
        <v>1</v>
      </c>
      <c r="H12" s="19"/>
      <c r="I12" s="19"/>
      <c r="J12" s="19"/>
      <c r="K12" s="64" t="n">
        <f aca="false">'Raw Data'!I13</f>
        <v>32.6086956521739</v>
      </c>
      <c r="L12" s="54" t="n">
        <f aca="false">'Raw Data'!K13</f>
        <v>3000</v>
      </c>
      <c r="M12" s="2" t="n">
        <f aca="false">IF(G12=1,$K12*$E12,0)</f>
        <v>3000</v>
      </c>
      <c r="N12" s="2" t="n">
        <f aca="false">IF(H12=1,$K12*$E12,0)</f>
        <v>0</v>
      </c>
      <c r="O12" s="2" t="n">
        <f aca="false">IF(I12=1,$K12*$E12,0)</f>
        <v>0</v>
      </c>
      <c r="P12" s="2" t="n">
        <f aca="false">IF(J12=1,$K12*$E12,0)</f>
        <v>0</v>
      </c>
      <c r="Q12" s="65" t="n">
        <f aca="false">IF(G12=1,$K12*$F12,0)</f>
        <v>0</v>
      </c>
      <c r="R12" s="2" t="n">
        <f aca="false">IF(H12=1,$K12*$F12,0)</f>
        <v>0</v>
      </c>
      <c r="S12" s="2" t="n">
        <f aca="false">IF(I12=1,$K12*$F12,0)</f>
        <v>0</v>
      </c>
      <c r="T12" s="2" t="n">
        <f aca="false">IF(J12=1,$K12*$F12,0)</f>
        <v>0</v>
      </c>
    </row>
    <row r="13" customFormat="false" ht="13" hidden="false" customHeight="false" outlineLevel="0" collapsed="false">
      <c r="A13" s="18" t="s">
        <v>53</v>
      </c>
      <c r="B13" s="18" t="s">
        <v>29</v>
      </c>
      <c r="C13" s="17" t="s">
        <v>30</v>
      </c>
      <c r="D13" s="19" t="n">
        <v>30</v>
      </c>
      <c r="E13" s="19"/>
      <c r="F13" s="19" t="n">
        <v>30</v>
      </c>
      <c r="G13" s="19"/>
      <c r="H13" s="19"/>
      <c r="I13" s="19"/>
      <c r="J13" s="19" t="n">
        <v>1</v>
      </c>
      <c r="K13" s="64" t="n">
        <f aca="false">'Raw Data'!I14</f>
        <v>85.3658536585366</v>
      </c>
      <c r="L13" s="54" t="n">
        <f aca="false">'Raw Data'!K14</f>
        <v>3500</v>
      </c>
      <c r="M13" s="2" t="n">
        <f aca="false">IF(G13=1,$K13*$E13,0)</f>
        <v>0</v>
      </c>
      <c r="N13" s="2" t="n">
        <f aca="false">IF(H13=1,$K13*$E13,0)</f>
        <v>0</v>
      </c>
      <c r="O13" s="2" t="n">
        <f aca="false">IF(I13=1,$K13*$E13,0)</f>
        <v>0</v>
      </c>
      <c r="P13" s="2" t="n">
        <f aca="false">IF(J13=1,$K13*$E13,0)</f>
        <v>0</v>
      </c>
      <c r="Q13" s="65" t="n">
        <f aca="false">IF(G13=1,$K13*$F13,0)</f>
        <v>0</v>
      </c>
      <c r="R13" s="2" t="n">
        <f aca="false">IF(H13=1,$K13*$F13,0)</f>
        <v>0</v>
      </c>
      <c r="S13" s="2" t="n">
        <f aca="false">IF(I13=1,$K13*$F13,0)</f>
        <v>0</v>
      </c>
      <c r="T13" s="2" t="n">
        <f aca="false">IF(J13=1,$K13*$F13,0)</f>
        <v>2560.9756097561</v>
      </c>
    </row>
    <row r="14" customFormat="false" ht="25" hidden="false" customHeight="false" outlineLevel="0" collapsed="false">
      <c r="A14" s="18" t="s">
        <v>55</v>
      </c>
      <c r="B14" s="18" t="s">
        <v>56</v>
      </c>
      <c r="C14" s="17" t="s">
        <v>57</v>
      </c>
      <c r="D14" s="19" t="n">
        <v>56</v>
      </c>
      <c r="E14" s="19" t="n">
        <v>56</v>
      </c>
      <c r="F14" s="19"/>
      <c r="G14" s="19" t="n">
        <v>1</v>
      </c>
      <c r="H14" s="19"/>
      <c r="I14" s="19"/>
      <c r="J14" s="19"/>
      <c r="K14" s="64" t="n">
        <f aca="false">'Raw Data'!I15</f>
        <v>18.5</v>
      </c>
      <c r="L14" s="54" t="n">
        <f aca="false">'Raw Data'!K15</f>
        <v>2035</v>
      </c>
      <c r="M14" s="2" t="n">
        <f aca="false">IF(G14=1,$K14*$E14,0)</f>
        <v>1036</v>
      </c>
      <c r="N14" s="2" t="n">
        <f aca="false">IF(H14=1,$K14*$E14,0)</f>
        <v>0</v>
      </c>
      <c r="O14" s="2" t="n">
        <f aca="false">IF(I14=1,$K14*$E14,0)</f>
        <v>0</v>
      </c>
      <c r="P14" s="2" t="n">
        <f aca="false">IF(J14=1,$K14*$E14,0)</f>
        <v>0</v>
      </c>
      <c r="Q14" s="65" t="n">
        <f aca="false">IF(G14=1,$K14*$F14,0)</f>
        <v>0</v>
      </c>
      <c r="R14" s="2" t="n">
        <f aca="false">IF(H14=1,$K14*$F14,0)</f>
        <v>0</v>
      </c>
      <c r="S14" s="2" t="n">
        <f aca="false">IF(I14=1,$K14*$F14,0)</f>
        <v>0</v>
      </c>
      <c r="T14" s="2" t="n">
        <f aca="false">IF(J14=1,$K14*$F14,0)</f>
        <v>0</v>
      </c>
    </row>
    <row r="15" customFormat="false" ht="25" hidden="false" customHeight="false" outlineLevel="0" collapsed="false">
      <c r="A15" s="18" t="s">
        <v>47</v>
      </c>
      <c r="B15" s="18" t="s">
        <v>48</v>
      </c>
      <c r="C15" s="17" t="s">
        <v>59</v>
      </c>
      <c r="D15" s="19" t="n">
        <v>32</v>
      </c>
      <c r="E15" s="19"/>
      <c r="F15" s="19" t="n">
        <v>32</v>
      </c>
      <c r="G15" s="19"/>
      <c r="H15" s="19"/>
      <c r="I15" s="19" t="n">
        <v>1</v>
      </c>
      <c r="J15" s="19"/>
      <c r="K15" s="64" t="n">
        <f aca="false">'Raw Data'!I16</f>
        <v>31.03125</v>
      </c>
      <c r="L15" s="54" t="n">
        <f aca="false">'Raw Data'!K16</f>
        <v>993</v>
      </c>
      <c r="M15" s="2" t="n">
        <f aca="false">IF(G15=1,$K15*$E15,0)</f>
        <v>0</v>
      </c>
      <c r="N15" s="2" t="n">
        <f aca="false">IF(H15=1,$K15*$E15,0)</f>
        <v>0</v>
      </c>
      <c r="O15" s="2" t="n">
        <f aca="false">IF(I15=1,$K15*$E15,0)</f>
        <v>0</v>
      </c>
      <c r="P15" s="2" t="n">
        <f aca="false">IF(J15=1,$K15*$E15,0)</f>
        <v>0</v>
      </c>
      <c r="Q15" s="65" t="n">
        <f aca="false">IF(G15=1,$K15*$F15,0)</f>
        <v>0</v>
      </c>
      <c r="R15" s="2" t="n">
        <f aca="false">IF(H15=1,$K15*$F15,0)</f>
        <v>0</v>
      </c>
      <c r="S15" s="2" t="n">
        <f aca="false">IF(I15=1,$K15*$F15,0)</f>
        <v>993</v>
      </c>
      <c r="T15" s="2" t="n">
        <f aca="false">IF(J15=1,$K15*$F15,0)</f>
        <v>0</v>
      </c>
    </row>
    <row r="16" customFormat="false" ht="13" hidden="false" customHeight="false" outlineLevel="0" collapsed="false">
      <c r="A16" s="18" t="s">
        <v>60</v>
      </c>
      <c r="B16" s="18" t="s">
        <v>29</v>
      </c>
      <c r="C16" s="17" t="s">
        <v>61</v>
      </c>
      <c r="D16" s="19" t="n">
        <v>691</v>
      </c>
      <c r="E16" s="19"/>
      <c r="F16" s="19" t="n">
        <v>691</v>
      </c>
      <c r="G16" s="19"/>
      <c r="H16" s="19"/>
      <c r="I16" s="19"/>
      <c r="J16" s="19" t="n">
        <v>1</v>
      </c>
      <c r="K16" s="64" t="n">
        <f aca="false">'Raw Data'!I17</f>
        <v>2.19971056439942</v>
      </c>
      <c r="L16" s="54" t="n">
        <f aca="false">'Raw Data'!K17</f>
        <v>1520</v>
      </c>
      <c r="M16" s="2" t="n">
        <f aca="false">IF(G16=1,$K16*$E16,0)</f>
        <v>0</v>
      </c>
      <c r="N16" s="2" t="n">
        <f aca="false">IF(H16=1,$K16*$E16,0)</f>
        <v>0</v>
      </c>
      <c r="O16" s="2" t="n">
        <f aca="false">IF(I16=1,$K16*$E16,0)</f>
        <v>0</v>
      </c>
      <c r="P16" s="2" t="n">
        <f aca="false">IF(J16=1,$K16*$E16,0)</f>
        <v>0</v>
      </c>
      <c r="Q16" s="65" t="n">
        <f aca="false">IF(G16=1,$K16*$F16,0)</f>
        <v>0</v>
      </c>
      <c r="R16" s="2" t="n">
        <f aca="false">IF(H16=1,$K16*$F16,0)</f>
        <v>0</v>
      </c>
      <c r="S16" s="2" t="n">
        <f aca="false">IF(I16=1,$K16*$F16,0)</f>
        <v>0</v>
      </c>
      <c r="T16" s="2" t="n">
        <f aca="false">IF(J16=1,$K16*$F16,0)</f>
        <v>1520</v>
      </c>
    </row>
    <row r="17" customFormat="false" ht="13" hidden="false" customHeight="false" outlineLevel="0" collapsed="false">
      <c r="A17" s="18" t="s">
        <v>63</v>
      </c>
      <c r="B17" s="18" t="s">
        <v>20</v>
      </c>
      <c r="C17" s="17" t="s">
        <v>41</v>
      </c>
      <c r="D17" s="19" t="n">
        <v>89</v>
      </c>
      <c r="E17" s="19" t="n">
        <v>89</v>
      </c>
      <c r="F17" s="19"/>
      <c r="G17" s="19" t="n">
        <v>1</v>
      </c>
      <c r="H17" s="19"/>
      <c r="I17" s="19"/>
      <c r="J17" s="19"/>
      <c r="K17" s="64" t="n">
        <f aca="false">'Raw Data'!I18</f>
        <v>16.8539325842697</v>
      </c>
      <c r="L17" s="54" t="n">
        <f aca="false">'Raw Data'!K18</f>
        <v>1500</v>
      </c>
      <c r="M17" s="2" t="n">
        <f aca="false">IF(G17=1,$K17*$E17,0)</f>
        <v>1500</v>
      </c>
      <c r="N17" s="2" t="n">
        <f aca="false">IF(H17=1,$K17*$E17,0)</f>
        <v>0</v>
      </c>
      <c r="O17" s="2" t="n">
        <f aca="false">IF(I17=1,$K17*$E17,0)</f>
        <v>0</v>
      </c>
      <c r="P17" s="2" t="n">
        <f aca="false">IF(J17=1,$K17*$E17,0)</f>
        <v>0</v>
      </c>
      <c r="Q17" s="65" t="n">
        <f aca="false">IF(G17=1,$K17*$F17,0)</f>
        <v>0</v>
      </c>
      <c r="R17" s="2" t="n">
        <f aca="false">IF(H17=1,$K17*$F17,0)</f>
        <v>0</v>
      </c>
      <c r="S17" s="2" t="n">
        <f aca="false">IF(I17=1,$K17*$F17,0)</f>
        <v>0</v>
      </c>
      <c r="T17" s="2" t="n">
        <f aca="false">IF(J17=1,$K17*$F17,0)</f>
        <v>0</v>
      </c>
    </row>
    <row r="18" customFormat="false" ht="25" hidden="false" customHeight="false" outlineLevel="0" collapsed="false">
      <c r="A18" s="18" t="s">
        <v>64</v>
      </c>
      <c r="B18" s="18" t="s">
        <v>56</v>
      </c>
      <c r="C18" s="17" t="s">
        <v>41</v>
      </c>
      <c r="D18" s="19" t="n">
        <v>67</v>
      </c>
      <c r="E18" s="19" t="n">
        <v>67</v>
      </c>
      <c r="F18" s="19"/>
      <c r="G18" s="19" t="n">
        <v>1</v>
      </c>
      <c r="H18" s="19"/>
      <c r="I18" s="19"/>
      <c r="J18" s="19"/>
      <c r="K18" s="64" t="n">
        <f aca="false">'Raw Data'!I19</f>
        <v>20.1492537313433</v>
      </c>
      <c r="L18" s="54" t="n">
        <f aca="false">'Raw Data'!K19</f>
        <v>1350</v>
      </c>
      <c r="M18" s="2" t="n">
        <f aca="false">IF(G18=1,$K18*$E18,0)</f>
        <v>1350</v>
      </c>
      <c r="N18" s="2" t="n">
        <f aca="false">IF(H18=1,$K18*$E18,0)</f>
        <v>0</v>
      </c>
      <c r="O18" s="2" t="n">
        <f aca="false">IF(I18=1,$K18*$E18,0)</f>
        <v>0</v>
      </c>
      <c r="P18" s="2" t="n">
        <f aca="false">IF(J18=1,$K18*$E18,0)</f>
        <v>0</v>
      </c>
      <c r="Q18" s="65" t="n">
        <f aca="false">IF(G18=1,$K18*$F18,0)</f>
        <v>0</v>
      </c>
      <c r="R18" s="2" t="n">
        <f aca="false">IF(H18=1,$K18*$F18,0)</f>
        <v>0</v>
      </c>
      <c r="S18" s="2" t="n">
        <f aca="false">IF(I18=1,$K18*$F18,0)</f>
        <v>0</v>
      </c>
      <c r="T18" s="2" t="n">
        <f aca="false">IF(J18=1,$K18*$F18,0)</f>
        <v>0</v>
      </c>
      <c r="U18" s="0" t="n">
        <v>2000</v>
      </c>
    </row>
    <row r="19" customFormat="false" ht="13" hidden="false" customHeight="false" outlineLevel="0" collapsed="false">
      <c r="A19" s="18" t="s">
        <v>65</v>
      </c>
      <c r="B19" s="18" t="s">
        <v>29</v>
      </c>
      <c r="C19" s="17" t="s">
        <v>30</v>
      </c>
      <c r="D19" s="19" t="n">
        <v>14</v>
      </c>
      <c r="E19" s="19" t="n">
        <v>0</v>
      </c>
      <c r="F19" s="19" t="n">
        <v>14</v>
      </c>
      <c r="G19" s="19"/>
      <c r="H19" s="19"/>
      <c r="I19" s="19"/>
      <c r="J19" s="19" t="n">
        <v>1</v>
      </c>
      <c r="K19" s="66" t="n">
        <f aca="false">'Raw Data'!I20</f>
        <v>71.4285714285714</v>
      </c>
      <c r="L19" s="54" t="n">
        <v>0</v>
      </c>
      <c r="M19" s="2" t="n">
        <f aca="false">IF(G19=1,$K19*$E19,0)</f>
        <v>0</v>
      </c>
      <c r="N19" s="2" t="n">
        <f aca="false">IF(H19=1,$K19*$E19,0)</f>
        <v>0</v>
      </c>
      <c r="O19" s="2" t="n">
        <f aca="false">IF(I19=1,$K19*$E19,0)</f>
        <v>0</v>
      </c>
      <c r="P19" s="2" t="n">
        <v>0</v>
      </c>
      <c r="Q19" s="65" t="n">
        <f aca="false">IF(G19=1,$K19*$F19,0)</f>
        <v>0</v>
      </c>
      <c r="R19" s="2" t="n">
        <f aca="false">IF(H19=1,$K19*$F19,0)</f>
        <v>0</v>
      </c>
      <c r="S19" s="2" t="n">
        <f aca="false">IF(I19=1,$K19*$F19,0)</f>
        <v>0</v>
      </c>
      <c r="T19" s="2" t="n">
        <v>0</v>
      </c>
      <c r="U19" s="0" t="s">
        <v>137</v>
      </c>
      <c r="V19" s="0" t="s">
        <v>138</v>
      </c>
    </row>
    <row r="20" customFormat="false" ht="13" hidden="false" customHeight="false" outlineLevel="0" collapsed="false">
      <c r="A20" s="3"/>
      <c r="B20" s="3"/>
      <c r="C20" s="3"/>
      <c r="E20" s="67" t="n">
        <f aca="false">SUM(E4:E19)</f>
        <v>514</v>
      </c>
      <c r="F20" s="67" t="n">
        <f aca="false">SUM(F5:F16)</f>
        <v>1026</v>
      </c>
      <c r="G20" s="68" t="n">
        <f aca="false">SUM(G4:G18)</f>
        <v>8</v>
      </c>
      <c r="H20" s="68" t="n">
        <v>1</v>
      </c>
      <c r="I20" s="68" t="n">
        <v>3</v>
      </c>
      <c r="J20" s="68" t="n">
        <v>4</v>
      </c>
      <c r="L20" s="69" t="n">
        <f aca="false">SUM(L4:L19)</f>
        <v>38383.64</v>
      </c>
      <c r="M20" s="70" t="n">
        <f aca="false">SUM(M4:M19)</f>
        <v>50780.0285714286</v>
      </c>
      <c r="N20" s="71" t="n">
        <f aca="false">SUM(N4:N19)</f>
        <v>0</v>
      </c>
      <c r="O20" s="71" t="n">
        <f aca="false">SUM(O4:O19)</f>
        <v>92.1052631578947</v>
      </c>
      <c r="P20" s="71" t="n">
        <f aca="false">SUM(P4:P19)</f>
        <v>1750</v>
      </c>
      <c r="Q20" s="70" t="n">
        <f aca="false">SUM(Q4:Q19)</f>
        <v>5910.2</v>
      </c>
      <c r="R20" s="71" t="n">
        <f aca="false">SUM(R4:R19)</f>
        <v>3425.44</v>
      </c>
      <c r="S20" s="71" t="n">
        <f aca="false">SUM(S4:S19)</f>
        <v>6050.89473684211</v>
      </c>
      <c r="T20" s="72" t="n">
        <f aca="false">SUM(T4:T19)</f>
        <v>5830.9756097561</v>
      </c>
      <c r="U20" s="69" t="n">
        <f aca="false">SUM(M20:P20)</f>
        <v>52622.1338345865</v>
      </c>
      <c r="V20" s="73" t="n">
        <f aca="false">SUM(Q20:T20)</f>
        <v>21217.5103465982</v>
      </c>
    </row>
    <row r="21" customFormat="false" ht="13" hidden="false" customHeight="false" outlineLevel="0" collapsed="false">
      <c r="A21" s="3"/>
      <c r="B21" s="3"/>
      <c r="C21" s="3"/>
      <c r="L21" s="69"/>
      <c r="M21" s="74" t="n">
        <f aca="false">'Age Charts'!B23</f>
        <v>511</v>
      </c>
      <c r="N21" s="75" t="n">
        <f aca="false">'Age Charts'!C23</f>
        <v>0</v>
      </c>
      <c r="O21" s="75" t="n">
        <f aca="false">'Age Charts'!D23</f>
        <v>1</v>
      </c>
      <c r="P21" s="75" t="n">
        <f aca="false">'Age Charts'!E23</f>
        <v>2</v>
      </c>
      <c r="Q21" s="76" t="n">
        <f aca="false">'Age Charts'!B24</f>
        <v>155</v>
      </c>
      <c r="R21" s="77" t="n">
        <f aca="false">'Age Charts'!C24</f>
        <v>19</v>
      </c>
      <c r="S21" s="77" t="n">
        <f aca="false">'Age Charts'!D24</f>
        <v>129</v>
      </c>
      <c r="T21" s="78" t="n">
        <f aca="false">'Age Charts'!E24</f>
        <v>723</v>
      </c>
      <c r="U21" s="79" t="n">
        <f aca="false">SUM(M21:P21)</f>
        <v>514</v>
      </c>
      <c r="V21" s="80" t="n">
        <f aca="false">SUM(Q21:T21)</f>
        <v>1026</v>
      </c>
    </row>
    <row r="22" customFormat="false" ht="16" hidden="false" customHeight="false" outlineLevel="0" collapsed="false">
      <c r="A22" s="3"/>
      <c r="B22" s="81" t="s">
        <v>67</v>
      </c>
      <c r="C22" s="16"/>
      <c r="L22" s="69"/>
      <c r="M22" s="82" t="n">
        <f aca="false">M20/M21</f>
        <v>99.3738328207995</v>
      </c>
      <c r="N22" s="83" t="n">
        <v>0</v>
      </c>
      <c r="O22" s="83" t="n">
        <f aca="false">O20/O21</f>
        <v>92.1052631578947</v>
      </c>
      <c r="P22" s="83" t="n">
        <f aca="false">P20/P21</f>
        <v>875</v>
      </c>
      <c r="Q22" s="82" t="n">
        <f aca="false">Q20/Q21</f>
        <v>38.1303225806452</v>
      </c>
      <c r="R22" s="83" t="n">
        <f aca="false">R20/R21</f>
        <v>180.286315789474</v>
      </c>
      <c r="S22" s="83" t="n">
        <f aca="false">S20/S21</f>
        <v>46.906160750714</v>
      </c>
      <c r="T22" s="84" t="n">
        <f aca="false">T20/T21</f>
        <v>8.06497318085214</v>
      </c>
      <c r="U22" s="54" t="n">
        <f aca="false">U20/U21</f>
        <v>102.377692285188</v>
      </c>
      <c r="V22" s="69" t="n">
        <f aca="false">S37</f>
        <v>39.0367859826999</v>
      </c>
    </row>
    <row r="23" customFormat="false" ht="59" hidden="false" customHeight="true" outlineLevel="0" collapsed="false">
      <c r="A23" s="12" t="s">
        <v>2</v>
      </c>
      <c r="B23" s="12" t="s">
        <v>3</v>
      </c>
      <c r="C23" s="11" t="s">
        <v>68</v>
      </c>
      <c r="D23" s="59" t="s">
        <v>131</v>
      </c>
      <c r="E23" s="15" t="s">
        <v>135</v>
      </c>
      <c r="F23" s="15" t="s">
        <v>136</v>
      </c>
      <c r="G23" s="60" t="s">
        <v>101</v>
      </c>
      <c r="H23" s="60" t="s">
        <v>122</v>
      </c>
      <c r="I23" s="60" t="s">
        <v>128</v>
      </c>
      <c r="J23" s="15"/>
      <c r="K23" s="85" t="str">
        <f aca="false">K3</f>
        <v>$$ per child</v>
      </c>
      <c r="L23" s="69"/>
      <c r="M23" s="60" t="s">
        <v>101</v>
      </c>
      <c r="N23" s="60" t="s">
        <v>122</v>
      </c>
      <c r="O23" s="60" t="s">
        <v>128</v>
      </c>
      <c r="P23" s="86" t="s">
        <v>101</v>
      </c>
      <c r="Q23" s="11" t="s">
        <v>122</v>
      </c>
      <c r="R23" s="11" t="s">
        <v>128</v>
      </c>
      <c r="U23" s="0" t="n">
        <v>2001</v>
      </c>
    </row>
    <row r="24" customFormat="false" ht="13" hidden="false" customHeight="false" outlineLevel="0" collapsed="false">
      <c r="A24" s="18" t="s">
        <v>69</v>
      </c>
      <c r="B24" s="18" t="s">
        <v>70</v>
      </c>
      <c r="C24" s="17" t="s">
        <v>51</v>
      </c>
      <c r="D24" s="19" t="n">
        <v>42</v>
      </c>
      <c r="E24" s="19" t="n">
        <v>42</v>
      </c>
      <c r="F24" s="19"/>
      <c r="G24" s="19" t="n">
        <v>1</v>
      </c>
      <c r="H24" s="19"/>
      <c r="I24" s="19"/>
      <c r="J24" s="19"/>
      <c r="K24" s="64" t="n">
        <f aca="false">'Raw Data'!I26</f>
        <v>35.7142857142857</v>
      </c>
      <c r="M24" s="2" t="n">
        <f aca="false">IF(G24=1,$K24*$E24,0)</f>
        <v>1500</v>
      </c>
      <c r="N24" s="2" t="n">
        <f aca="false">IF(H24=1,$K24*$E24,0)</f>
        <v>0</v>
      </c>
      <c r="O24" s="2" t="n">
        <f aca="false">IF(I24=1,$K24*$E24,0)</f>
        <v>0</v>
      </c>
      <c r="P24" s="87" t="n">
        <f aca="false">IF(G24=1,$K24*$F24,0)</f>
        <v>0</v>
      </c>
      <c r="Q24" s="2" t="n">
        <f aca="false">IF(H24=1,$K24*$F24,0)</f>
        <v>0</v>
      </c>
      <c r="R24" s="2" t="n">
        <f aca="false">IF(I24=1,$K24*$F24,0)</f>
        <v>0</v>
      </c>
      <c r="U24" s="0" t="s">
        <v>137</v>
      </c>
      <c r="V24" s="0" t="s">
        <v>138</v>
      </c>
    </row>
    <row r="25" customFormat="false" ht="13" hidden="false" customHeight="false" outlineLevel="0" collapsed="false">
      <c r="A25" s="18" t="s">
        <v>72</v>
      </c>
      <c r="B25" s="18" t="s">
        <v>70</v>
      </c>
      <c r="C25" s="17" t="s">
        <v>41</v>
      </c>
      <c r="D25" s="19" t="n">
        <v>90</v>
      </c>
      <c r="E25" s="19" t="n">
        <v>90</v>
      </c>
      <c r="F25" s="19"/>
      <c r="G25" s="19" t="n">
        <v>1</v>
      </c>
      <c r="H25" s="19"/>
      <c r="I25" s="19"/>
      <c r="J25" s="19"/>
      <c r="K25" s="64" t="n">
        <f aca="false">'Raw Data'!I27</f>
        <v>16.6666666666667</v>
      </c>
      <c r="M25" s="2" t="n">
        <f aca="false">IF(G25=1,$K25*$E25,0)</f>
        <v>1500</v>
      </c>
      <c r="N25" s="2" t="n">
        <f aca="false">IF(H25=1,$K25*$E25,0)</f>
        <v>0</v>
      </c>
      <c r="O25" s="2" t="n">
        <f aca="false">IF(I25=1,$K25*$E25,0)</f>
        <v>0</v>
      </c>
      <c r="P25" s="65" t="n">
        <f aca="false">IF(G25=1,$K25*$F25,0)</f>
        <v>0</v>
      </c>
      <c r="Q25" s="2" t="n">
        <f aca="false">IF(H25=1,$K25*$F25,0)</f>
        <v>0</v>
      </c>
      <c r="R25" s="2" t="n">
        <f aca="false">IF(I25=1,$K25*$F25,0)</f>
        <v>0</v>
      </c>
      <c r="U25" s="73" t="n">
        <f aca="false">SUM(M35:O35)</f>
        <v>17605.6177034884</v>
      </c>
      <c r="V25" s="73" t="n">
        <f aca="false">SUM(P35:R35)</f>
        <v>1600.481</v>
      </c>
    </row>
    <row r="26" customFormat="false" ht="13" hidden="false" customHeight="false" outlineLevel="0" collapsed="false">
      <c r="A26" s="18" t="s">
        <v>74</v>
      </c>
      <c r="B26" s="18" t="s">
        <v>70</v>
      </c>
      <c r="C26" s="17" t="s">
        <v>41</v>
      </c>
      <c r="D26" s="19" t="n">
        <v>30</v>
      </c>
      <c r="E26" s="19" t="n">
        <v>30</v>
      </c>
      <c r="F26" s="19"/>
      <c r="G26" s="19" t="n">
        <v>1</v>
      </c>
      <c r="H26" s="19"/>
      <c r="I26" s="19"/>
      <c r="J26" s="19"/>
      <c r="K26" s="64" t="n">
        <f aca="false">'Raw Data'!I28</f>
        <v>47.6666666666667</v>
      </c>
      <c r="M26" s="2" t="n">
        <f aca="false">IF(G26=1,$K26*$E26,0)</f>
        <v>1430</v>
      </c>
      <c r="N26" s="2" t="n">
        <f aca="false">IF(H26=1,$K26*$E26,0)</f>
        <v>0</v>
      </c>
      <c r="O26" s="2" t="n">
        <f aca="false">IF(I26=1,$K26*$E26,0)</f>
        <v>0</v>
      </c>
      <c r="P26" s="65" t="n">
        <f aca="false">IF(G26=1,$K26*$F26,0)</f>
        <v>0</v>
      </c>
      <c r="Q26" s="2" t="n">
        <f aca="false">IF(H26=1,$K26*$F26,0)</f>
        <v>0</v>
      </c>
      <c r="R26" s="2" t="n">
        <f aca="false">IF(I26=1,$K26*$F26,0)</f>
        <v>0</v>
      </c>
      <c r="U26" s="80" t="n">
        <f aca="false">SUM(M36:O36)</f>
        <v>488</v>
      </c>
      <c r="V26" s="80" t="n">
        <v>4</v>
      </c>
    </row>
    <row r="27" customFormat="false" ht="13" hidden="false" customHeight="false" outlineLevel="0" collapsed="false">
      <c r="A27" s="18" t="s">
        <v>76</v>
      </c>
      <c r="B27" s="18" t="s">
        <v>77</v>
      </c>
      <c r="C27" s="17" t="s">
        <v>78</v>
      </c>
      <c r="D27" s="19" t="n">
        <v>102</v>
      </c>
      <c r="E27" s="19" t="n">
        <v>102</v>
      </c>
      <c r="F27" s="19"/>
      <c r="G27" s="19" t="n">
        <v>1</v>
      </c>
      <c r="H27" s="19"/>
      <c r="I27" s="19"/>
      <c r="J27" s="19"/>
      <c r="K27" s="64" t="n">
        <f aca="false">'Raw Data'!I29</f>
        <v>3.48837209302326</v>
      </c>
      <c r="M27" s="2" t="n">
        <f aca="false">IF(G27=1,$K27*$E27,0)</f>
        <v>355.813953488372</v>
      </c>
      <c r="N27" s="2" t="n">
        <f aca="false">IF(H27=1,$K27*$E27,0)</f>
        <v>0</v>
      </c>
      <c r="O27" s="2" t="n">
        <f aca="false">IF(I27=1,$K27*$E27,0)</f>
        <v>0</v>
      </c>
      <c r="P27" s="65" t="n">
        <f aca="false">IF(G27=1,$K27*$F27,0)</f>
        <v>0</v>
      </c>
      <c r="Q27" s="2" t="n">
        <f aca="false">IF(H27=1,$K27*$F27,0)</f>
        <v>0</v>
      </c>
      <c r="R27" s="2" t="n">
        <f aca="false">IF(I27=1,$K27*$F27,0)</f>
        <v>0</v>
      </c>
      <c r="U27" s="54" t="n">
        <f aca="false">U25/U26</f>
        <v>36.077085457968</v>
      </c>
      <c r="V27" s="54" t="n">
        <f aca="false">V25/V26</f>
        <v>400.12025</v>
      </c>
    </row>
    <row r="28" customFormat="false" ht="25" hidden="false" customHeight="false" outlineLevel="0" collapsed="false">
      <c r="A28" s="18" t="s">
        <v>139</v>
      </c>
      <c r="B28" s="18"/>
      <c r="C28" s="17" t="s">
        <v>30</v>
      </c>
      <c r="D28" s="19" t="n">
        <v>0</v>
      </c>
      <c r="E28" s="19" t="n">
        <v>0</v>
      </c>
      <c r="F28" s="19" t="n">
        <v>0</v>
      </c>
      <c r="G28" s="19"/>
      <c r="H28" s="19" t="n">
        <v>1</v>
      </c>
      <c r="I28" s="19"/>
      <c r="J28" s="19"/>
      <c r="K28" s="66" t="str">
        <f aca="false">'Raw Data'!I30</f>
        <v>N/A</v>
      </c>
      <c r="M28" s="2" t="n">
        <f aca="false">IF(G28=1,$K28*$E28,0)</f>
        <v>0</v>
      </c>
      <c r="N28" s="2" t="n">
        <v>0</v>
      </c>
      <c r="O28" s="2" t="n">
        <f aca="false">IF(I28=1,$K28*$E28,0)</f>
        <v>0</v>
      </c>
      <c r="P28" s="65" t="n">
        <f aca="false">IF(G28=1,$K28*$F28,0)</f>
        <v>0</v>
      </c>
      <c r="Q28" s="2" t="n">
        <v>0</v>
      </c>
      <c r="R28" s="2" t="n">
        <f aca="false">IF(I28=1,$K28*$F28,0)</f>
        <v>0</v>
      </c>
    </row>
    <row r="29" customFormat="false" ht="25" hidden="false" customHeight="false" outlineLevel="0" collapsed="false">
      <c r="A29" s="18" t="s">
        <v>81</v>
      </c>
      <c r="B29" s="18" t="s">
        <v>82</v>
      </c>
      <c r="C29" s="17"/>
      <c r="D29" s="19" t="n">
        <v>19</v>
      </c>
      <c r="E29" s="19" t="n">
        <v>15</v>
      </c>
      <c r="F29" s="19" t="n">
        <v>4</v>
      </c>
      <c r="G29" s="19"/>
      <c r="H29" s="19"/>
      <c r="I29" s="19" t="n">
        <v>1</v>
      </c>
      <c r="J29" s="19"/>
      <c r="K29" s="64" t="n">
        <f aca="false">'Raw Data'!I31</f>
        <v>400.12025</v>
      </c>
      <c r="M29" s="2" t="n">
        <f aca="false">IF(G29=1,$K29*$E29,0)</f>
        <v>0</v>
      </c>
      <c r="N29" s="2" t="n">
        <f aca="false">IF(H29=1,$K29*$E29,0)</f>
        <v>0</v>
      </c>
      <c r="O29" s="2" t="n">
        <f aca="false">IF(I29=1,$K29*$E29,0)</f>
        <v>6001.80375</v>
      </c>
      <c r="P29" s="65" t="n">
        <f aca="false">IF(G29=1,$K29*$F29,0)</f>
        <v>0</v>
      </c>
      <c r="Q29" s="2" t="n">
        <f aca="false">IF(H29=1,$K29*$F29,0)</f>
        <v>0</v>
      </c>
      <c r="R29" s="2" t="n">
        <f aca="false">IF(I29=1,$K29*$F29,0)</f>
        <v>1600.481</v>
      </c>
    </row>
    <row r="30" customFormat="false" ht="25" hidden="false" customHeight="false" outlineLevel="0" collapsed="false">
      <c r="A30" s="18" t="s">
        <v>83</v>
      </c>
      <c r="B30" s="18" t="s">
        <v>84</v>
      </c>
      <c r="C30" s="17" t="s">
        <v>85</v>
      </c>
      <c r="D30" s="19" t="n">
        <v>54</v>
      </c>
      <c r="E30" s="19" t="n">
        <v>54</v>
      </c>
      <c r="F30" s="19"/>
      <c r="G30" s="19" t="n">
        <v>1</v>
      </c>
      <c r="H30" s="19"/>
      <c r="I30" s="19"/>
      <c r="J30" s="19"/>
      <c r="K30" s="64" t="n">
        <f aca="false">'Raw Data'!I32</f>
        <v>26.7037037037037</v>
      </c>
      <c r="M30" s="2" t="n">
        <f aca="false">IF(G30=1,$K30*$E30,0)</f>
        <v>1442</v>
      </c>
      <c r="N30" s="2" t="n">
        <f aca="false">IF(H30=1,$K30*$E30,0)</f>
        <v>0</v>
      </c>
      <c r="O30" s="2" t="n">
        <f aca="false">IF(I30=1,$K30*$E30,0)</f>
        <v>0</v>
      </c>
      <c r="P30" s="65" t="n">
        <f aca="false">IF(G30=1,$K30*$F30,0)</f>
        <v>0</v>
      </c>
      <c r="Q30" s="2" t="n">
        <f aca="false">IF(H30=1,$K30*$F30,0)</f>
        <v>0</v>
      </c>
      <c r="R30" s="2" t="n">
        <f aca="false">IF(I30=1,$K30*$F30,0)</f>
        <v>0</v>
      </c>
    </row>
    <row r="31" customFormat="false" ht="25" hidden="false" customHeight="false" outlineLevel="0" collapsed="false">
      <c r="A31" s="18" t="s">
        <v>32</v>
      </c>
      <c r="B31" s="18" t="s">
        <v>84</v>
      </c>
      <c r="C31" s="17" t="s">
        <v>85</v>
      </c>
      <c r="D31" s="19" t="n">
        <v>8</v>
      </c>
      <c r="E31" s="19" t="n">
        <v>8</v>
      </c>
      <c r="F31" s="19"/>
      <c r="G31" s="19" t="n">
        <v>1</v>
      </c>
      <c r="H31" s="19"/>
      <c r="I31" s="19"/>
      <c r="J31" s="19"/>
      <c r="K31" s="64" t="n">
        <f aca="false">'Raw Data'!I33</f>
        <v>118.25</v>
      </c>
      <c r="M31" s="2" t="n">
        <f aca="false">IF(G31=1,$K31*$E31,0)</f>
        <v>946</v>
      </c>
      <c r="N31" s="2" t="n">
        <f aca="false">IF(H31=1,$K31*$E31,0)</f>
        <v>0</v>
      </c>
      <c r="O31" s="2" t="n">
        <f aca="false">IF(I31=1,$K31*$E31,0)</f>
        <v>0</v>
      </c>
      <c r="P31" s="65" t="n">
        <f aca="false">IF(G31=1,$K31*$F31,0)</f>
        <v>0</v>
      </c>
      <c r="Q31" s="2" t="n">
        <f aca="false">IF(H31=1,$K31*$F31,0)</f>
        <v>0</v>
      </c>
      <c r="R31" s="2" t="n">
        <f aca="false">IF(I31=1,$K31*$F31,0)</f>
        <v>0</v>
      </c>
    </row>
    <row r="32" customFormat="false" ht="13" hidden="false" customHeight="false" outlineLevel="0" collapsed="false">
      <c r="A32" s="18" t="s">
        <v>88</v>
      </c>
      <c r="B32" s="18" t="s">
        <v>70</v>
      </c>
      <c r="C32" s="17" t="s">
        <v>41</v>
      </c>
      <c r="D32" s="19" t="n">
        <v>23</v>
      </c>
      <c r="E32" s="19" t="n">
        <v>23</v>
      </c>
      <c r="F32" s="19"/>
      <c r="G32" s="19" t="n">
        <v>1</v>
      </c>
      <c r="H32" s="19"/>
      <c r="I32" s="19"/>
      <c r="J32" s="19"/>
      <c r="K32" s="64" t="n">
        <f aca="false">'Raw Data'!I34</f>
        <v>62.1739130434783</v>
      </c>
      <c r="M32" s="2" t="n">
        <f aca="false">IF(G32=1,$K32*$E32,0)</f>
        <v>1430</v>
      </c>
      <c r="N32" s="2" t="n">
        <f aca="false">IF(H32=1,$K32*$E32,0)</f>
        <v>0</v>
      </c>
      <c r="O32" s="2" t="n">
        <f aca="false">IF(I32=1,$K32*$E32,0)</f>
        <v>0</v>
      </c>
      <c r="P32" s="65" t="n">
        <f aca="false">IF(G32=1,$K32*$F32,0)</f>
        <v>0</v>
      </c>
      <c r="Q32" s="2" t="n">
        <f aca="false">IF(H32=1,$K32*$F32,0)</f>
        <v>0</v>
      </c>
      <c r="R32" s="2" t="n">
        <f aca="false">IF(I32=1,$K32*$F32,0)</f>
        <v>0</v>
      </c>
    </row>
    <row r="33" customFormat="false" ht="13" hidden="false" customHeight="false" outlineLevel="0" collapsed="false">
      <c r="A33" s="18" t="s">
        <v>89</v>
      </c>
      <c r="B33" s="18" t="s">
        <v>40</v>
      </c>
      <c r="C33" s="17" t="s">
        <v>90</v>
      </c>
      <c r="D33" s="19" t="n">
        <v>50</v>
      </c>
      <c r="E33" s="19" t="n">
        <v>50</v>
      </c>
      <c r="F33" s="19"/>
      <c r="G33" s="19" t="n">
        <v>1</v>
      </c>
      <c r="H33" s="19"/>
      <c r="I33" s="19"/>
      <c r="J33" s="19"/>
      <c r="K33" s="64" t="n">
        <f aca="false">'Raw Data'!I35</f>
        <v>30</v>
      </c>
      <c r="M33" s="2" t="n">
        <f aca="false">IF(G33=1,$K33*$E33,0)</f>
        <v>1500</v>
      </c>
      <c r="N33" s="2" t="n">
        <f aca="false">IF(H33=1,$K33*$E33,0)</f>
        <v>0</v>
      </c>
      <c r="O33" s="2" t="n">
        <f aca="false">IF(I33=1,$K33*$E33,0)</f>
        <v>0</v>
      </c>
      <c r="P33" s="65" t="n">
        <f aca="false">IF(G33=1,$K33*$F33,0)</f>
        <v>0</v>
      </c>
      <c r="Q33" s="2" t="n">
        <f aca="false">IF(H33=1,$K33*$F33,0)</f>
        <v>0</v>
      </c>
      <c r="R33" s="2" t="n">
        <f aca="false">IF(I33=1,$K33*$F33,0)</f>
        <v>0</v>
      </c>
    </row>
    <row r="34" customFormat="false" ht="13" hidden="false" customHeight="false" outlineLevel="0" collapsed="false">
      <c r="A34" s="18" t="s">
        <v>92</v>
      </c>
      <c r="B34" s="18" t="s">
        <v>40</v>
      </c>
      <c r="C34" s="17" t="s">
        <v>90</v>
      </c>
      <c r="D34" s="19" t="n">
        <v>74</v>
      </c>
      <c r="E34" s="19" t="n">
        <v>74</v>
      </c>
      <c r="F34" s="19"/>
      <c r="G34" s="19" t="n">
        <v>1</v>
      </c>
      <c r="H34" s="19"/>
      <c r="I34" s="19"/>
      <c r="J34" s="19"/>
      <c r="K34" s="64" t="n">
        <f aca="false">'Raw Data'!I36</f>
        <v>20.2702702702703</v>
      </c>
      <c r="M34" s="2" t="n">
        <f aca="false">IF(G34=1,$K34*$E34,0)</f>
        <v>1500</v>
      </c>
      <c r="N34" s="2" t="n">
        <f aca="false">IF(H34=1,$K34*$E34,0)</f>
        <v>0</v>
      </c>
      <c r="O34" s="2" t="n">
        <f aca="false">IF(I34=1,$K34*$E34,0)</f>
        <v>0</v>
      </c>
      <c r="P34" s="65" t="n">
        <f aca="false">IF(G34=1,$K34*$F34,0)</f>
        <v>0</v>
      </c>
      <c r="Q34" s="2" t="n">
        <f aca="false">IF(H34=1,$K34*$F34,0)</f>
        <v>0</v>
      </c>
      <c r="R34" s="2" t="n">
        <f aca="false">IF(I34=1,$K34*$F34,0)</f>
        <v>0</v>
      </c>
    </row>
    <row r="35" customFormat="false" ht="13" hidden="false" customHeight="false" outlineLevel="0" collapsed="false">
      <c r="A35" s="3"/>
      <c r="B35" s="3"/>
      <c r="E35" s="23" t="n">
        <f aca="false">SUM(E24:E34)</f>
        <v>488</v>
      </c>
      <c r="F35" s="23" t="n">
        <f aca="false">SUM(F28:F34)</f>
        <v>4</v>
      </c>
      <c r="G35" s="68" t="n">
        <f aca="false">SUM(G24:G34)</f>
        <v>9</v>
      </c>
      <c r="H35" s="68" t="n">
        <v>1</v>
      </c>
      <c r="I35" s="68" t="n">
        <v>1</v>
      </c>
      <c r="J35" s="68"/>
      <c r="L35" s="73"/>
      <c r="M35" s="88" t="n">
        <f aca="false">SUM(M24:M34)</f>
        <v>11603.8139534884</v>
      </c>
      <c r="N35" s="89" t="n">
        <f aca="false">SUM(N24:N34)</f>
        <v>0</v>
      </c>
      <c r="O35" s="90" t="n">
        <f aca="false">SUM(O24:O34)</f>
        <v>6001.80375</v>
      </c>
      <c r="P35" s="88" t="n">
        <f aca="false">SUM(P24:P34)</f>
        <v>0</v>
      </c>
      <c r="Q35" s="89" t="n">
        <f aca="false">SUM(Q24:Q34)</f>
        <v>0</v>
      </c>
      <c r="R35" s="90" t="n">
        <f aca="false">SUM(R24:R34)</f>
        <v>1600.481</v>
      </c>
      <c r="S35" s="73" t="n">
        <f aca="false">SUM(M35:R35)</f>
        <v>19206.0987034884</v>
      </c>
    </row>
    <row r="36" customFormat="false" ht="13" hidden="false" customHeight="false" outlineLevel="0" collapsed="false">
      <c r="A36" s="46" t="s">
        <v>140</v>
      </c>
      <c r="B36" s="30" t="n">
        <f aca="false">SUM(E20+E35)</f>
        <v>1002</v>
      </c>
      <c r="C36" s="30" t="n">
        <f aca="false">SUM(F35+F20)</f>
        <v>1030</v>
      </c>
      <c r="M36" s="91" t="n">
        <f aca="false">'Age Charts'!B44</f>
        <v>473</v>
      </c>
      <c r="N36" s="92" t="n">
        <f aca="false">'Age Charts'!C44</f>
        <v>0</v>
      </c>
      <c r="O36" s="93" t="n">
        <f aca="false">'Age Charts'!D44</f>
        <v>15</v>
      </c>
      <c r="P36" s="91" t="n">
        <f aca="false">'Age Charts'!B45</f>
        <v>0</v>
      </c>
      <c r="Q36" s="92" t="n">
        <f aca="false">'Age Charts'!C45</f>
        <v>0</v>
      </c>
      <c r="R36" s="93" t="n">
        <f aca="false">'Age Charts'!D45</f>
        <v>4</v>
      </c>
      <c r="S36" s="94" t="n">
        <f aca="false">SUM(M36:R36)</f>
        <v>492</v>
      </c>
    </row>
    <row r="37" customFormat="false" ht="13" hidden="false" customHeight="false" outlineLevel="0" collapsed="false">
      <c r="M37" s="82" t="n">
        <f aca="false">M35/M36</f>
        <v>24.5323762230198</v>
      </c>
      <c r="N37" s="83" t="n">
        <v>0</v>
      </c>
      <c r="O37" s="84" t="n">
        <f aca="false">O35/O36</f>
        <v>400.12025</v>
      </c>
      <c r="P37" s="82" t="n">
        <v>0</v>
      </c>
      <c r="Q37" s="83" t="n">
        <v>0</v>
      </c>
      <c r="R37" s="84" t="n">
        <f aca="false">R35/R36</f>
        <v>400.12025</v>
      </c>
      <c r="S37" s="69" t="n">
        <f aca="false">S35/S36</f>
        <v>39.0367859826999</v>
      </c>
    </row>
  </sheetData>
  <printOptions headings="false" gridLines="false" gridLinesSet="true" horizontalCentered="true" verticalCentered="true"/>
  <pageMargins left="0.747916666666667" right="0.420138888888889" top="0.984027777777778" bottom="0.570138888888889" header="0.5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&amp;C&amp;"Geneva,Bold"&amp;12Appendix A&amp;R&amp;10Page &amp;P</oddHeader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true" showOutlineSymbols="true" defaultGridColor="true" view="normal" topLeftCell="A1" colorId="64" zoomScale="92" zoomScaleNormal="92" zoomScalePageLayoutView="100" workbookViewId="0">
      <selection pane="topLeft" activeCell="A17" activeCellId="0" sqref="A17"/>
    </sheetView>
  </sheetViews>
  <sheetFormatPr defaultColWidth="11.16015625" defaultRowHeight="13" zeroHeight="false" outlineLevelRow="0" outlineLevelCol="0"/>
  <sheetData>
    <row r="1" customFormat="false" ht="25" hidden="false" customHeight="false" outlineLevel="0" collapsed="false">
      <c r="A1" s="11" t="s">
        <v>135</v>
      </c>
      <c r="B1" s="11" t="s">
        <v>136</v>
      </c>
      <c r="C1" s="11" t="s">
        <v>101</v>
      </c>
      <c r="D1" s="11" t="s">
        <v>121</v>
      </c>
      <c r="E1" s="11" t="s">
        <v>123</v>
      </c>
      <c r="F1" s="11" t="s">
        <v>122</v>
      </c>
      <c r="G1" s="95" t="str">
        <f aca="false">'Age Data'!K3</f>
        <v>$$ per child</v>
      </c>
    </row>
    <row r="2" customFormat="false" ht="13" hidden="false" customHeight="false" outlineLevel="0" collapsed="false">
      <c r="A2" s="0" t="n">
        <v>141</v>
      </c>
      <c r="C2" s="0" t="n">
        <v>1</v>
      </c>
      <c r="G2" s="96" t="n">
        <f aca="false">'Age Data'!K4</f>
        <v>290.028571428571</v>
      </c>
    </row>
    <row r="3" customFormat="false" ht="13" hidden="false" customHeight="false" outlineLevel="0" collapsed="false">
      <c r="B3" s="0" t="n">
        <v>7</v>
      </c>
      <c r="C3" s="0" t="n">
        <v>1</v>
      </c>
      <c r="G3" s="96" t="n">
        <f aca="false">'Age Data'!K5</f>
        <v>290.028571428571</v>
      </c>
    </row>
    <row r="4" customFormat="false" ht="13" hidden="false" customHeight="false" outlineLevel="0" collapsed="false">
      <c r="A4" s="0" t="n">
        <v>2</v>
      </c>
      <c r="B4" s="0" t="n">
        <v>2</v>
      </c>
      <c r="F4" s="0" t="n">
        <v>1</v>
      </c>
      <c r="G4" s="96" t="n">
        <f aca="false">'Age Data'!K6</f>
        <v>875</v>
      </c>
    </row>
    <row r="5" customFormat="false" ht="13" hidden="false" customHeight="false" outlineLevel="0" collapsed="false">
      <c r="B5" s="0" t="n">
        <v>148</v>
      </c>
      <c r="C5" s="0" t="n">
        <v>1</v>
      </c>
      <c r="G5" s="96" t="n">
        <f aca="false">'Age Data'!K7</f>
        <v>26.2162162162162</v>
      </c>
    </row>
    <row r="6" customFormat="false" ht="13" hidden="false" customHeight="false" outlineLevel="0" collapsed="false">
      <c r="B6" s="0" t="n">
        <v>19</v>
      </c>
      <c r="D6" s="0" t="n">
        <v>1</v>
      </c>
      <c r="G6" s="96" t="n">
        <f aca="false">'Age Data'!K8</f>
        <v>180.286315789474</v>
      </c>
    </row>
    <row r="7" customFormat="false" ht="13" hidden="false" customHeight="false" outlineLevel="0" collapsed="false">
      <c r="A7" s="0" t="n">
        <v>66</v>
      </c>
      <c r="C7" s="0" t="n">
        <v>1</v>
      </c>
      <c r="G7" s="96" t="n">
        <f aca="false">'Age Data'!K9</f>
        <v>45.4545454545455</v>
      </c>
    </row>
    <row r="8" customFormat="false" ht="13" hidden="false" customHeight="false" outlineLevel="0" collapsed="false">
      <c r="A8" s="0" t="n">
        <v>1</v>
      </c>
      <c r="B8" s="0" t="n">
        <v>37</v>
      </c>
      <c r="E8" s="0" t="n">
        <v>1</v>
      </c>
      <c r="G8" s="96" t="n">
        <f aca="false">'Age Data'!K10</f>
        <v>92.1052631578947</v>
      </c>
    </row>
    <row r="9" customFormat="false" ht="13" hidden="false" customHeight="false" outlineLevel="0" collapsed="false">
      <c r="B9" s="0" t="n">
        <v>60</v>
      </c>
      <c r="E9" s="0" t="n">
        <v>1</v>
      </c>
      <c r="G9" s="96" t="n">
        <f aca="false">'Age Data'!K11</f>
        <v>27.5</v>
      </c>
    </row>
    <row r="10" customFormat="false" ht="13" hidden="false" customHeight="false" outlineLevel="0" collapsed="false">
      <c r="A10" s="0" t="n">
        <v>92</v>
      </c>
      <c r="C10" s="0" t="n">
        <v>1</v>
      </c>
      <c r="G10" s="96" t="n">
        <f aca="false">'Age Data'!K12</f>
        <v>32.6086956521739</v>
      </c>
    </row>
    <row r="11" customFormat="false" ht="13" hidden="false" customHeight="false" outlineLevel="0" collapsed="false">
      <c r="B11" s="0" t="n">
        <v>30</v>
      </c>
      <c r="F11" s="0" t="n">
        <v>1</v>
      </c>
      <c r="G11" s="96" t="n">
        <f aca="false">'Age Data'!K13</f>
        <v>85.3658536585366</v>
      </c>
    </row>
    <row r="12" customFormat="false" ht="13" hidden="false" customHeight="false" outlineLevel="0" collapsed="false">
      <c r="A12" s="0" t="n">
        <v>56</v>
      </c>
      <c r="C12" s="0" t="n">
        <v>1</v>
      </c>
      <c r="G12" s="96" t="n">
        <f aca="false">'Age Data'!K14</f>
        <v>18.5</v>
      </c>
    </row>
    <row r="13" customFormat="false" ht="13" hidden="false" customHeight="false" outlineLevel="0" collapsed="false">
      <c r="B13" s="0" t="n">
        <v>32</v>
      </c>
      <c r="E13" s="0" t="n">
        <v>1</v>
      </c>
      <c r="G13" s="96" t="n">
        <f aca="false">'Age Data'!K15</f>
        <v>31.03125</v>
      </c>
    </row>
    <row r="14" customFormat="false" ht="13" hidden="false" customHeight="false" outlineLevel="0" collapsed="false">
      <c r="B14" s="0" t="n">
        <v>691</v>
      </c>
      <c r="F14" s="0" t="n">
        <v>1</v>
      </c>
      <c r="G14" s="96" t="n">
        <f aca="false">'Age Data'!K16</f>
        <v>2.19971056439942</v>
      </c>
    </row>
    <row r="15" customFormat="false" ht="13" hidden="false" customHeight="false" outlineLevel="0" collapsed="false">
      <c r="A15" s="0" t="n">
        <v>89</v>
      </c>
      <c r="C15" s="0" t="n">
        <v>1</v>
      </c>
      <c r="G15" s="96" t="n">
        <f aca="false">'Age Data'!K17</f>
        <v>16.8539325842697</v>
      </c>
    </row>
    <row r="16" customFormat="false" ht="13" hidden="false" customHeight="false" outlineLevel="0" collapsed="false">
      <c r="A16" s="0" t="n">
        <v>67</v>
      </c>
      <c r="C16" s="0" t="n">
        <v>1</v>
      </c>
      <c r="G16" s="96" t="n">
        <f aca="false">'Age Data'!K18</f>
        <v>20.1492537313433</v>
      </c>
    </row>
    <row r="17" customFormat="false" ht="13" hidden="false" customHeight="false" outlineLevel="0" collapsed="false">
      <c r="A17" s="0" t="n">
        <v>0</v>
      </c>
      <c r="B17" s="0" t="n">
        <v>14</v>
      </c>
      <c r="F17" s="0" t="n">
        <v>1</v>
      </c>
      <c r="G17" s="96" t="n">
        <f aca="false">'Age Data'!K19</f>
        <v>71.4285714285714</v>
      </c>
    </row>
    <row r="18" customFormat="false" ht="13" hidden="false" customHeight="false" outlineLevel="0" collapsed="false">
      <c r="A18" s="97" t="n">
        <f aca="false">SUM(A2:A17)</f>
        <v>514</v>
      </c>
      <c r="B18" s="97" t="n">
        <f aca="false">SUM(B3:B14)</f>
        <v>1026</v>
      </c>
      <c r="C18" s="98" t="n">
        <f aca="false">SUM(C2:C16)</f>
        <v>8</v>
      </c>
      <c r="D18" s="98" t="n">
        <v>1</v>
      </c>
      <c r="E18" s="98" t="n">
        <v>3</v>
      </c>
      <c r="F18" s="98" t="n">
        <v>4</v>
      </c>
    </row>
    <row r="21" customFormat="false" ht="13" hidden="false" customHeight="false" outlineLevel="0" collapsed="false">
      <c r="A21" s="99" t="n">
        <v>2000</v>
      </c>
    </row>
    <row r="22" customFormat="false" ht="13" hidden="false" customHeight="false" outlineLevel="0" collapsed="false">
      <c r="B22" s="0" t="s">
        <v>101</v>
      </c>
      <c r="C22" s="0" t="s">
        <v>121</v>
      </c>
      <c r="D22" s="0" t="s">
        <v>123</v>
      </c>
      <c r="E22" s="0" t="s">
        <v>122</v>
      </c>
    </row>
    <row r="23" customFormat="false" ht="13" hidden="false" customHeight="false" outlineLevel="0" collapsed="false">
      <c r="A23" s="0" t="s">
        <v>135</v>
      </c>
      <c r="B23" s="100" t="n">
        <f aca="false">SUM(A2+A7+A10+A12+A15+A16)</f>
        <v>511</v>
      </c>
      <c r="C23" s="98" t="n">
        <v>0</v>
      </c>
      <c r="D23" s="98" t="n">
        <f aca="false">SUM(A8)</f>
        <v>1</v>
      </c>
      <c r="E23" s="101" t="n">
        <f aca="false">SUM(A4)</f>
        <v>2</v>
      </c>
      <c r="F23" s="0" t="s">
        <v>141</v>
      </c>
    </row>
    <row r="24" customFormat="false" ht="13" hidden="false" customHeight="false" outlineLevel="0" collapsed="false">
      <c r="A24" s="0" t="s">
        <v>136</v>
      </c>
      <c r="B24" s="76" t="n">
        <f aca="false">SUM(B3+B5)</f>
        <v>155</v>
      </c>
      <c r="C24" s="77" t="n">
        <f aca="false">B6</f>
        <v>19</v>
      </c>
      <c r="D24" s="77" t="n">
        <f aca="false">SUM(B8+B9+B13)</f>
        <v>129</v>
      </c>
      <c r="E24" s="78" t="n">
        <f aca="false">SUM(B4+B11+B14)</f>
        <v>723</v>
      </c>
    </row>
    <row r="25" customFormat="false" ht="13" hidden="false" customHeight="false" outlineLevel="0" collapsed="false">
      <c r="A25" s="0" t="s">
        <v>135</v>
      </c>
      <c r="B25" s="70" t="n">
        <f aca="false">'Age Data'!M22</f>
        <v>99.3738328207995</v>
      </c>
      <c r="C25" s="71" t="n">
        <f aca="false">'Age Data'!N22</f>
        <v>0</v>
      </c>
      <c r="D25" s="71" t="n">
        <f aca="false">'Age Data'!O22</f>
        <v>92.1052631578947</v>
      </c>
      <c r="E25" s="72" t="n">
        <f aca="false">'Age Data'!P22</f>
        <v>875</v>
      </c>
      <c r="F25" s="0" t="s">
        <v>142</v>
      </c>
    </row>
    <row r="26" customFormat="false" ht="13" hidden="false" customHeight="false" outlineLevel="0" collapsed="false">
      <c r="A26" s="0" t="s">
        <v>136</v>
      </c>
      <c r="B26" s="102" t="n">
        <f aca="false">'Age Data'!Q22</f>
        <v>38.1303225806452</v>
      </c>
      <c r="C26" s="103" t="n">
        <f aca="false">'Age Data'!R22</f>
        <v>180.286315789474</v>
      </c>
      <c r="D26" s="103" t="n">
        <f aca="false">'Age Data'!S22</f>
        <v>46.906160750714</v>
      </c>
      <c r="E26" s="104" t="n">
        <f aca="false">'Age Data'!T22</f>
        <v>8.06497318085214</v>
      </c>
    </row>
    <row r="29" customFormat="false" ht="25" hidden="false" customHeight="false" outlineLevel="0" collapsed="false">
      <c r="A29" s="11" t="str">
        <f aca="false">'Age Data'!E23</f>
        <v>Primary</v>
      </c>
      <c r="B29" s="11" t="str">
        <f aca="false">'Age Data'!F23</f>
        <v>Secondary</v>
      </c>
      <c r="C29" s="11" t="str">
        <f aca="false">'Age Data'!G23</f>
        <v>Peer skills</v>
      </c>
      <c r="D29" s="11" t="str">
        <f aca="false">'Age Data'!H23</f>
        <v>School Retention</v>
      </c>
      <c r="E29" s="11" t="str">
        <f aca="false">'Age Data'!I23</f>
        <v>Sibling camps</v>
      </c>
      <c r="F29" s="95" t="str">
        <f aca="false">'Age Data'!K23</f>
        <v>$$ per child</v>
      </c>
    </row>
    <row r="30" customFormat="false" ht="13" hidden="false" customHeight="false" outlineLevel="0" collapsed="false">
      <c r="A30" s="105" t="n">
        <f aca="false">'Age Data'!E24</f>
        <v>42</v>
      </c>
      <c r="B30" s="105" t="n">
        <f aca="false">'Age Data'!F24</f>
        <v>0</v>
      </c>
      <c r="C30" s="105" t="n">
        <f aca="false">'Age Data'!G24</f>
        <v>1</v>
      </c>
      <c r="D30" s="105" t="n">
        <f aca="false">'Age Data'!H24</f>
        <v>0</v>
      </c>
      <c r="E30" s="105" t="n">
        <f aca="false">'Age Data'!I24</f>
        <v>0</v>
      </c>
      <c r="F30" s="106" t="n">
        <f aca="false">'Age Data'!K24</f>
        <v>35.7142857142857</v>
      </c>
    </row>
    <row r="31" customFormat="false" ht="13" hidden="false" customHeight="false" outlineLevel="0" collapsed="false">
      <c r="A31" s="105" t="n">
        <f aca="false">'Age Data'!E25</f>
        <v>90</v>
      </c>
      <c r="B31" s="105" t="n">
        <f aca="false">'Age Data'!F25</f>
        <v>0</v>
      </c>
      <c r="C31" s="105" t="n">
        <f aca="false">'Age Data'!G25</f>
        <v>1</v>
      </c>
      <c r="D31" s="105" t="n">
        <f aca="false">'Age Data'!H25</f>
        <v>0</v>
      </c>
      <c r="E31" s="105" t="n">
        <f aca="false">'Age Data'!I25</f>
        <v>0</v>
      </c>
      <c r="F31" s="106" t="n">
        <f aca="false">'Age Data'!K25</f>
        <v>16.6666666666667</v>
      </c>
    </row>
    <row r="32" customFormat="false" ht="13" hidden="false" customHeight="false" outlineLevel="0" collapsed="false">
      <c r="A32" s="105" t="n">
        <f aca="false">'Age Data'!E26</f>
        <v>30</v>
      </c>
      <c r="B32" s="105" t="n">
        <f aca="false">'Age Data'!F26</f>
        <v>0</v>
      </c>
      <c r="C32" s="105" t="n">
        <f aca="false">'Age Data'!G26</f>
        <v>1</v>
      </c>
      <c r="D32" s="105" t="n">
        <f aca="false">'Age Data'!H26</f>
        <v>0</v>
      </c>
      <c r="E32" s="105" t="n">
        <f aca="false">'Age Data'!I26</f>
        <v>0</v>
      </c>
      <c r="F32" s="106" t="n">
        <f aca="false">'Age Data'!K26</f>
        <v>47.6666666666667</v>
      </c>
    </row>
    <row r="33" customFormat="false" ht="13" hidden="false" customHeight="false" outlineLevel="0" collapsed="false">
      <c r="A33" s="105" t="n">
        <f aca="false">'Age Data'!E27</f>
        <v>102</v>
      </c>
      <c r="B33" s="105" t="n">
        <f aca="false">'Age Data'!F27</f>
        <v>0</v>
      </c>
      <c r="C33" s="105" t="n">
        <f aca="false">'Age Data'!G27</f>
        <v>1</v>
      </c>
      <c r="D33" s="105" t="n">
        <f aca="false">'Age Data'!H27</f>
        <v>0</v>
      </c>
      <c r="E33" s="105" t="n">
        <f aca="false">'Age Data'!I27</f>
        <v>0</v>
      </c>
      <c r="F33" s="106" t="n">
        <f aca="false">'Age Data'!K27</f>
        <v>3.48837209302326</v>
      </c>
    </row>
    <row r="34" customFormat="false" ht="13" hidden="false" customHeight="false" outlineLevel="0" collapsed="false">
      <c r="A34" s="105" t="n">
        <f aca="false">'Age Data'!E28</f>
        <v>0</v>
      </c>
      <c r="B34" s="105" t="n">
        <f aca="false">'Age Data'!F28</f>
        <v>0</v>
      </c>
      <c r="C34" s="105" t="n">
        <f aca="false">'Age Data'!G28</f>
        <v>0</v>
      </c>
      <c r="D34" s="105" t="n">
        <f aca="false">'Age Data'!H28</f>
        <v>1</v>
      </c>
      <c r="E34" s="105" t="n">
        <f aca="false">'Age Data'!I28</f>
        <v>0</v>
      </c>
      <c r="F34" s="107" t="str">
        <f aca="false">'Age Data'!K28</f>
        <v>N/A</v>
      </c>
    </row>
    <row r="35" customFormat="false" ht="13" hidden="false" customHeight="false" outlineLevel="0" collapsed="false">
      <c r="A35" s="105" t="n">
        <f aca="false">'Age Data'!E29</f>
        <v>15</v>
      </c>
      <c r="B35" s="105" t="n">
        <f aca="false">'Age Data'!F29</f>
        <v>4</v>
      </c>
      <c r="C35" s="105" t="n">
        <f aca="false">'Age Data'!G29</f>
        <v>0</v>
      </c>
      <c r="D35" s="105" t="n">
        <f aca="false">'Age Data'!H29</f>
        <v>0</v>
      </c>
      <c r="E35" s="105" t="n">
        <f aca="false">'Age Data'!I29</f>
        <v>1</v>
      </c>
      <c r="F35" s="106" t="n">
        <f aca="false">'Age Data'!K29</f>
        <v>400.12025</v>
      </c>
    </row>
    <row r="36" customFormat="false" ht="13" hidden="false" customHeight="false" outlineLevel="0" collapsed="false">
      <c r="A36" s="105" t="n">
        <f aca="false">'Age Data'!E30</f>
        <v>54</v>
      </c>
      <c r="B36" s="105" t="n">
        <f aca="false">'Age Data'!F30</f>
        <v>0</v>
      </c>
      <c r="C36" s="105" t="n">
        <f aca="false">'Age Data'!G30</f>
        <v>1</v>
      </c>
      <c r="D36" s="105" t="n">
        <f aca="false">'Age Data'!H30</f>
        <v>0</v>
      </c>
      <c r="E36" s="105" t="n">
        <f aca="false">'Age Data'!I30</f>
        <v>0</v>
      </c>
      <c r="F36" s="106" t="n">
        <f aca="false">'Age Data'!K30</f>
        <v>26.7037037037037</v>
      </c>
    </row>
    <row r="37" customFormat="false" ht="13" hidden="false" customHeight="false" outlineLevel="0" collapsed="false">
      <c r="A37" s="105" t="n">
        <f aca="false">'Age Data'!E31</f>
        <v>8</v>
      </c>
      <c r="B37" s="105" t="n">
        <f aca="false">'Age Data'!F31</f>
        <v>0</v>
      </c>
      <c r="C37" s="105" t="n">
        <f aca="false">'Age Data'!G31</f>
        <v>1</v>
      </c>
      <c r="D37" s="105" t="n">
        <f aca="false">'Age Data'!H31</f>
        <v>0</v>
      </c>
      <c r="E37" s="105" t="n">
        <f aca="false">'Age Data'!I31</f>
        <v>0</v>
      </c>
      <c r="F37" s="106" t="n">
        <f aca="false">'Age Data'!K31</f>
        <v>118.25</v>
      </c>
    </row>
    <row r="38" customFormat="false" ht="13" hidden="false" customHeight="false" outlineLevel="0" collapsed="false">
      <c r="A38" s="105" t="n">
        <f aca="false">'Age Data'!E32</f>
        <v>23</v>
      </c>
      <c r="B38" s="105" t="n">
        <f aca="false">'Age Data'!F32</f>
        <v>0</v>
      </c>
      <c r="C38" s="105" t="n">
        <f aca="false">'Age Data'!G32</f>
        <v>1</v>
      </c>
      <c r="D38" s="105" t="n">
        <f aca="false">'Age Data'!H32</f>
        <v>0</v>
      </c>
      <c r="E38" s="105" t="n">
        <f aca="false">'Age Data'!I32</f>
        <v>0</v>
      </c>
      <c r="F38" s="106" t="n">
        <f aca="false">'Age Data'!K32</f>
        <v>62.1739130434783</v>
      </c>
    </row>
    <row r="39" customFormat="false" ht="13" hidden="false" customHeight="false" outlineLevel="0" collapsed="false">
      <c r="A39" s="105" t="n">
        <f aca="false">'Age Data'!E33</f>
        <v>50</v>
      </c>
      <c r="B39" s="105" t="n">
        <f aca="false">'Age Data'!F33</f>
        <v>0</v>
      </c>
      <c r="C39" s="105" t="n">
        <f aca="false">'Age Data'!G33</f>
        <v>1</v>
      </c>
      <c r="D39" s="105" t="n">
        <f aca="false">'Age Data'!H33</f>
        <v>0</v>
      </c>
      <c r="E39" s="105" t="n">
        <f aca="false">'Age Data'!I33</f>
        <v>0</v>
      </c>
      <c r="F39" s="106" t="n">
        <f aca="false">'Age Data'!K33</f>
        <v>30</v>
      </c>
    </row>
    <row r="40" customFormat="false" ht="13" hidden="false" customHeight="false" outlineLevel="0" collapsed="false">
      <c r="A40" s="105" t="n">
        <f aca="false">'Age Data'!E34</f>
        <v>74</v>
      </c>
      <c r="B40" s="105" t="n">
        <f aca="false">'Age Data'!F34</f>
        <v>0</v>
      </c>
      <c r="C40" s="105" t="n">
        <f aca="false">'Age Data'!G34</f>
        <v>1</v>
      </c>
      <c r="D40" s="105" t="n">
        <f aca="false">'Age Data'!H34</f>
        <v>0</v>
      </c>
      <c r="E40" s="105" t="n">
        <f aca="false">'Age Data'!I34</f>
        <v>0</v>
      </c>
      <c r="F40" s="106" t="n">
        <f aca="false">'Age Data'!K34</f>
        <v>20.2702702702703</v>
      </c>
    </row>
    <row r="41" customFormat="false" ht="13" hidden="false" customHeight="false" outlineLevel="0" collapsed="false">
      <c r="A41" s="108" t="n">
        <f aca="false">'Age Data'!E35</f>
        <v>488</v>
      </c>
      <c r="B41" s="108" t="n">
        <f aca="false">'Age Data'!F35</f>
        <v>4</v>
      </c>
      <c r="C41" s="108" t="n">
        <f aca="false">'Age Data'!G35</f>
        <v>9</v>
      </c>
      <c r="D41" s="108" t="n">
        <f aca="false">'Age Data'!H35</f>
        <v>1</v>
      </c>
      <c r="E41" s="108" t="n">
        <f aca="false">'Age Data'!I35</f>
        <v>1</v>
      </c>
    </row>
    <row r="43" customFormat="false" ht="25" hidden="false" customHeight="false" outlineLevel="0" collapsed="false">
      <c r="A43" s="109" t="n">
        <v>2001</v>
      </c>
      <c r="B43" s="110" t="str">
        <f aca="false">C29</f>
        <v>Peer skills</v>
      </c>
      <c r="C43" s="110" t="str">
        <f aca="false">D29</f>
        <v>School Retention</v>
      </c>
      <c r="D43" s="110" t="str">
        <f aca="false">E29</f>
        <v>Sibling camps</v>
      </c>
    </row>
    <row r="44" customFormat="false" ht="13" hidden="false" customHeight="false" outlineLevel="0" collapsed="false">
      <c r="A44" s="0" t="s">
        <v>135</v>
      </c>
      <c r="B44" s="100" t="n">
        <f aca="false">A30+A31+A32+A33+A36+A37+A38+A39+A40</f>
        <v>473</v>
      </c>
      <c r="C44" s="98" t="n">
        <v>0</v>
      </c>
      <c r="D44" s="101" t="n">
        <v>15</v>
      </c>
      <c r="E44" s="0" t="s">
        <v>141</v>
      </c>
    </row>
    <row r="45" customFormat="false" ht="13" hidden="false" customHeight="false" outlineLevel="0" collapsed="false">
      <c r="A45" s="111" t="s">
        <v>136</v>
      </c>
      <c r="B45" s="76" t="n">
        <v>0</v>
      </c>
      <c r="C45" s="77" t="n">
        <v>0</v>
      </c>
      <c r="D45" s="78" t="n">
        <f aca="false">B35</f>
        <v>4</v>
      </c>
    </row>
    <row r="46" customFormat="false" ht="13" hidden="false" customHeight="false" outlineLevel="0" collapsed="false">
      <c r="A46" s="0" t="s">
        <v>135</v>
      </c>
      <c r="B46" s="70" t="n">
        <f aca="false">'Age Data'!M37</f>
        <v>24.5323762230198</v>
      </c>
      <c r="C46" s="71" t="n">
        <f aca="false">'Age Data'!N37</f>
        <v>0</v>
      </c>
      <c r="D46" s="72" t="n">
        <f aca="false">'Age Data'!O37</f>
        <v>400.12025</v>
      </c>
      <c r="E46" s="0" t="s">
        <v>142</v>
      </c>
    </row>
    <row r="47" customFormat="false" ht="13" hidden="false" customHeight="false" outlineLevel="0" collapsed="false">
      <c r="A47" s="0" t="s">
        <v>136</v>
      </c>
      <c r="B47" s="102" t="n">
        <f aca="false">'Age Data'!P37</f>
        <v>0</v>
      </c>
      <c r="C47" s="103" t="n">
        <f aca="false">'Age Data'!Q37</f>
        <v>0</v>
      </c>
      <c r="D47" s="104" t="n">
        <f aca="false">'Age Data'!R37</f>
        <v>400.12025</v>
      </c>
    </row>
  </sheetData>
  <printOptions headings="false" gridLines="false" gridLinesSet="true" horizontalCentered="true" verticalCentered="true"/>
  <pageMargins left="0.747916666666667" right="0.747916666666667" top="0.984027777777778" bottom="0.984027777777778" header="0.5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&amp;C&amp;"Geneva,Bold"&amp;12Appendix A&amp;R&amp;10Page &amp;P</oddHeader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2002-01-10T03:20:11Z</dcterms:created>
  <dc:creator>Lesley Coleman</dc:creator>
  <dc:description/>
  <dc:language>en-US</dc:language>
  <cp:lastModifiedBy>Rod Winning Lewis &amp; Coleman Consulting Services Pty Ltd</cp:lastModifiedBy>
  <cp:lastPrinted>2002-03-12T07:18:11Z</cp:lastPrinted>
  <cp:revision>0</cp:revision>
  <dc:subject/>
  <dc:title/>
</cp:coreProperties>
</file>