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3AA895E4-46D3-47A5-8A93-A59EFE8A0D97}" xr6:coauthVersionLast="47" xr6:coauthVersionMax="47" xr10:uidLastSave="{00000000-0000-0000-0000-000000000000}"/>
  <bookViews>
    <workbookView xWindow="2190" yWindow="2085" windowWidth="15330" windowHeight="10770" xr2:uid="{12684165-3BCC-47C9-9BF4-78F7B8479F2E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" i="1"/>
  <c r="F7" i="1" s="1"/>
  <c r="C7" i="1"/>
  <c r="C10" i="1" s="1"/>
  <c r="C14" i="1" s="1"/>
  <c r="D7" i="1"/>
  <c r="D10" i="1" s="1"/>
  <c r="D14" i="1" s="1"/>
  <c r="E7" i="1"/>
  <c r="E10" i="1" s="1"/>
  <c r="E14" i="1" s="1"/>
  <c r="B8" i="1"/>
  <c r="C8" i="1"/>
  <c r="D8" i="1"/>
  <c r="E8" i="1"/>
  <c r="F8" i="1"/>
  <c r="G8" i="1" s="1"/>
  <c r="B9" i="1"/>
  <c r="C9" i="1"/>
  <c r="C15" i="1" s="1"/>
  <c r="D9" i="1"/>
  <c r="D15" i="1" s="1"/>
  <c r="E9" i="1"/>
  <c r="E15" i="1" s="1"/>
  <c r="F9" i="1"/>
  <c r="G9" i="1" s="1"/>
  <c r="B10" i="1"/>
  <c r="B14" i="1" s="1"/>
  <c r="F14" i="1" s="1"/>
  <c r="G14" i="1" s="1"/>
  <c r="B11" i="1"/>
  <c r="C11" i="1"/>
  <c r="D11" i="1"/>
  <c r="E11" i="1"/>
  <c r="F11" i="1"/>
  <c r="B12" i="1"/>
  <c r="C12" i="1"/>
  <c r="D12" i="1"/>
  <c r="E12" i="1"/>
  <c r="F12" i="1"/>
  <c r="G12" i="1" s="1"/>
  <c r="B13" i="1"/>
  <c r="C13" i="1"/>
  <c r="D13" i="1"/>
  <c r="E13" i="1"/>
  <c r="F13" i="1"/>
  <c r="G13" i="1" s="1"/>
  <c r="E16" i="1" l="1"/>
  <c r="E17" i="1" s="1"/>
  <c r="C16" i="1"/>
  <c r="C17" i="1" s="1"/>
  <c r="D16" i="1"/>
  <c r="D17" i="1" s="1"/>
  <c r="B15" i="1"/>
  <c r="F5" i="1"/>
  <c r="G7" i="1"/>
  <c r="G11" i="1"/>
  <c r="F10" i="1"/>
  <c r="G10" i="1" s="1"/>
  <c r="F6" i="1"/>
  <c r="F15" i="1" l="1"/>
  <c r="G15" i="1" s="1"/>
  <c r="B16" i="1"/>
  <c r="F16" i="1" s="1"/>
  <c r="G16" i="1" s="1"/>
  <c r="B17" i="1" l="1"/>
  <c r="F17" i="1" s="1"/>
  <c r="G17" i="1" s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<sst xmlns="http://schemas.openxmlformats.org/spreadsheetml/2006/main" count="23" uniqueCount="23">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</sst>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CE2C-1509-4AFB-B9F7-583CC091EB93}">
  <dimension ref="A1:G18"/>
  <sheetViews>
    <sheetView tabSelected="1" workbookViewId="0">
      <selection activeCell="G1" sqref="G1"/>
    </sheetView>
  </sheetViews>
  <sheetFormatPr baseColWidth="10" defaultRowHeight="12.75" x14ac:dyDescent="0.2"/>
  <cols>
    <col min="1" max="1" width="19.28515625" bestFit="1" customWidth="1"/>
    <col min="2" max="256" width="9.140625" customWidth="1"/>
  </cols>
  <sheetData>
    <row r="1" spans="1:7" x14ac:dyDescent="0.2">
      <c r="A1" t="s">
        <v>0</v>
      </c>
      <c r="C1" t="s">
        <v>1</v>
      </c>
      <c r="G1" s="1"/>
    </row>
    <row r="2" spans="1:7" ht="13.5" thickBot="1" x14ac:dyDescent="0.25"/>
    <row r="3" spans="1:7" ht="14.25" thickTop="1" thickBo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.5" thickTop="1" x14ac:dyDescent="0.2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13.642857142857142</v>
      </c>
      <c r="G5" s="4"/>
    </row>
    <row r="6" spans="1:7" x14ac:dyDescent="0.2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">
      <c r="A7" s="2" t="s">
        <v>6</v>
      </c>
      <c r="B7" s="6">
        <f>B5*B4</f>
        <v>20000</v>
      </c>
      <c r="C7" s="6">
        <f>C5*C4</f>
        <v>31500</v>
      </c>
      <c r="D7" s="6">
        <f>D5*D4</f>
        <v>44000</v>
      </c>
      <c r="E7" s="6">
        <f>E5*E4</f>
        <v>57500</v>
      </c>
      <c r="F7" s="6">
        <f>SUM(B7:D7)</f>
        <v>95500</v>
      </c>
      <c r="G7" s="7">
        <f>F7/$F$7</f>
        <v>1</v>
      </c>
    </row>
    <row r="8" spans="1:7" x14ac:dyDescent="0.2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0.64921465968586389</v>
      </c>
    </row>
    <row r="9" spans="1:7" x14ac:dyDescent="0.2">
      <c r="A9" s="2" t="s">
        <v>8</v>
      </c>
      <c r="B9" s="6">
        <f>B7-B8</f>
        <v>13000</v>
      </c>
      <c r="C9" s="6">
        <f>C7-C8</f>
        <v>19500</v>
      </c>
      <c r="D9" s="6">
        <f>D7-D8</f>
        <v>26000</v>
      </c>
      <c r="E9" s="6">
        <f>E7-E8</f>
        <v>32500</v>
      </c>
      <c r="F9" s="6">
        <f t="shared" si="0"/>
        <v>91000</v>
      </c>
      <c r="G9" s="7">
        <f t="shared" si="1"/>
        <v>0.95287958115183247</v>
      </c>
    </row>
    <row r="10" spans="1:7" x14ac:dyDescent="0.2">
      <c r="A10" s="2" t="s">
        <v>14</v>
      </c>
      <c r="B10" s="6">
        <f>6%*B7</f>
        <v>1200</v>
      </c>
      <c r="C10" s="6">
        <f>6%*C7</f>
        <v>1890</v>
      </c>
      <c r="D10" s="6">
        <f>6%*D7</f>
        <v>2640</v>
      </c>
      <c r="E10" s="6">
        <f>6%*E7</f>
        <v>3450</v>
      </c>
      <c r="F10" s="6">
        <f t="shared" si="0"/>
        <v>9180</v>
      </c>
      <c r="G10" s="7">
        <f t="shared" si="1"/>
        <v>9.6125654450261777E-2</v>
      </c>
    </row>
    <row r="11" spans="1:7" x14ac:dyDescent="0.2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2.5130890052356022E-2</v>
      </c>
    </row>
    <row r="12" spans="1:7" x14ac:dyDescent="0.2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1.2565445026178011E-2</v>
      </c>
    </row>
    <row r="13" spans="1:7" x14ac:dyDescent="0.2">
      <c r="A13" s="2" t="s">
        <v>16</v>
      </c>
      <c r="B13" s="6">
        <f>2%*B7</f>
        <v>400</v>
      </c>
      <c r="C13" s="6">
        <f>2%*C7</f>
        <v>630</v>
      </c>
      <c r="D13" s="6">
        <f>2%*D7</f>
        <v>880</v>
      </c>
      <c r="E13" s="6">
        <f>2%*E7</f>
        <v>1150</v>
      </c>
      <c r="F13" s="6">
        <f t="shared" si="0"/>
        <v>3060</v>
      </c>
      <c r="G13" s="7">
        <f t="shared" si="1"/>
        <v>3.2041884816753928E-2</v>
      </c>
    </row>
    <row r="14" spans="1:7" x14ac:dyDescent="0.2">
      <c r="A14" s="2" t="s">
        <v>9</v>
      </c>
      <c r="B14" s="6">
        <f>SUM(B10:B13)</f>
        <v>2500</v>
      </c>
      <c r="C14" s="6">
        <f>SUM(C10:C13)</f>
        <v>3420</v>
      </c>
      <c r="D14" s="6">
        <f>SUM(D10:D13)</f>
        <v>4420</v>
      </c>
      <c r="E14" s="6">
        <f>SUM(E10:E13)</f>
        <v>5500</v>
      </c>
      <c r="F14" s="6">
        <f t="shared" si="0"/>
        <v>15840</v>
      </c>
      <c r="G14" s="7">
        <f t="shared" si="1"/>
        <v>0.16586387434554975</v>
      </c>
    </row>
    <row r="15" spans="1:7" x14ac:dyDescent="0.2">
      <c r="A15" s="2" t="s">
        <v>10</v>
      </c>
      <c r="B15" s="6">
        <f>B9-B14</f>
        <v>10500</v>
      </c>
      <c r="C15" s="6">
        <f>C9-C14</f>
        <v>16080</v>
      </c>
      <c r="D15" s="6">
        <f>D9-D14</f>
        <v>21580</v>
      </c>
      <c r="E15" s="6">
        <f>E9-E14</f>
        <v>27000</v>
      </c>
      <c r="F15" s="6">
        <f t="shared" si="0"/>
        <v>75160</v>
      </c>
      <c r="G15" s="7">
        <f t="shared" si="1"/>
        <v>0.78701570680628274</v>
      </c>
    </row>
    <row r="16" spans="1:7" x14ac:dyDescent="0.2">
      <c r="A16" s="2" t="s">
        <v>12</v>
      </c>
      <c r="B16" s="6">
        <f>IF(B15&gt;0,B15*28%,0)</f>
        <v>2940.0000000000005</v>
      </c>
      <c r="C16" s="6">
        <f>IF(C15&gt;0,C15*28%,0)</f>
        <v>4502.4000000000005</v>
      </c>
      <c r="D16" s="6">
        <f>IF(D15&gt;0,D15*28%,0)</f>
        <v>6042.4000000000005</v>
      </c>
      <c r="E16" s="6">
        <f>IF(E15&gt;0,E15*28%,0)</f>
        <v>7560.0000000000009</v>
      </c>
      <c r="F16" s="6">
        <f t="shared" si="0"/>
        <v>21044.800000000003</v>
      </c>
      <c r="G16" s="7">
        <f t="shared" si="1"/>
        <v>0.22036439790575918</v>
      </c>
    </row>
    <row r="17" spans="1:7" ht="13.5" thickBot="1" x14ac:dyDescent="0.25">
      <c r="A17" s="8" t="s">
        <v>11</v>
      </c>
      <c r="B17" s="9">
        <f>B15-B16</f>
        <v>7560</v>
      </c>
      <c r="C17" s="9">
        <f>C15-C16</f>
        <v>11577.599999999999</v>
      </c>
      <c r="D17" s="9">
        <f>D15-D16</f>
        <v>15537.599999999999</v>
      </c>
      <c r="E17" s="9">
        <f>E15-E16</f>
        <v>19440</v>
      </c>
      <c r="F17" s="9">
        <f t="shared" si="0"/>
        <v>54115.199999999997</v>
      </c>
      <c r="G17" s="10">
        <f t="shared" si="1"/>
        <v>0.56665130890052351</v>
      </c>
    </row>
    <row r="18" spans="1:7" ht="13.5" thickTop="1" x14ac:dyDescent="0.2"/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CE00-D057-49FE-966B-7E626EC8A25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D560-096D-4AA2-8A2C-5E98161D77C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Kaufmann Timon</cp:lastModifiedBy>
  <dcterms:created xsi:type="dcterms:W3CDTF">2002-02-16T22:10:01Z</dcterms:created>
  <dcterms:modified xsi:type="dcterms:W3CDTF">2026-03-11T23:05:37Z</dcterms:modified>
</cp:coreProperties>
</file>