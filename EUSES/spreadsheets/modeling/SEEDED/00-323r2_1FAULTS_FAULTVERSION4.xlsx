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DE347626-D1BE-4F4C-BED3-E6F7F4BD8410}" xr6:coauthVersionLast="47" xr6:coauthVersionMax="47" xr10:uidLastSave="{00000000-0000-0000-0000-000000000000}"/>
  <bookViews>
    <workbookView xWindow="2190" yWindow="2085" windowWidth="15330" windowHeight="10770" xr2:uid="{64123402-40F0-4DF9-9D82-EF896DDE1D51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1" i="1"/>
  <c r="K11" i="1"/>
  <c r="L11" i="1"/>
  <c r="J12" i="1"/>
  <c r="K12" i="1"/>
  <c r="L12" i="1"/>
  <c r="P12" i="1"/>
  <c r="P10" i="1" s="1"/>
  <c r="P23" i="1" s="1"/>
  <c r="J13" i="1"/>
  <c r="K13" i="1"/>
  <c r="L13" i="1"/>
  <c r="J15" i="1"/>
  <c r="J25" i="1" s="1"/>
  <c r="K15" i="1"/>
  <c r="K25" i="1" s="1"/>
  <c r="K39" i="1" s="1"/>
  <c r="L15" i="1"/>
  <c r="P13" i="1" s="1"/>
  <c r="J16" i="1"/>
  <c r="K16" i="1"/>
  <c r="L16" i="1"/>
  <c r="J17" i="1"/>
  <c r="P11" i="1" s="1"/>
  <c r="P25" i="1" s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B25" i="1"/>
  <c r="B39" i="1" s="1"/>
  <c r="B40" i="1" s="1"/>
  <c r="B41" i="1" s="1"/>
  <c r="C25" i="1"/>
  <c r="C39" i="1" s="1"/>
  <c r="C40" i="1" s="1"/>
  <c r="C41" i="1" s="1"/>
  <c r="J27" i="1"/>
  <c r="J35" i="1" s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B35" i="1"/>
  <c r="C35" i="1"/>
  <c r="K35" i="1"/>
  <c r="L35" i="1"/>
  <c r="J36" i="1"/>
  <c r="J38" i="1" s="1"/>
  <c r="K36" i="1"/>
  <c r="K38" i="1" s="1"/>
  <c r="L36" i="1"/>
  <c r="L38" i="1" s="1"/>
  <c r="J37" i="1"/>
  <c r="K37" i="1"/>
  <c r="L37" i="1"/>
  <c r="C38" i="1"/>
  <c r="P15" i="1" l="1"/>
  <c r="P21" i="1"/>
  <c r="Q21" i="1"/>
  <c r="R21" i="1" s="1"/>
  <c r="Q13" i="1"/>
  <c r="K40" i="1"/>
  <c r="K41" i="1" s="1"/>
  <c r="J39" i="1"/>
  <c r="J40" i="1" s="1"/>
  <c r="J41" i="1" s="1"/>
  <c r="L25" i="1"/>
  <c r="L39" i="1" s="1"/>
  <c r="L40" i="1" s="1"/>
  <c r="L41" i="1" s="1"/>
  <c r="P14" i="1"/>
  <c r="P16" i="1" l="1"/>
  <c r="Q16" i="1" s="1"/>
  <c r="P22" i="1"/>
  <c r="Q22" i="1"/>
  <c r="R22" i="1" s="1"/>
  <c r="Q14" i="1"/>
  <c r="Q15" i="1"/>
  <c r="P17" i="1"/>
  <c r="P18" i="1"/>
  <c r="Q17" i="1" l="1"/>
  <c r="Q18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<sst xmlns="http://schemas.openxmlformats.org/spreadsheetml/2006/main" count="105" uniqueCount="95">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</sst>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A927-2610-4A72-A7A9-9E451AB248A6}">
  <dimension ref="A1:R46"/>
  <sheetViews>
    <sheetView tabSelected="1" workbookViewId="0">
      <selection activeCell="A26" sqref="A26"/>
    </sheetView>
  </sheetViews>
  <sheetFormatPr baseColWidth="10" defaultRowHeight="12.75" x14ac:dyDescent="0.2"/>
  <cols>
    <col min="1" max="1" width="22.7109375" customWidth="1"/>
    <col min="2" max="256" width="9.140625" customWidth="1"/>
  </cols>
  <sheetData>
    <row r="1" spans="1:17" x14ac:dyDescent="0.2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">
      <c r="A2" t="s">
        <v>2</v>
      </c>
      <c r="H2" t="s">
        <v>70</v>
      </c>
    </row>
    <row r="3" spans="1:17" x14ac:dyDescent="0.2">
      <c r="A3" s="1" t="s">
        <v>5</v>
      </c>
    </row>
    <row r="4" spans="1:17" x14ac:dyDescent="0.2">
      <c r="A4" t="s">
        <v>6</v>
      </c>
      <c r="B4" t="s">
        <v>7</v>
      </c>
      <c r="C4" t="s">
        <v>8</v>
      </c>
    </row>
    <row r="5" spans="1:17" x14ac:dyDescent="0.2">
      <c r="A5" t="s">
        <v>9</v>
      </c>
      <c r="B5">
        <v>12.5</v>
      </c>
      <c r="C5">
        <v>6.25</v>
      </c>
      <c r="K5" t="s">
        <v>71</v>
      </c>
    </row>
    <row r="6" spans="1:17" x14ac:dyDescent="0.2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x14ac:dyDescent="0.2">
      <c r="A7" s="1" t="s">
        <v>13</v>
      </c>
      <c r="C7" t="s">
        <v>57</v>
      </c>
      <c r="D7" t="s">
        <v>14</v>
      </c>
      <c r="Q7" t="s">
        <v>81</v>
      </c>
    </row>
    <row r="8" spans="1:17" x14ac:dyDescent="0.2">
      <c r="A8" t="s">
        <v>15</v>
      </c>
      <c r="P8" t="s">
        <v>91</v>
      </c>
      <c r="Q8" t="s">
        <v>91</v>
      </c>
    </row>
    <row r="9" spans="1:17" x14ac:dyDescent="0.2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">
      <c r="N10" t="s">
        <v>90</v>
      </c>
      <c r="P10">
        <f>+P12-C16-C17</f>
        <v>4.74</v>
      </c>
    </row>
    <row r="11" spans="1:17" x14ac:dyDescent="0.2">
      <c r="A11" t="s">
        <v>63</v>
      </c>
      <c r="B11">
        <v>0.5</v>
      </c>
      <c r="C11">
        <v>0.5</v>
      </c>
      <c r="J11">
        <f t="shared" ref="J11:L12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">
      <c r="A13" t="s">
        <v>65</v>
      </c>
      <c r="B13">
        <v>0.5</v>
      </c>
      <c r="C13">
        <v>0.35</v>
      </c>
      <c r="J13">
        <f>$C14/2</f>
        <v>0</v>
      </c>
      <c r="K13">
        <f>$C13/2</f>
        <v>0.17499999999999999</v>
      </c>
      <c r="L13">
        <f>$C13/2</f>
        <v>0.17499999999999999</v>
      </c>
      <c r="N13" t="s">
        <v>74</v>
      </c>
      <c r="P13">
        <f>+L6-$L9-$L11-$L12-$L15-$L21-$L27-($L30/2)</f>
        <v>4.7699999999999996</v>
      </c>
      <c r="Q13">
        <f>+P13-3.125-K15</f>
        <v>1.5199999999999996</v>
      </c>
    </row>
    <row r="14" spans="1:17" x14ac:dyDescent="0.2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-1.48</v>
      </c>
      <c r="Q14">
        <f>+P14+3.125-K15</f>
        <v>1.52</v>
      </c>
    </row>
    <row r="15" spans="1:17" x14ac:dyDescent="0.2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-8.0000000000000071E-2</v>
      </c>
      <c r="Q15">
        <f>+P15-3.125</f>
        <v>-3.2050000000000001</v>
      </c>
    </row>
    <row r="16" spans="1:17" x14ac:dyDescent="0.2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-6.33</v>
      </c>
      <c r="Q16">
        <f>+P16+3.125</f>
        <v>-3.2050000000000001</v>
      </c>
    </row>
    <row r="17" spans="1:18" x14ac:dyDescent="0.2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0.52000000000000024</v>
      </c>
      <c r="Q17">
        <f>+Q$15+$J$36+$J$37-J16-J19-J22-$J$23-$J$20-$J$28-$J13-(J30/2)</f>
        <v>0.52000000000000024</v>
      </c>
    </row>
    <row r="18" spans="1:18" x14ac:dyDescent="0.2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0.52000000000000024</v>
      </c>
      <c r="Q18">
        <f>+Q$15+$J$36+$J$37-J16-J19-J22-$J$23-$J$20-$J$28-$J13-(J30/2)</f>
        <v>0.52000000000000024</v>
      </c>
    </row>
    <row r="19" spans="1:18" x14ac:dyDescent="0.2">
      <c r="A19" t="s">
        <v>21</v>
      </c>
      <c r="B19">
        <v>0.1</v>
      </c>
      <c r="C19">
        <v>0.2</v>
      </c>
      <c r="D19" t="s">
        <v>22</v>
      </c>
      <c r="J19">
        <f t="shared" ref="J19:L23" si="2">$C19/2</f>
        <v>0.1</v>
      </c>
      <c r="K19">
        <f t="shared" si="2"/>
        <v>0.1</v>
      </c>
      <c r="L19">
        <f t="shared" si="2"/>
        <v>0.1</v>
      </c>
    </row>
    <row r="20" spans="1:18" x14ac:dyDescent="0.2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-1.53</v>
      </c>
      <c r="Q21">
        <f>+$P$13-$P$11-$K$13-$K$16-$K$19-$K$20-$K$28-($K$30/2)-3.125</f>
        <v>-4.6550000000000002</v>
      </c>
      <c r="R21">
        <f>+Q21+5.4-0.4</f>
        <v>0.34500000000000008</v>
      </c>
    </row>
    <row r="22" spans="1:18" x14ac:dyDescent="0.2">
      <c r="A22" t="s">
        <v>26</v>
      </c>
      <c r="B22">
        <v>0</v>
      </c>
      <c r="C22">
        <v>0.5</v>
      </c>
      <c r="J22">
        <f t="shared" si="2"/>
        <v>0.25</v>
      </c>
      <c r="K22">
        <f t="shared" si="2"/>
        <v>0.25</v>
      </c>
      <c r="L22">
        <f t="shared" si="2"/>
        <v>0.25</v>
      </c>
      <c r="N22" t="s">
        <v>77</v>
      </c>
      <c r="P22">
        <f>+$P$14-$P$11-$K$13-$K16-$K$19-$K$20-$K$28-($K$30/2)</f>
        <v>-7.7799999999999994</v>
      </c>
      <c r="Q22">
        <f>+$P$14-$P$11-$K$13-$K16-$K$19-$K$20-$K$28-($K$30/2)+3.125</f>
        <v>-4.6549999999999994</v>
      </c>
      <c r="R22">
        <f>+Q22+5.4-0.4</f>
        <v>0.34500000000000097</v>
      </c>
    </row>
    <row r="23" spans="1:18" x14ac:dyDescent="0.2">
      <c r="A23" t="s">
        <v>67</v>
      </c>
      <c r="B23">
        <v>0</v>
      </c>
      <c r="C23">
        <v>0.3</v>
      </c>
      <c r="H23" t="s">
        <v>62</v>
      </c>
      <c r="J23">
        <f t="shared" si="2"/>
        <v>0.15</v>
      </c>
      <c r="K23">
        <f t="shared" si="2"/>
        <v>0.15</v>
      </c>
      <c r="L23">
        <f t="shared" si="2"/>
        <v>0.15</v>
      </c>
      <c r="N23" t="s">
        <v>90</v>
      </c>
      <c r="P23">
        <f>+P10-C13-C19</f>
        <v>4.1900000000000004</v>
      </c>
    </row>
    <row r="24" spans="1:18" x14ac:dyDescent="0.2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1.605</v>
      </c>
      <c r="K25">
        <f>SUM(K9:K24)</f>
        <v>1.7800000000000002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">
      <c r="A26" t="s">
        <v>29</v>
      </c>
      <c r="D26" t="s">
        <v>30</v>
      </c>
    </row>
    <row r="27" spans="1:18" x14ac:dyDescent="0.2">
      <c r="A27" t="s">
        <v>31</v>
      </c>
      <c r="B27">
        <v>0.75</v>
      </c>
      <c r="C27">
        <v>0.75</v>
      </c>
      <c r="D27" t="s">
        <v>32</v>
      </c>
      <c r="J27">
        <f t="shared" ref="J27:L30" si="3">$C27</f>
        <v>0.75</v>
      </c>
      <c r="K27">
        <f t="shared" si="3"/>
        <v>0.75</v>
      </c>
      <c r="L27">
        <f t="shared" si="3"/>
        <v>0.75</v>
      </c>
    </row>
    <row r="28" spans="1:18" x14ac:dyDescent="0.2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">
      <c r="A30" t="s">
        <v>35</v>
      </c>
      <c r="B30">
        <v>0.4</v>
      </c>
      <c r="C30">
        <v>0.4</v>
      </c>
      <c r="J30">
        <f t="shared" si="3"/>
        <v>0.4</v>
      </c>
      <c r="K30">
        <f t="shared" si="3"/>
        <v>0.4</v>
      </c>
      <c r="L30">
        <f t="shared" si="3"/>
        <v>0.4</v>
      </c>
    </row>
    <row r="31" spans="1:18" x14ac:dyDescent="0.2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">
      <c r="A33" t="s">
        <v>39</v>
      </c>
      <c r="B33">
        <v>0.42499999999999999</v>
      </c>
      <c r="C33">
        <v>0</v>
      </c>
      <c r="D33" t="s">
        <v>40</v>
      </c>
    </row>
    <row r="34" spans="1:12" x14ac:dyDescent="0.2">
      <c r="A34" t="s">
        <v>41</v>
      </c>
      <c r="B34">
        <v>1.5</v>
      </c>
      <c r="C34">
        <v>0</v>
      </c>
      <c r="D34" t="s">
        <v>42</v>
      </c>
    </row>
    <row r="35" spans="1:12" x14ac:dyDescent="0.2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6.4</v>
      </c>
    </row>
    <row r="36" spans="1:12" x14ac:dyDescent="0.2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">
      <c r="A39" t="s">
        <v>48</v>
      </c>
      <c r="B39">
        <f>+B25+B35</f>
        <v>9.6</v>
      </c>
      <c r="C39">
        <f>+C25+C35</f>
        <v>11.96</v>
      </c>
      <c r="J39">
        <f>+J25+J35</f>
        <v>8.0050000000000008</v>
      </c>
      <c r="K39">
        <f>+K25+K35</f>
        <v>8.18</v>
      </c>
      <c r="L39">
        <f>+L25+L35</f>
        <v>8.18</v>
      </c>
    </row>
    <row r="40" spans="1:12" x14ac:dyDescent="0.2">
      <c r="A40" t="s">
        <v>49</v>
      </c>
      <c r="B40">
        <f>+B39-B38</f>
        <v>9.6</v>
      </c>
      <c r="C40">
        <f>+C39-C38</f>
        <v>5.5600000000000005</v>
      </c>
      <c r="J40">
        <f>+J39-J38</f>
        <v>2.6050000000000004</v>
      </c>
      <c r="K40">
        <f>+K39-K38</f>
        <v>2.7799999999999994</v>
      </c>
      <c r="L40">
        <f>+L39-L38</f>
        <v>2.7799999999999994</v>
      </c>
    </row>
    <row r="41" spans="1:12" x14ac:dyDescent="0.2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0.51999999999999957</v>
      </c>
      <c r="K41">
        <f>+K6-K40+3.125</f>
        <v>0.34500000000000064</v>
      </c>
      <c r="L41">
        <f>+L6-L40-3.125</f>
        <v>0.34500000000000064</v>
      </c>
    </row>
    <row r="42" spans="1:12" x14ac:dyDescent="0.2">
      <c r="A42" t="s">
        <v>52</v>
      </c>
    </row>
    <row r="43" spans="1:12" x14ac:dyDescent="0.2">
      <c r="A43" t="s">
        <v>53</v>
      </c>
    </row>
    <row r="44" spans="1:12" x14ac:dyDescent="0.2">
      <c r="A44" t="s">
        <v>54</v>
      </c>
    </row>
    <row r="45" spans="1:12" x14ac:dyDescent="0.2">
      <c r="A45" t="s">
        <v>55</v>
      </c>
    </row>
    <row r="46" spans="1:12" x14ac:dyDescent="0.2">
      <c r="A46" t="s">
        <v>56</v>
      </c>
    </row>
  </sheetData>
  <pageMargins left="0.78740157499999996" right="0.78740157499999996" top="0.984251969" bottom="0.984251969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57F5-8B35-4FB6-8D39-1BEB435D561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A83-F627-451E-8B56-308C67B60A6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Kaufmann Timon</cp:lastModifiedBy>
  <cp:lastPrinted>2000-08-21T21:00:59Z</cp:lastPrinted>
  <dcterms:created xsi:type="dcterms:W3CDTF">2000-03-27T15:43:36Z</dcterms:created>
  <dcterms:modified xsi:type="dcterms:W3CDTF">2026-03-11T23:04:42Z</dcterms:modified>
</cp:coreProperties>
</file>