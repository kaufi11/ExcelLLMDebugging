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wmf" ContentType="image/x-wmf"/>
  <Override PartName="/xl/media/image2.wmf" ContentType="image/x-wmf"/>
  <Override PartName="/xl/media/image3.wmf" ContentType="image/x-wmf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69" firstSheet="0" activeTab="0"/>
  </bookViews>
  <sheets>
    <sheet name="0" sheetId="1" state="visible" r:id="rId2"/>
    <sheet name="1" sheetId="2" state="visible" r:id="rId3"/>
    <sheet name="2" sheetId="3" state="visible" r:id="rId4"/>
  </sheets>
  <definedNames>
    <definedName function="false" hidden="false" localSheetId="0" name="_xlnm.Print_Area" vbProcedure="false">'0'!$A$1:$C$28</definedName>
    <definedName function="false" hidden="false" localSheetId="1" name="_xlnm.Print_Area" vbProcedure="false">'1'!$A$1:$R$48</definedName>
    <definedName function="false" hidden="false" localSheetId="2" name="_xlnm.Print_Area" vbProcedure="false">'2'!$A$1:$R$44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<sst xmlns="http://schemas.openxmlformats.org/spreadsheetml/2006/main" count="115" uniqueCount="63">
  <si>
    <t xml:space="preserve">ヒストリカル・四半期データ集（連結）</t>
  </si>
  <si>
    <t xml:space="preserve">目次</t>
  </si>
  <si>
    <t xml:space="preserve">頁</t>
  </si>
  <si>
    <t xml:space="preserve">四半期実績推移(1)</t>
  </si>
  <si>
    <t xml:space="preserve">製品別売上高および簡易損益計算書</t>
  </si>
  <si>
    <t xml:space="preserve">地域別売上高</t>
  </si>
  <si>
    <t xml:space="preserve">四半期実績推移(2)</t>
  </si>
  <si>
    <t xml:space="preserve">事業の種類別セグメント情報</t>
  </si>
  <si>
    <t xml:space="preserve">* 当データ集では、マイナス数値は（   ）で表示しております。</t>
  </si>
  <si>
    <t xml:space="preserve"> 1. 四半期実績推移(1)</t>
  </si>
  <si>
    <t xml:space="preserve">2003</t>
  </si>
  <si>
    <t xml:space="preserve">第１四半期</t>
  </si>
  <si>
    <t xml:space="preserve">第２四半期</t>
  </si>
  <si>
    <t xml:space="preserve">第３四半期</t>
  </si>
  <si>
    <t xml:space="preserve">第４四半期</t>
  </si>
  <si>
    <t xml:space="preserve">（百万円）</t>
  </si>
  <si>
    <t xml:space="preserve">事務機：</t>
  </si>
  <si>
    <t xml:space="preserve">オフィスイメージング機器</t>
  </si>
  <si>
    <t xml:space="preserve">コンピュータ周辺機器</t>
  </si>
  <si>
    <t xml:space="preserve">ビジネス情報機器</t>
  </si>
  <si>
    <t xml:space="preserve">事務機　計</t>
  </si>
  <si>
    <t xml:space="preserve">カメラ</t>
  </si>
  <si>
    <t xml:space="preserve">光学機器その他</t>
  </si>
  <si>
    <t xml:space="preserve">売上合計</t>
  </si>
  <si>
    <t xml:space="preserve">純売上高*1</t>
  </si>
  <si>
    <t xml:space="preserve">売上原価</t>
  </si>
  <si>
    <t xml:space="preserve">売上総利益</t>
  </si>
  <si>
    <t xml:space="preserve">　売上総利益率</t>
  </si>
  <si>
    <t xml:space="preserve">販売費及び一般管理費*2</t>
  </si>
  <si>
    <t xml:space="preserve">営業利益</t>
  </si>
  <si>
    <t xml:space="preserve">　営業利益率</t>
  </si>
  <si>
    <t xml:space="preserve">営業外収益及び費用</t>
  </si>
  <si>
    <t xml:space="preserve">受取利息及び配当金</t>
  </si>
  <si>
    <t xml:space="preserve">支払利息</t>
  </si>
  <si>
    <t xml:space="preserve">その他</t>
  </si>
  <si>
    <t xml:space="preserve">計</t>
  </si>
  <si>
    <t xml:space="preserve">税引前当期純利益</t>
  </si>
  <si>
    <t xml:space="preserve">　税引前当期純利益率</t>
  </si>
  <si>
    <t xml:space="preserve">法人税等</t>
  </si>
  <si>
    <t xml:space="preserve">少数株主損益</t>
  </si>
  <si>
    <t xml:space="preserve">会計原則の変更による
累積影響額前利益</t>
  </si>
  <si>
    <t xml:space="preserve">会計原則の変更による
累積影響額（税効果配分後）</t>
  </si>
  <si>
    <t xml:space="preserve">当期純利益</t>
  </si>
  <si>
    <t xml:space="preserve">　当期純利益率</t>
  </si>
  <si>
    <t xml:space="preserve">国内</t>
  </si>
  <si>
    <t xml:space="preserve">海外：</t>
  </si>
  <si>
    <t xml:space="preserve">米州</t>
  </si>
  <si>
    <t xml:space="preserve">欧州</t>
  </si>
  <si>
    <t xml:space="preserve">海外　計</t>
  </si>
  <si>
    <t xml:space="preserve">合計</t>
  </si>
  <si>
    <t xml:space="preserve">*</t>
  </si>
  <si>
    <t xml:space="preserve">売上表示に係る新会計基準（EITF00-14、00-22）の適用に伴い、過年度の数値を修正再表示しております。</t>
  </si>
  <si>
    <t xml:space="preserve">固定資産除売却損益の表示項目の変更に伴い、過年度の「営業利益」を修正再表示しております。</t>
  </si>
  <si>
    <t xml:space="preserve"> 2. 四半期実績推移(2)</t>
  </si>
  <si>
    <t xml:space="preserve">2000</t>
  </si>
  <si>
    <t xml:space="preserve">2001</t>
  </si>
  <si>
    <t xml:space="preserve">2002</t>
  </si>
  <si>
    <t xml:space="preserve">売上高</t>
  </si>
  <si>
    <t xml:space="preserve">営業利益率</t>
  </si>
  <si>
    <t xml:space="preserve">カメラ：</t>
  </si>
  <si>
    <t xml:space="preserve">光学機器その他：</t>
  </si>
  <si>
    <t xml:space="preserve">消去又は全社：</t>
  </si>
  <si>
    <t xml:space="preserve">合計：</t>
  </si>
</sst>
</file>

<file path=xl/styles.xml><?xml version="1.0" encoding="utf-8"?>
<styleSheet xmlns="http://schemas.openxmlformats.org/spreadsheetml/2006/main">
  <numFmts count="17">
    <numFmt numFmtId="164" formatCode="#,##0_);\(#,##0\)"/>
    <numFmt numFmtId="165" formatCode="[$-409]h:mm"/>
    <numFmt numFmtId="166" formatCode="[$-409]m/d/yyyy"/>
    <numFmt numFmtId="167" formatCode="yyyy/mm/dd"/>
    <numFmt numFmtId="168" formatCode="0_);\(0\)"/>
    <numFmt numFmtId="169" formatCode="#,##0.0_);\(#,##0.0\)"/>
    <numFmt numFmtId="170" formatCode="#,##0.00_);\(#,##0.00\)"/>
    <numFmt numFmtId="171" formatCode="\+#,##0_);\(#,##0\);0_)"/>
    <numFmt numFmtId="172" formatCode="\+#,##0.0_);\(#,##0.0\);0.0_)"/>
    <numFmt numFmtId="173" formatCode="\+#,##0.00_);\(#,##0.00\);0.00_)"/>
    <numFmt numFmtId="174" formatCode="\+0.0%_);\(0.0%\);0.0%_)"/>
    <numFmt numFmtId="175" formatCode="\+0.00%_);\(0.00%\);0.00%_)"/>
    <numFmt numFmtId="176" formatCode="@"/>
    <numFmt numFmtId="177" formatCode="0.0%_);\(0.0%\)"/>
    <numFmt numFmtId="178" formatCode="0.00%;\▲0.00%"/>
    <numFmt numFmtId="179" formatCode="0."/>
    <numFmt numFmtId="180" formatCode="@*."/>
  </numFmts>
  <fonts count="11">
    <font>
      <sz val="12"/>
      <name val="ＭＳ Ｐ明朝"/>
      <family val="1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name val="ＭＳ Ｐ明朝"/>
      <family val="1"/>
      <charset val="128"/>
    </font>
    <font>
      <sz val="18"/>
      <name val="ＭＳ Ｐ明朝"/>
      <family val="1"/>
      <charset val="128"/>
    </font>
    <font>
      <sz val="16"/>
      <name val="ＭＳ Ｐ明朝"/>
      <family val="1"/>
      <charset val="128"/>
    </font>
    <font>
      <b val="true"/>
      <sz val="18"/>
      <name val="ＭＳ Ｐ明朝"/>
      <family val="1"/>
      <charset val="128"/>
    </font>
    <font>
      <sz val="10"/>
      <name val="ＭＳ Ｐ明朝"/>
      <family val="1"/>
      <charset val="128"/>
    </font>
    <font>
      <b val="true"/>
      <sz val="14"/>
      <name val="ＭＳ Ｐ明朝"/>
      <family val="1"/>
      <charset val="128"/>
    </font>
    <font>
      <b val="true"/>
      <sz val="12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0"/>
        <bgColor rgb="FFFFFF99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hair"/>
      <top/>
      <bottom style="thin"/>
      <diagonal/>
    </border>
    <border diagonalUp="false" diagonalDown="false">
      <left style="hair"/>
      <right/>
      <top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hair"/>
      <top/>
      <bottom style="medium"/>
      <diagonal/>
    </border>
    <border diagonalUp="false" diagonalDown="false">
      <left style="hair"/>
      <right/>
      <top/>
      <bottom style="medium"/>
      <diagonal/>
    </border>
    <border diagonalUp="false" diagonalDown="false">
      <left/>
      <right style="hair"/>
      <top style="medium"/>
      <bottom/>
      <diagonal/>
    </border>
    <border diagonalUp="false" diagonalDown="false">
      <left/>
      <right/>
      <top style="thin"/>
      <bottom/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4" fontId="0" fillId="2" borderId="0" applyFont="true" applyBorder="false" applyAlignment="false" applyProtection="true">
      <protection locked="false" hidden="false"/>
    </xf>
    <xf numFmtId="168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70" fontId="0" fillId="0" borderId="0" applyFont="true" applyBorder="false" applyAlignment="false" applyProtection="false"/>
    <xf numFmtId="171" fontId="0" fillId="0" borderId="0" applyFont="true" applyBorder="false" applyAlignment="false" applyProtection="false"/>
    <xf numFmtId="172" fontId="0" fillId="0" borderId="0" applyFont="true" applyBorder="false" applyAlignment="false" applyProtection="false"/>
    <xf numFmtId="173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175" fontId="0" fillId="0" borderId="0" applyFont="true" applyBorder="false" applyAlignment="false" applyProtection="false"/>
    <xf numFmtId="176" fontId="0" fillId="0" borderId="0" applyFont="true" applyBorder="false" applyAlignment="false" applyProtection="false"/>
    <xf numFmtId="177" fontId="0" fillId="0" borderId="0" applyFont="true" applyBorder="false" applyAlignment="false" applyProtection="false"/>
    <xf numFmtId="178" fontId="0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6" fontId="5" fillId="0" borderId="0" xfId="23" applyFont="true" applyBorder="true" applyAlignment="true" applyProtection="fals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4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8" fillId="0" borderId="3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4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5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6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true" applyAlignment="true" applyProtection="false">
      <alignment horizontal="general" vertical="bottom" textRotation="0" wrapText="false" indent="0" shrinkToFit="false"/>
      <protection locked="false" hidden="false"/>
    </xf>
    <xf numFmtId="164" fontId="0" fillId="0" borderId="1" xfId="23" applyFont="true" applyBorder="true" applyAlignment="true" applyProtection="false">
      <alignment horizontal="general" vertical="bottom" textRotation="0" wrapText="false" indent="0" shrinkToFit="false"/>
      <protection locked="false" hidden="false"/>
    </xf>
    <xf numFmtId="164" fontId="0" fillId="0" borderId="6" xfId="23" applyFont="true" applyBorder="true" applyAlignment="true" applyProtection="false">
      <alignment horizontal="general" vertical="bottom" textRotation="0" wrapText="false" indent="0" shrinkToFit="false"/>
      <protection locked="fals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true" applyProtection="false">
      <alignment horizontal="general" vertical="bottom" textRotation="0" wrapText="false" indent="0" shrinkToFit="false"/>
      <protection locked="false" hidden="false"/>
    </xf>
    <xf numFmtId="164" fontId="0" fillId="0" borderId="4" xfId="23" applyFont="true" applyBorder="true" applyAlignment="true" applyProtection="false">
      <alignment horizontal="general" vertical="bottom" textRotation="0" wrapText="false" indent="0" shrinkToFit="false"/>
      <protection locked="false" hidden="false"/>
    </xf>
    <xf numFmtId="164" fontId="0" fillId="0" borderId="5" xfId="23" applyFont="true" applyBorder="true" applyAlignment="true" applyProtection="false">
      <alignment horizontal="general" vertical="bottom" textRotation="0" wrapText="false" indent="0" shrinkToFit="false"/>
      <protection locked="fals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1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3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1" xfId="3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6" xfId="3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7" fontId="0" fillId="0" borderId="7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8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7" xfId="3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8" xfId="3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9" xfId="3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10" xfId="3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0" borderId="0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1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4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3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5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9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:MM" xfId="20"/>
    <cellStyle name="YYYY/M/D" xfId="21"/>
    <cellStyle name="YYYY/MM/DD" xfId="22"/>
    <cellStyle name="入力欄" xfId="23"/>
    <cellStyle name="区切無し" xfId="24"/>
    <cellStyle name="小数１桁" xfId="25"/>
    <cellStyle name="小数２桁" xfId="26"/>
    <cellStyle name="差異" xfId="27"/>
    <cellStyle name="差異小数1桁" xfId="28"/>
    <cellStyle name="差異小数2桁" xfId="29"/>
    <cellStyle name="差異ﾊﾟｰｾﾝﾄ1桁" xfId="30"/>
    <cellStyle name="差異ﾊﾟｰｾﾝﾄ2桁" xfId="31"/>
    <cellStyle name="文字列" xfId="32"/>
    <cellStyle name="ﾊﾟｰｾﾝﾄ1桁" xfId="33"/>
    <cellStyle name="ﾊﾟｰｾﾝﾄ2桁" xfId="3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wmf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2109600</xdr:colOff>
      <xdr:row>0</xdr:row>
      <xdr:rowOff>28440</xdr:rowOff>
    </xdr:from>
    <xdr:to>
      <xdr:col>1</xdr:col>
      <xdr:colOff>3811320</xdr:colOff>
      <xdr:row>1</xdr:row>
      <xdr:rowOff>85680</xdr:rowOff>
    </xdr:to>
    <xdr:pic>
      <xdr:nvPicPr>
        <xdr:cNvPr id="0" name="ピクチャ 3" descr=""/>
        <xdr:cNvPicPr/>
      </xdr:nvPicPr>
      <xdr:blipFill>
        <a:blip r:embed="rId1"/>
        <a:stretch/>
      </xdr:blipFill>
      <xdr:spPr>
        <a:xfrm>
          <a:off x="2590920" y="28440"/>
          <a:ext cx="1701720" cy="542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706320</xdr:colOff>
      <xdr:row>0</xdr:row>
      <xdr:rowOff>0</xdr:rowOff>
    </xdr:from>
    <xdr:to>
      <xdr:col>17</xdr:col>
      <xdr:colOff>803880</xdr:colOff>
      <xdr:row>0</xdr:row>
      <xdr:rowOff>313920</xdr:rowOff>
    </xdr:to>
    <xdr:pic>
      <xdr:nvPicPr>
        <xdr:cNvPr id="1" name="ピクチャ 1" descr=""/>
        <xdr:cNvPicPr/>
      </xdr:nvPicPr>
      <xdr:blipFill>
        <a:blip r:embed="rId1"/>
        <a:stretch/>
      </xdr:blipFill>
      <xdr:spPr>
        <a:xfrm>
          <a:off x="15978240" y="0"/>
          <a:ext cx="964800" cy="3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759960</xdr:colOff>
      <xdr:row>0</xdr:row>
      <xdr:rowOff>19440</xdr:rowOff>
    </xdr:from>
    <xdr:to>
      <xdr:col>17</xdr:col>
      <xdr:colOff>814680</xdr:colOff>
      <xdr:row>0</xdr:row>
      <xdr:rowOff>333360</xdr:rowOff>
    </xdr:to>
    <xdr:pic>
      <xdr:nvPicPr>
        <xdr:cNvPr id="2" name="ピクチャ 1" descr=""/>
        <xdr:cNvPicPr/>
      </xdr:nvPicPr>
      <xdr:blipFill>
        <a:blip r:embed="rId1"/>
        <a:stretch/>
      </xdr:blipFill>
      <xdr:spPr>
        <a:xfrm>
          <a:off x="15994800" y="19440"/>
          <a:ext cx="964800" cy="313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421875" defaultRowHeight="14.25" zeroHeight="false" outlineLevelRow="0" outlineLevelCol="0"/>
  <cols>
    <col collapsed="false" customWidth="true" hidden="false" outlineLevel="0" max="1" min="1" style="1" width="5.62"/>
    <col collapsed="false" customWidth="true" hidden="false" outlineLevel="0" max="2" min="2" style="1" width="69.65"/>
    <col collapsed="false" customWidth="true" hidden="false" outlineLevel="0" max="3" min="3" style="1" width="4.5"/>
    <col collapsed="false" customWidth="false" hidden="false" outlineLevel="0" max="257" min="4" style="1" width="10.75"/>
  </cols>
  <sheetData>
    <row r="1" customFormat="false" ht="38.25" hidden="false" customHeight="true" outlineLevel="0" collapsed="false">
      <c r="B1" s="2"/>
      <c r="C1" s="2"/>
    </row>
    <row r="3" customFormat="false" ht="28.5" hidden="false" customHeight="false" outlineLevel="0" collapsed="false">
      <c r="A3" s="3"/>
      <c r="B3" s="3" t="s">
        <v>0</v>
      </c>
      <c r="C3" s="2"/>
    </row>
    <row r="6" customFormat="false" ht="21" hidden="false" customHeight="false" outlineLevel="0" collapsed="false">
      <c r="A6" s="4" t="s">
        <v>1</v>
      </c>
      <c r="B6" s="4"/>
      <c r="C6" s="4"/>
    </row>
    <row r="7" customFormat="false" ht="21" hidden="false" customHeight="false" outlineLevel="0" collapsed="false">
      <c r="A7" s="5"/>
      <c r="B7" s="5"/>
      <c r="C7" s="6" t="s">
        <v>2</v>
      </c>
    </row>
    <row r="8" customFormat="false" ht="21" hidden="false" customHeight="false" outlineLevel="0" collapsed="false">
      <c r="A8" s="7" t="n">
        <v>1</v>
      </c>
      <c r="B8" s="8" t="s">
        <v>3</v>
      </c>
      <c r="C8" s="9" t="n">
        <v>1</v>
      </c>
    </row>
    <row r="9" customFormat="false" ht="21" hidden="false" customHeight="false" outlineLevel="0" collapsed="false">
      <c r="A9" s="7"/>
      <c r="B9" s="10" t="s">
        <v>4</v>
      </c>
      <c r="C9" s="9"/>
    </row>
    <row r="10" customFormat="false" ht="21" hidden="false" customHeight="false" outlineLevel="0" collapsed="false">
      <c r="A10" s="7"/>
      <c r="B10" s="10" t="s">
        <v>5</v>
      </c>
      <c r="C10" s="9"/>
    </row>
    <row r="11" customFormat="false" ht="21" hidden="false" customHeight="false" outlineLevel="0" collapsed="false">
      <c r="A11" s="7" t="n">
        <v>2</v>
      </c>
      <c r="B11" s="8" t="s">
        <v>6</v>
      </c>
      <c r="C11" s="9" t="n">
        <v>2</v>
      </c>
    </row>
    <row r="12" customFormat="false" ht="21" hidden="false" customHeight="false" outlineLevel="0" collapsed="false">
      <c r="A12" s="7"/>
      <c r="B12" s="10" t="s">
        <v>7</v>
      </c>
      <c r="C12" s="9"/>
    </row>
    <row r="13" customFormat="false" ht="21" hidden="false" customHeight="false" outlineLevel="0" collapsed="false">
      <c r="A13" s="7"/>
      <c r="B13" s="8"/>
      <c r="C13" s="9"/>
    </row>
    <row r="14" customFormat="false" ht="21" hidden="false" customHeight="false" outlineLevel="0" collapsed="false">
      <c r="A14" s="7"/>
      <c r="B14" s="8"/>
      <c r="C14" s="9"/>
    </row>
    <row r="15" customFormat="false" ht="21" hidden="false" customHeight="false" outlineLevel="0" collapsed="false">
      <c r="A15" s="7"/>
      <c r="B15" s="8"/>
      <c r="C15" s="9"/>
    </row>
    <row r="16" customFormat="false" ht="21" hidden="false" customHeight="false" outlineLevel="0" collapsed="false">
      <c r="A16" s="7"/>
      <c r="B16" s="8"/>
      <c r="C16" s="9"/>
    </row>
    <row r="17" customFormat="false" ht="21" hidden="false" customHeight="false" outlineLevel="0" collapsed="false">
      <c r="A17" s="7"/>
      <c r="B17" s="8"/>
      <c r="C17" s="9"/>
    </row>
    <row r="18" customFormat="false" ht="21" hidden="false" customHeight="false" outlineLevel="0" collapsed="false">
      <c r="A18" s="7"/>
      <c r="B18" s="8"/>
      <c r="C18" s="9"/>
    </row>
    <row r="19" customFormat="false" ht="21" hidden="false" customHeight="false" outlineLevel="0" collapsed="false">
      <c r="A19" s="7"/>
      <c r="B19" s="8"/>
      <c r="C19" s="9"/>
    </row>
    <row r="20" customFormat="false" ht="21" hidden="false" customHeight="false" outlineLevel="0" collapsed="false">
      <c r="A20" s="7"/>
      <c r="B20" s="10"/>
      <c r="C20" s="9"/>
    </row>
    <row r="21" customFormat="false" ht="21" hidden="false" customHeight="false" outlineLevel="0" collapsed="false">
      <c r="A21" s="7"/>
      <c r="B21" s="10"/>
      <c r="C21" s="9"/>
    </row>
    <row r="22" customFormat="false" ht="21" hidden="false" customHeight="false" outlineLevel="0" collapsed="false">
      <c r="A22" s="7"/>
      <c r="B22" s="8"/>
      <c r="C22" s="9"/>
    </row>
    <row r="23" customFormat="false" ht="21" hidden="false" customHeight="false" outlineLevel="0" collapsed="false">
      <c r="A23" s="7"/>
      <c r="B23" s="10"/>
      <c r="C23" s="9"/>
    </row>
    <row r="24" customFormat="false" ht="21" hidden="false" customHeight="false" outlineLevel="0" collapsed="false">
      <c r="A24" s="5"/>
      <c r="B24" s="5"/>
      <c r="C24" s="5"/>
    </row>
    <row r="25" customFormat="false" ht="21" hidden="false" customHeight="false" outlineLevel="0" collapsed="false">
      <c r="A25" s="11"/>
      <c r="B25" s="11" t="n">
        <v>38015</v>
      </c>
      <c r="C25" s="9"/>
    </row>
    <row r="28" customFormat="false" ht="14.25" hidden="false" customHeight="false" outlineLevel="0" collapsed="false">
      <c r="B28" s="1" t="s">
        <v>8</v>
      </c>
    </row>
  </sheetData>
  <mergeCells count="1">
    <mergeCell ref="A6:C6"/>
  </mergeCells>
  <printOptions headings="false" gridLines="false" gridLinesSet="true" horizontalCentered="true" verticalCentered="true"/>
  <pageMargins left="0.45" right="0.479861111111111" top="0.640277777777778" bottom="0.640277777777778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R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N37" activePane="bottomRight" state="frozen"/>
      <selection pane="topLeft" activeCell="A1" activeCellId="0" sqref="A1"/>
      <selection pane="topRight" activeCell="N1" activeCellId="0" sqref="N1"/>
      <selection pane="bottomLeft" activeCell="A37" activeCellId="0" sqref="A37"/>
      <selection pane="bottomRight" activeCell="A1" activeCellId="0" sqref="A1"/>
    </sheetView>
  </sheetViews>
  <sheetFormatPr defaultColWidth="10.7421875" defaultRowHeight="16.15" zeroHeight="false" outlineLevelRow="1" outlineLevelCol="0"/>
  <cols>
    <col collapsed="false" customWidth="true" hidden="false" outlineLevel="0" max="1" min="1" style="1" width="3.37"/>
    <col collapsed="false" customWidth="true" hidden="false" outlineLevel="0" max="2" min="2" style="1" width="33.13"/>
    <col collapsed="false" customWidth="true" hidden="false" outlineLevel="0" max="18" min="3" style="1" width="10.12"/>
    <col collapsed="false" customWidth="false" hidden="false" outlineLevel="0" max="257" min="19" style="1" width="10.75"/>
  </cols>
  <sheetData>
    <row r="1" customFormat="false" ht="30" hidden="false" customHeight="true" outlineLevel="0" collapsed="false">
      <c r="A1" s="12" t="s">
        <v>9</v>
      </c>
      <c r="B1" s="13"/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</row>
    <row r="2" customFormat="false" ht="17.25" hidden="false" customHeight="true" outlineLevel="0" collapsed="false">
      <c r="A2" s="15"/>
      <c r="B2" s="16"/>
      <c r="C2" s="17" t="n">
        <v>2000</v>
      </c>
      <c r="D2" s="17"/>
      <c r="E2" s="17"/>
      <c r="F2" s="17"/>
      <c r="G2" s="17" t="n">
        <v>2001</v>
      </c>
      <c r="H2" s="17"/>
      <c r="I2" s="17"/>
      <c r="J2" s="17"/>
      <c r="K2" s="18" t="n">
        <v>2002</v>
      </c>
      <c r="L2" s="18"/>
      <c r="M2" s="18"/>
      <c r="N2" s="18"/>
      <c r="O2" s="19" t="s">
        <v>10</v>
      </c>
      <c r="P2" s="19"/>
      <c r="Q2" s="19"/>
      <c r="R2" s="19"/>
    </row>
    <row r="3" s="25" customFormat="true" ht="17.25" hidden="false" customHeight="true" outlineLevel="0" collapsed="false">
      <c r="A3" s="20"/>
      <c r="B3" s="21"/>
      <c r="C3" s="22" t="s">
        <v>11</v>
      </c>
      <c r="D3" s="22" t="s">
        <v>12</v>
      </c>
      <c r="E3" s="22" t="s">
        <v>13</v>
      </c>
      <c r="F3" s="23" t="s">
        <v>14</v>
      </c>
      <c r="G3" s="22" t="s">
        <v>11</v>
      </c>
      <c r="H3" s="22" t="s">
        <v>12</v>
      </c>
      <c r="I3" s="22" t="s">
        <v>13</v>
      </c>
      <c r="J3" s="23" t="s">
        <v>14</v>
      </c>
      <c r="K3" s="24" t="s">
        <v>11</v>
      </c>
      <c r="L3" s="22" t="s">
        <v>12</v>
      </c>
      <c r="M3" s="22" t="s">
        <v>13</v>
      </c>
      <c r="N3" s="23" t="s">
        <v>14</v>
      </c>
      <c r="O3" s="22" t="s">
        <v>11</v>
      </c>
      <c r="P3" s="22" t="s">
        <v>12</v>
      </c>
      <c r="Q3" s="22" t="s">
        <v>13</v>
      </c>
      <c r="R3" s="22" t="s">
        <v>14</v>
      </c>
    </row>
    <row r="4" s="28" customFormat="true" ht="16.5" hidden="false" customHeight="true" outlineLevel="0" collapsed="false">
      <c r="A4" s="26"/>
      <c r="B4" s="27" t="s">
        <v>15</v>
      </c>
      <c r="F4" s="29"/>
      <c r="J4" s="29"/>
      <c r="K4" s="30"/>
      <c r="N4" s="29"/>
    </row>
    <row r="5" s="28" customFormat="true" ht="7.5" hidden="false" customHeight="true" outlineLevel="0" collapsed="false">
      <c r="A5" s="26"/>
      <c r="B5" s="31"/>
      <c r="F5" s="29"/>
      <c r="J5" s="29"/>
      <c r="K5" s="30"/>
      <c r="N5" s="29"/>
    </row>
    <row r="6" s="28" customFormat="true" ht="18" hidden="false" customHeight="true" outlineLevel="0" collapsed="false">
      <c r="A6" s="32" t="s">
        <v>4</v>
      </c>
      <c r="B6" s="29"/>
      <c r="F6" s="29"/>
      <c r="J6" s="29"/>
      <c r="K6" s="30"/>
      <c r="N6" s="29"/>
    </row>
    <row r="7" s="28" customFormat="true" ht="4.5" hidden="false" customHeight="true" outlineLevel="0" collapsed="false">
      <c r="A7" s="33"/>
      <c r="B7" s="29"/>
      <c r="F7" s="29"/>
      <c r="J7" s="29"/>
      <c r="K7" s="30"/>
      <c r="N7" s="29"/>
    </row>
    <row r="8" customFormat="false" ht="16.5" hidden="false" customHeight="true" outlineLevel="0" collapsed="false">
      <c r="A8" s="13" t="s">
        <v>16</v>
      </c>
      <c r="B8" s="34"/>
      <c r="C8" s="13"/>
      <c r="D8" s="13"/>
      <c r="E8" s="13"/>
      <c r="F8" s="34"/>
      <c r="G8" s="13"/>
      <c r="H8" s="13"/>
      <c r="I8" s="13"/>
      <c r="J8" s="34"/>
      <c r="K8" s="35"/>
      <c r="L8" s="13"/>
      <c r="M8" s="13"/>
      <c r="N8" s="34"/>
      <c r="O8" s="13"/>
      <c r="P8" s="13"/>
      <c r="Q8" s="13"/>
      <c r="R8" s="13"/>
    </row>
    <row r="9" customFormat="false" ht="16.5" hidden="false" customHeight="true" outlineLevel="0" collapsed="false">
      <c r="A9" s="13"/>
      <c r="B9" s="34" t="s">
        <v>17</v>
      </c>
      <c r="C9" s="36" t="n">
        <v>211320</v>
      </c>
      <c r="D9" s="36" t="n">
        <v>219603</v>
      </c>
      <c r="E9" s="36" t="n">
        <v>203130</v>
      </c>
      <c r="F9" s="37" t="n">
        <v>227541</v>
      </c>
      <c r="G9" s="36" t="n">
        <v>231339</v>
      </c>
      <c r="H9" s="36" t="n">
        <v>247326</v>
      </c>
      <c r="I9" s="36" t="n">
        <v>229845</v>
      </c>
      <c r="J9" s="37" t="n">
        <v>268090</v>
      </c>
      <c r="K9" s="38" t="n">
        <v>251219</v>
      </c>
      <c r="L9" s="36" t="n">
        <v>265733</v>
      </c>
      <c r="M9" s="36" t="n">
        <v>234932</v>
      </c>
      <c r="N9" s="37" t="n">
        <v>271247</v>
      </c>
      <c r="O9" s="36" t="n">
        <v>254321</v>
      </c>
      <c r="P9" s="36" t="n">
        <v>278302</v>
      </c>
      <c r="Q9" s="36" t="n">
        <v>252001</v>
      </c>
      <c r="R9" s="36" t="n">
        <v>276475</v>
      </c>
    </row>
    <row r="10" customFormat="false" ht="16.5" hidden="false" customHeight="true" outlineLevel="0" collapsed="false">
      <c r="A10" s="13"/>
      <c r="B10" s="34" t="s">
        <v>18</v>
      </c>
      <c r="C10" s="36" t="n">
        <v>259320</v>
      </c>
      <c r="D10" s="36" t="n">
        <v>256085</v>
      </c>
      <c r="E10" s="36" t="n">
        <v>242515</v>
      </c>
      <c r="F10" s="37" t="n">
        <v>292409</v>
      </c>
      <c r="G10" s="36" t="n">
        <v>283067</v>
      </c>
      <c r="H10" s="36" t="n">
        <v>272577</v>
      </c>
      <c r="I10" s="36" t="n">
        <v>237211</v>
      </c>
      <c r="J10" s="37" t="n">
        <v>257983</v>
      </c>
      <c r="K10" s="38" t="n">
        <v>224258</v>
      </c>
      <c r="L10" s="36" t="n">
        <v>252030</v>
      </c>
      <c r="M10" s="36" t="n">
        <v>251605</v>
      </c>
      <c r="N10" s="37" t="n">
        <v>328063</v>
      </c>
      <c r="O10" s="36" t="n">
        <v>263599</v>
      </c>
      <c r="P10" s="36" t="n">
        <v>267663</v>
      </c>
      <c r="Q10" s="36" t="n">
        <v>261830</v>
      </c>
      <c r="R10" s="36" t="n">
        <v>296220</v>
      </c>
    </row>
    <row r="11" customFormat="false" ht="16.5" hidden="false" customHeight="true" outlineLevel="0" collapsed="false">
      <c r="A11" s="13"/>
      <c r="B11" s="39" t="s">
        <v>19</v>
      </c>
      <c r="C11" s="40" t="n">
        <v>57025</v>
      </c>
      <c r="D11" s="40" t="n">
        <v>56164</v>
      </c>
      <c r="E11" s="40" t="n">
        <v>42279</v>
      </c>
      <c r="F11" s="41" t="n">
        <v>43019</v>
      </c>
      <c r="G11" s="40" t="n">
        <v>53950</v>
      </c>
      <c r="H11" s="40" t="n">
        <v>49971</v>
      </c>
      <c r="I11" s="40" t="n">
        <v>46384</v>
      </c>
      <c r="J11" s="41" t="n">
        <v>45746</v>
      </c>
      <c r="K11" s="42" t="n">
        <v>41882</v>
      </c>
      <c r="L11" s="40" t="n">
        <v>36561</v>
      </c>
      <c r="M11" s="40" t="n">
        <v>34546</v>
      </c>
      <c r="N11" s="41" t="n">
        <v>34119</v>
      </c>
      <c r="O11" s="40" t="n">
        <v>33555</v>
      </c>
      <c r="P11" s="40" t="n">
        <v>30518</v>
      </c>
      <c r="Q11" s="40" t="n">
        <v>30219</v>
      </c>
      <c r="R11" s="40" t="n">
        <v>29201</v>
      </c>
    </row>
    <row r="12" customFormat="false" ht="16.5" hidden="false" customHeight="true" outlineLevel="0" collapsed="false">
      <c r="A12" s="13"/>
      <c r="B12" s="34" t="s">
        <v>20</v>
      </c>
      <c r="C12" s="13" t="n">
        <f aca="false">SUM(C9:C11)</f>
        <v>527665</v>
      </c>
      <c r="D12" s="13" t="n">
        <f aca="false">SUM(D9:D11)</f>
        <v>531852</v>
      </c>
      <c r="E12" s="13" t="n">
        <f aca="false">SUM(E9:E11)</f>
        <v>487924</v>
      </c>
      <c r="F12" s="34" t="n">
        <f aca="false">SUM(F9:F11)</f>
        <v>562969</v>
      </c>
      <c r="G12" s="13" t="n">
        <f aca="false">SUM(G9:G11)</f>
        <v>568356</v>
      </c>
      <c r="H12" s="13" t="n">
        <f aca="false">SUM(H10:H11)</f>
        <v>322548</v>
      </c>
      <c r="I12" s="13" t="n">
        <f aca="false">SUM(I9:I11)</f>
        <v>513440</v>
      </c>
      <c r="J12" s="34" t="n">
        <f aca="false">SUM(J9:J11)</f>
        <v>571819</v>
      </c>
      <c r="K12" s="35" t="n">
        <f aca="false">SUM(K9:K11)</f>
        <v>517359</v>
      </c>
      <c r="L12" s="13" t="n">
        <f aca="false">SUM(L9:L11)</f>
        <v>554324</v>
      </c>
      <c r="M12" s="13" t="n">
        <f aca="false">SUM(M9:M11)</f>
        <v>521083</v>
      </c>
      <c r="N12" s="34" t="n">
        <f aca="false">SUM(N9:N11)</f>
        <v>633429</v>
      </c>
      <c r="O12" s="13" t="n">
        <f aca="false">SUM(O9:O11)</f>
        <v>551475</v>
      </c>
      <c r="P12" s="13" t="n">
        <f aca="false">SUM(P9:P11)</f>
        <v>576483</v>
      </c>
      <c r="Q12" s="13" t="n">
        <f aca="false">SUM(Q9:Q11)</f>
        <v>544050</v>
      </c>
      <c r="R12" s="13" t="n">
        <f aca="false">SUM(R9:R11)</f>
        <v>601896</v>
      </c>
    </row>
    <row r="13" customFormat="false" ht="16.5" hidden="false" customHeight="true" outlineLevel="0" collapsed="false">
      <c r="A13" s="13" t="s">
        <v>21</v>
      </c>
      <c r="B13" s="34"/>
      <c r="C13" s="36" t="n">
        <v>59295</v>
      </c>
      <c r="D13" s="36" t="n">
        <v>83227</v>
      </c>
      <c r="E13" s="36" t="n">
        <v>79691</v>
      </c>
      <c r="F13" s="37" t="n">
        <v>96021</v>
      </c>
      <c r="G13" s="36" t="n">
        <v>71820</v>
      </c>
      <c r="H13" s="36" t="n">
        <v>103143</v>
      </c>
      <c r="I13" s="36" t="n">
        <v>87239</v>
      </c>
      <c r="J13" s="37" t="n">
        <v>119165</v>
      </c>
      <c r="K13" s="38" t="n">
        <v>85711</v>
      </c>
      <c r="L13" s="36" t="n">
        <v>125681</v>
      </c>
      <c r="M13" s="36" t="n">
        <v>115882</v>
      </c>
      <c r="N13" s="37" t="n">
        <v>158504</v>
      </c>
      <c r="O13" s="36" t="n">
        <v>117544</v>
      </c>
      <c r="P13" s="36" t="n">
        <v>166257</v>
      </c>
      <c r="Q13" s="36" t="n">
        <v>155755</v>
      </c>
      <c r="R13" s="36" t="n">
        <v>213984</v>
      </c>
    </row>
    <row r="14" customFormat="false" ht="16.5" hidden="false" customHeight="true" outlineLevel="0" collapsed="false">
      <c r="A14" s="43" t="s">
        <v>22</v>
      </c>
      <c r="B14" s="39"/>
      <c r="C14" s="40" t="n">
        <v>54158</v>
      </c>
      <c r="D14" s="40" t="n">
        <v>66261</v>
      </c>
      <c r="E14" s="40" t="n">
        <v>64687</v>
      </c>
      <c r="F14" s="41" t="n">
        <v>82670</v>
      </c>
      <c r="G14" s="40" t="n">
        <v>74522</v>
      </c>
      <c r="H14" s="40" t="n">
        <v>86260</v>
      </c>
      <c r="I14" s="40" t="n">
        <v>79602</v>
      </c>
      <c r="J14" s="41" t="n">
        <v>62333</v>
      </c>
      <c r="K14" s="42" t="n">
        <v>48021</v>
      </c>
      <c r="L14" s="40" t="n">
        <v>53387</v>
      </c>
      <c r="M14" s="40" t="n">
        <v>57017</v>
      </c>
      <c r="N14" s="41" t="n">
        <v>69730</v>
      </c>
      <c r="O14" s="40" t="n">
        <v>62542</v>
      </c>
      <c r="P14" s="40" t="n">
        <v>61287</v>
      </c>
      <c r="Q14" s="40" t="n">
        <v>67794</v>
      </c>
      <c r="R14" s="40" t="n">
        <v>79005</v>
      </c>
    </row>
    <row r="15" customFormat="false" ht="16.5" hidden="false" customHeight="true" outlineLevel="0" collapsed="false">
      <c r="A15" s="44" t="s">
        <v>23</v>
      </c>
      <c r="B15" s="45"/>
      <c r="C15" s="44" t="n">
        <f aca="false">SUM(C12:C14)</f>
        <v>641118</v>
      </c>
      <c r="D15" s="44" t="n">
        <f aca="false">SUM(D12:D14)</f>
        <v>681340</v>
      </c>
      <c r="E15" s="44" t="n">
        <f aca="false">SUM(E12:E14)</f>
        <v>632302</v>
      </c>
      <c r="F15" s="45" t="n">
        <f aca="false">SUM(F12:F14)</f>
        <v>741660</v>
      </c>
      <c r="G15" s="44" t="n">
        <f aca="false">SUM(G12:G14)</f>
        <v>714698</v>
      </c>
      <c r="H15" s="44" t="n">
        <f aca="false">SUM(H12:H14)</f>
        <v>511951</v>
      </c>
      <c r="I15" s="44" t="n">
        <f aca="false">SUM(I12:I14)</f>
        <v>680281</v>
      </c>
      <c r="J15" s="45" t="n">
        <f aca="false">SUM(J12:J14)</f>
        <v>753317</v>
      </c>
      <c r="K15" s="46" t="n">
        <f aca="false">SUM(K12:K14)</f>
        <v>651091</v>
      </c>
      <c r="L15" s="44" t="n">
        <f aca="false">SUM(L12:L14)</f>
        <v>733392</v>
      </c>
      <c r="M15" s="44" t="n">
        <f aca="false">SUM(M12:M14)</f>
        <v>693982</v>
      </c>
      <c r="N15" s="45" t="n">
        <f aca="false">SUM(N12:N14)</f>
        <v>861663</v>
      </c>
      <c r="O15" s="44" t="n">
        <f aca="false">SUM(O12:O14)</f>
        <v>731561</v>
      </c>
      <c r="P15" s="44" t="n">
        <f aca="false">SUM(P12:P14)</f>
        <v>804027</v>
      </c>
      <c r="Q15" s="44" t="n">
        <f aca="false">SUM(Q12:Q14)</f>
        <v>767599</v>
      </c>
      <c r="R15" s="44" t="n">
        <f aca="false">SUM(R12:R14)</f>
        <v>894885</v>
      </c>
    </row>
    <row r="16" customFormat="false" ht="16.5" hidden="true" customHeight="true" outlineLevel="1" collapsed="false">
      <c r="A16" s="13"/>
      <c r="B16" s="34"/>
      <c r="C16" s="13"/>
      <c r="D16" s="13"/>
      <c r="E16" s="13"/>
      <c r="F16" s="34"/>
      <c r="G16" s="13"/>
      <c r="H16" s="13"/>
      <c r="I16" s="13"/>
      <c r="J16" s="34"/>
      <c r="K16" s="35"/>
      <c r="L16" s="13"/>
      <c r="M16" s="13"/>
      <c r="N16" s="34"/>
      <c r="O16" s="13"/>
      <c r="P16" s="13"/>
      <c r="Q16" s="13"/>
      <c r="R16" s="13"/>
    </row>
    <row r="17" customFormat="false" ht="16.5" hidden="true" customHeight="true" outlineLevel="1" collapsed="false">
      <c r="A17" s="13" t="s">
        <v>24</v>
      </c>
      <c r="B17" s="34"/>
      <c r="C17" s="36" t="n">
        <f aca="false">C15</f>
        <v>641118</v>
      </c>
      <c r="D17" s="36" t="n">
        <f aca="false">D15</f>
        <v>681340</v>
      </c>
      <c r="E17" s="36" t="n">
        <f aca="false">E15</f>
        <v>632302</v>
      </c>
      <c r="F17" s="37" t="n">
        <f aca="false">F15</f>
        <v>741660</v>
      </c>
      <c r="G17" s="36" t="n">
        <f aca="false">G15</f>
        <v>714698</v>
      </c>
      <c r="H17" s="36" t="n">
        <f aca="false">H15</f>
        <v>511951</v>
      </c>
      <c r="I17" s="36" t="n">
        <f aca="false">I15</f>
        <v>680281</v>
      </c>
      <c r="J17" s="37" t="n">
        <f aca="false">J15</f>
        <v>753317</v>
      </c>
      <c r="K17" s="38" t="n">
        <f aca="false">K15</f>
        <v>651091</v>
      </c>
      <c r="L17" s="36" t="n">
        <f aca="false">L15</f>
        <v>733392</v>
      </c>
      <c r="M17" s="36" t="n">
        <f aca="false">M15</f>
        <v>693982</v>
      </c>
      <c r="N17" s="37" t="n">
        <f aca="false">N15</f>
        <v>861663</v>
      </c>
      <c r="O17" s="36" t="n">
        <f aca="false">O15</f>
        <v>731561</v>
      </c>
      <c r="P17" s="36" t="n">
        <f aca="false">P15</f>
        <v>804027</v>
      </c>
      <c r="Q17" s="36" t="n">
        <f aca="false">Q15</f>
        <v>767599</v>
      </c>
      <c r="R17" s="36" t="n">
        <f aca="false">R15</f>
        <v>894885</v>
      </c>
    </row>
    <row r="18" customFormat="false" ht="16.5" hidden="true" customHeight="true" outlineLevel="1" collapsed="false">
      <c r="A18" s="43" t="s">
        <v>25</v>
      </c>
      <c r="B18" s="39"/>
      <c r="C18" s="40" t="n">
        <v>372574</v>
      </c>
      <c r="D18" s="40" t="n">
        <v>400148</v>
      </c>
      <c r="E18" s="40" t="n">
        <v>368160</v>
      </c>
      <c r="F18" s="41" t="n">
        <v>436579</v>
      </c>
      <c r="G18" s="40" t="n">
        <v>416950</v>
      </c>
      <c r="H18" s="40" t="n">
        <v>409858</v>
      </c>
      <c r="I18" s="40" t="n">
        <v>372763</v>
      </c>
      <c r="J18" s="41" t="n">
        <v>427388</v>
      </c>
      <c r="K18" s="42" t="n">
        <v>344504</v>
      </c>
      <c r="L18" s="40" t="n">
        <v>389717</v>
      </c>
      <c r="M18" s="40" t="n">
        <v>361640</v>
      </c>
      <c r="N18" s="41" t="n">
        <v>444236</v>
      </c>
      <c r="O18" s="40" t="n">
        <v>360605</v>
      </c>
      <c r="P18" s="40" t="n">
        <v>399109</v>
      </c>
      <c r="Q18" s="40" t="n">
        <v>378784</v>
      </c>
      <c r="R18" s="40" t="n">
        <v>450674</v>
      </c>
    </row>
    <row r="19" customFormat="false" ht="16.5" hidden="false" customHeight="true" outlineLevel="0" collapsed="false">
      <c r="A19" s="13"/>
      <c r="B19" s="34" t="s">
        <v>26</v>
      </c>
      <c r="C19" s="13" t="n">
        <f aca="false">C17-C18</f>
        <v>268544</v>
      </c>
      <c r="D19" s="13" t="n">
        <f aca="false">D17-D18</f>
        <v>281192</v>
      </c>
      <c r="E19" s="13" t="n">
        <f aca="false">E17-E18</f>
        <v>264142</v>
      </c>
      <c r="F19" s="34" t="n">
        <f aca="false">F17-F18</f>
        <v>305081</v>
      </c>
      <c r="G19" s="13" t="n">
        <f aca="false">G17-G18</f>
        <v>297748</v>
      </c>
      <c r="H19" s="13" t="n">
        <f aca="false">H17-H18</f>
        <v>102093</v>
      </c>
      <c r="I19" s="13" t="n">
        <f aca="false">I17-I18</f>
        <v>307518</v>
      </c>
      <c r="J19" s="34" t="n">
        <f aca="false">J17-J18</f>
        <v>325929</v>
      </c>
      <c r="K19" s="35" t="n">
        <f aca="false">K17-K18</f>
        <v>306587</v>
      </c>
      <c r="L19" s="13" t="n">
        <f aca="false">L17-L18</f>
        <v>343675</v>
      </c>
      <c r="M19" s="13" t="n">
        <f aca="false">M17-M18</f>
        <v>332342</v>
      </c>
      <c r="N19" s="34" t="n">
        <f aca="false">N17-N18</f>
        <v>417427</v>
      </c>
      <c r="O19" s="13" t="n">
        <f aca="false">O17-O18</f>
        <v>370956</v>
      </c>
      <c r="P19" s="13" t="n">
        <f aca="false">P17-P18</f>
        <v>404918</v>
      </c>
      <c r="Q19" s="13" t="n">
        <f aca="false">Q17-Q18</f>
        <v>388815</v>
      </c>
      <c r="R19" s="13" t="n">
        <f aca="false">R17-R18</f>
        <v>444211</v>
      </c>
    </row>
    <row r="20" s="47" customFormat="true" ht="16.5" hidden="false" customHeight="true" outlineLevel="0" collapsed="false">
      <c r="B20" s="48" t="s">
        <v>27</v>
      </c>
      <c r="C20" s="49" t="n">
        <f aca="false">IF(C$17=0,"-  ",C19/C$17)</f>
        <v>0.419</v>
      </c>
      <c r="D20" s="49" t="n">
        <f aca="false">IF(D$17=0,"-  ",D19/D$17)</f>
        <v>0.413</v>
      </c>
      <c r="E20" s="49" t="n">
        <f aca="false">IF(E$17=0,"-  ",E19/E$17)</f>
        <v>0.418</v>
      </c>
      <c r="F20" s="50" t="n">
        <f aca="false">IF(F$17=0,"-  ",F19/F$17)</f>
        <v>0.411</v>
      </c>
      <c r="G20" s="49" t="n">
        <f aca="false">IF(G$17=0,"-  ",G19/G$17)</f>
        <v>0.417</v>
      </c>
      <c r="H20" s="49" t="n">
        <f aca="false">IF(H$17=0,"-  ",H19/H$17)</f>
        <v>0.199</v>
      </c>
      <c r="I20" s="49" t="n">
        <f aca="false">IF(I$17=0,"-  ",I19/I$17)</f>
        <v>0.452</v>
      </c>
      <c r="J20" s="50" t="n">
        <f aca="false">IF(J$17=0,"-  ",J19/J$17)</f>
        <v>0.433</v>
      </c>
      <c r="K20" s="51" t="n">
        <f aca="false">IF(K$17=0,"-  ",K19/K$17)</f>
        <v>0.471</v>
      </c>
      <c r="L20" s="49" t="n">
        <f aca="false">IF(L$17=0,"-  ",L19/L$17)</f>
        <v>0.469</v>
      </c>
      <c r="M20" s="49" t="n">
        <f aca="false">IF(M$17=0,"-  ",M19/M$17)</f>
        <v>0.479</v>
      </c>
      <c r="N20" s="50" t="n">
        <f aca="false">IF(N$17=0,"-  ",N19/N$17)</f>
        <v>0.484</v>
      </c>
      <c r="O20" s="49" t="n">
        <f aca="false">IF(O$17=0,"-  ",O19/O$17)</f>
        <v>0.507</v>
      </c>
      <c r="P20" s="49" t="n">
        <f aca="false">IF(P$17=0,"-  ",P19/P$17)</f>
        <v>0.504</v>
      </c>
      <c r="Q20" s="49" t="n">
        <f aca="false">IF(Q$17=0,"-  ",Q19/Q$17)</f>
        <v>0.507</v>
      </c>
      <c r="R20" s="49" t="n">
        <f aca="false">IF(R$17=0,"-  ",R19/R$17)</f>
        <v>0.496</v>
      </c>
    </row>
    <row r="21" customFormat="false" ht="16.5" hidden="true" customHeight="true" outlineLevel="1" collapsed="false">
      <c r="A21" s="43" t="s">
        <v>28</v>
      </c>
      <c r="B21" s="39"/>
      <c r="C21" s="40" t="n">
        <v>197959</v>
      </c>
      <c r="D21" s="40" t="n">
        <v>232548</v>
      </c>
      <c r="E21" s="40" t="n">
        <v>204989</v>
      </c>
      <c r="F21" s="41" t="n">
        <v>249332</v>
      </c>
      <c r="G21" s="40" t="n">
        <v>220748</v>
      </c>
      <c r="H21" s="40" t="n">
        <v>262779</v>
      </c>
      <c r="I21" s="40" t="n">
        <v>231192</v>
      </c>
      <c r="J21" s="41" t="n">
        <v>284056</v>
      </c>
      <c r="K21" s="42" t="n">
        <v>242036</v>
      </c>
      <c r="L21" s="40" t="n">
        <v>268198</v>
      </c>
      <c r="M21" s="40" t="n">
        <v>239612</v>
      </c>
      <c r="N21" s="41" t="n">
        <v>303826</v>
      </c>
      <c r="O21" s="40" t="n">
        <v>253549</v>
      </c>
      <c r="P21" s="40" t="n">
        <v>306351</v>
      </c>
      <c r="Q21" s="40" t="n">
        <v>263253</v>
      </c>
      <c r="R21" s="40" t="n">
        <v>331323</v>
      </c>
    </row>
    <row r="22" customFormat="false" ht="16.5" hidden="false" customHeight="true" outlineLevel="0" collapsed="false">
      <c r="A22" s="13"/>
      <c r="B22" s="34" t="s">
        <v>29</v>
      </c>
      <c r="C22" s="13" t="n">
        <f aca="false">C19-C21</f>
        <v>70585</v>
      </c>
      <c r="D22" s="13" t="n">
        <f aca="false">D19-D21</f>
        <v>48644</v>
      </c>
      <c r="E22" s="13" t="n">
        <f aca="false">E19-E21</f>
        <v>59153</v>
      </c>
      <c r="F22" s="34" t="n">
        <f aca="false">F19-F21</f>
        <v>55749</v>
      </c>
      <c r="G22" s="13" t="n">
        <f aca="false">G19-G21</f>
        <v>77000</v>
      </c>
      <c r="H22" s="13" t="n">
        <f aca="false">H19-H21</f>
        <v>-160686</v>
      </c>
      <c r="I22" s="13" t="n">
        <f aca="false">I19-I21</f>
        <v>76326</v>
      </c>
      <c r="J22" s="34" t="n">
        <f aca="false">J19-J21</f>
        <v>41873</v>
      </c>
      <c r="K22" s="35" t="n">
        <f aca="false">K19-K21</f>
        <v>64551</v>
      </c>
      <c r="L22" s="13" t="n">
        <f aca="false">L19-L21</f>
        <v>75477</v>
      </c>
      <c r="M22" s="13" t="n">
        <f aca="false">M19-M21</f>
        <v>92730</v>
      </c>
      <c r="N22" s="34" t="n">
        <f aca="false">N19-N21</f>
        <v>113601</v>
      </c>
      <c r="O22" s="13" t="n">
        <f aca="false">O19-O21</f>
        <v>117407</v>
      </c>
      <c r="P22" s="13" t="n">
        <f aca="false">P19-P21</f>
        <v>98567</v>
      </c>
      <c r="Q22" s="13" t="n">
        <f aca="false">Q19-Q21</f>
        <v>125562</v>
      </c>
      <c r="R22" s="13" t="n">
        <f aca="false">R19-R21</f>
        <v>112888</v>
      </c>
    </row>
    <row r="23" s="47" customFormat="true" ht="16.5" hidden="false" customHeight="true" outlineLevel="0" collapsed="false">
      <c r="B23" s="48" t="s">
        <v>30</v>
      </c>
      <c r="C23" s="49" t="n">
        <f aca="false">IF(C$17=0,"-  ",C22/C$17)</f>
        <v>0.11</v>
      </c>
      <c r="D23" s="49" t="n">
        <f aca="false">IF(D$17=0,"-  ",D22/D$17)</f>
        <v>0.071</v>
      </c>
      <c r="E23" s="49" t="n">
        <f aca="false">IF(E$17=0,"-  ",E22/E$17)</f>
        <v>0.094</v>
      </c>
      <c r="F23" s="50" t="n">
        <f aca="false">IF(F$17=0,"-  ",F22/F$17)</f>
        <v>0.075</v>
      </c>
      <c r="G23" s="49" t="n">
        <f aca="false">IF(G$17=0,"-  ",G22/G$17)</f>
        <v>0.108</v>
      </c>
      <c r="H23" s="49" t="n">
        <f aca="false">IF(H$17=0,"-  ",H22/H$17)</f>
        <v>-0.314</v>
      </c>
      <c r="I23" s="49" t="n">
        <f aca="false">IF(I$17=0,"-  ",I22/I$17)</f>
        <v>0.112</v>
      </c>
      <c r="J23" s="50" t="n">
        <f aca="false">IF(J$17=0,"-  ",J22/J$17)</f>
        <v>0.056</v>
      </c>
      <c r="K23" s="51" t="n">
        <f aca="false">IF(K$17=0,"-  ",K22/K$17)</f>
        <v>0.099</v>
      </c>
      <c r="L23" s="49" t="n">
        <f aca="false">IF(L$17=0,"-  ",L22/L$17)</f>
        <v>0.103</v>
      </c>
      <c r="M23" s="49" t="n">
        <f aca="false">IF(M$17=0,"-  ",M22/M$17)</f>
        <v>0.134</v>
      </c>
      <c r="N23" s="50" t="n">
        <f aca="false">IF(N$17=0,"-  ",N22/N$17)</f>
        <v>0.132</v>
      </c>
      <c r="O23" s="49" t="n">
        <f aca="false">IF(O$17=0,"-  ",O22/O$17)</f>
        <v>0.16</v>
      </c>
      <c r="P23" s="49" t="n">
        <f aca="false">IF(P$17=0,"-  ",P22/P$17)</f>
        <v>0.123</v>
      </c>
      <c r="Q23" s="49" t="n">
        <f aca="false">IF(Q$17=0,"-  ",Q22/Q$17)</f>
        <v>0.164</v>
      </c>
      <c r="R23" s="49" t="n">
        <f aca="false">IF(R$17=0,"-  ",R22/R$17)</f>
        <v>0.126</v>
      </c>
    </row>
    <row r="24" customFormat="false" ht="16.5" hidden="true" customHeight="true" outlineLevel="1" collapsed="false">
      <c r="A24" s="13" t="s">
        <v>31</v>
      </c>
      <c r="B24" s="34"/>
      <c r="C24" s="13"/>
      <c r="D24" s="13"/>
      <c r="E24" s="13"/>
      <c r="F24" s="34"/>
      <c r="G24" s="13"/>
      <c r="H24" s="13"/>
      <c r="I24" s="13"/>
      <c r="J24" s="34"/>
      <c r="K24" s="35"/>
      <c r="L24" s="13"/>
      <c r="M24" s="13"/>
      <c r="N24" s="34"/>
      <c r="O24" s="13"/>
      <c r="P24" s="13"/>
      <c r="Q24" s="13"/>
      <c r="R24" s="13"/>
    </row>
    <row r="25" customFormat="false" ht="16.5" hidden="true" customHeight="true" outlineLevel="1" collapsed="false">
      <c r="A25" s="13"/>
      <c r="B25" s="34" t="s">
        <v>32</v>
      </c>
      <c r="C25" s="36" t="n">
        <v>2581</v>
      </c>
      <c r="D25" s="36" t="n">
        <v>2761</v>
      </c>
      <c r="E25" s="36" t="n">
        <v>2542</v>
      </c>
      <c r="F25" s="37" t="n">
        <v>3544</v>
      </c>
      <c r="G25" s="36" t="n">
        <v>2997</v>
      </c>
      <c r="H25" s="36" t="n">
        <v>2642</v>
      </c>
      <c r="I25" s="36" t="n">
        <v>1984</v>
      </c>
      <c r="J25" s="37" t="n">
        <v>1948</v>
      </c>
      <c r="K25" s="38" t="n">
        <v>2486</v>
      </c>
      <c r="L25" s="36" t="n">
        <v>2248</v>
      </c>
      <c r="M25" s="36" t="n">
        <v>2321</v>
      </c>
      <c r="N25" s="37" t="n">
        <v>2143</v>
      </c>
      <c r="O25" s="36" t="n">
        <v>2196</v>
      </c>
      <c r="P25" s="36" t="n">
        <v>2434</v>
      </c>
      <c r="Q25" s="36" t="n">
        <v>2077</v>
      </c>
      <c r="R25" s="36" t="n">
        <v>2577</v>
      </c>
    </row>
    <row r="26" customFormat="false" ht="16.5" hidden="true" customHeight="true" outlineLevel="1" collapsed="false">
      <c r="A26" s="13"/>
      <c r="B26" s="34" t="s">
        <v>33</v>
      </c>
      <c r="C26" s="36" t="n">
        <v>-3744</v>
      </c>
      <c r="D26" s="36" t="n">
        <v>-3660</v>
      </c>
      <c r="E26" s="36" t="n">
        <v>-3555</v>
      </c>
      <c r="F26" s="37" t="n">
        <v>-4059</v>
      </c>
      <c r="G26" s="36" t="n">
        <v>-2859</v>
      </c>
      <c r="H26" s="36" t="n">
        <v>-2868</v>
      </c>
      <c r="I26" s="36" t="n">
        <v>-2522</v>
      </c>
      <c r="J26" s="37" t="n">
        <v>-2463</v>
      </c>
      <c r="K26" s="38" t="n">
        <v>-1784</v>
      </c>
      <c r="L26" s="36" t="n">
        <v>-1698</v>
      </c>
      <c r="M26" s="36" t="n">
        <v>-1532</v>
      </c>
      <c r="N26" s="37" t="n">
        <v>-1774</v>
      </c>
      <c r="O26" s="36" t="n">
        <v>-1246</v>
      </c>
      <c r="P26" s="36" t="n">
        <v>-1404</v>
      </c>
      <c r="Q26" s="36" t="n">
        <v>-1005</v>
      </c>
      <c r="R26" s="36" t="n">
        <v>-972</v>
      </c>
    </row>
    <row r="27" customFormat="false" ht="16.5" hidden="true" customHeight="true" outlineLevel="1" collapsed="false">
      <c r="A27" s="13"/>
      <c r="B27" s="39" t="s">
        <v>34</v>
      </c>
      <c r="C27" s="40" t="n">
        <v>-1692</v>
      </c>
      <c r="D27" s="40" t="n">
        <v>2302</v>
      </c>
      <c r="E27" s="40" t="n">
        <v>3994</v>
      </c>
      <c r="F27" s="41" t="n">
        <v>-7949</v>
      </c>
      <c r="G27" s="40" t="n">
        <v>-3427</v>
      </c>
      <c r="H27" s="40" t="n">
        <v>8497</v>
      </c>
      <c r="I27" s="40" t="n">
        <v>-5697</v>
      </c>
      <c r="J27" s="41" t="n">
        <v>1495</v>
      </c>
      <c r="K27" s="42" t="n">
        <v>-3236</v>
      </c>
      <c r="L27" s="40" t="n">
        <v>-10849</v>
      </c>
      <c r="M27" s="40" t="n">
        <v>4857</v>
      </c>
      <c r="N27" s="41" t="n">
        <v>-9524</v>
      </c>
      <c r="O27" s="40" t="n">
        <v>-1158</v>
      </c>
      <c r="P27" s="40" t="n">
        <v>-1290</v>
      </c>
      <c r="Q27" s="40" t="n">
        <v>-9298</v>
      </c>
      <c r="R27" s="40" t="n">
        <v>835</v>
      </c>
    </row>
    <row r="28" customFormat="false" ht="16.5" hidden="true" customHeight="true" outlineLevel="1" collapsed="false">
      <c r="A28" s="43"/>
      <c r="B28" s="39" t="s">
        <v>35</v>
      </c>
      <c r="C28" s="43" t="n">
        <f aca="false">SUM(C25:C27)</f>
        <v>-2855</v>
      </c>
      <c r="D28" s="43" t="n">
        <f aca="false">SUM(D25:D27)</f>
        <v>1403</v>
      </c>
      <c r="E28" s="43" t="n">
        <f aca="false">SUM(E25:E27)</f>
        <v>2981</v>
      </c>
      <c r="F28" s="39" t="n">
        <f aca="false">SUM(F25:F27)</f>
        <v>-8464</v>
      </c>
      <c r="G28" s="43" t="n">
        <f aca="false">SUM(G25:G27)</f>
        <v>-3289</v>
      </c>
      <c r="H28" s="43" t="n">
        <f aca="false">SUM(H25:H27)</f>
        <v>8271</v>
      </c>
      <c r="I28" s="43" t="n">
        <f aca="false">SUM(I25:I27)</f>
        <v>-6235</v>
      </c>
      <c r="J28" s="39" t="n">
        <f aca="false">SUM(J25:J27)</f>
        <v>980</v>
      </c>
      <c r="K28" s="52" t="n">
        <f aca="false">SUM(K25:K27)</f>
        <v>-2534</v>
      </c>
      <c r="L28" s="43" t="n">
        <f aca="false">SUM(L25:L27)</f>
        <v>-10299</v>
      </c>
      <c r="M28" s="43" t="n">
        <f aca="false">SUM(M25:M27)</f>
        <v>5646</v>
      </c>
      <c r="N28" s="39" t="n">
        <f aca="false">SUM(N25:N27)</f>
        <v>-9155</v>
      </c>
      <c r="O28" s="43" t="n">
        <f aca="false">SUM(O25:O27)</f>
        <v>-208</v>
      </c>
      <c r="P28" s="43" t="n">
        <f aca="false">SUM(P25:P27)</f>
        <v>-260</v>
      </c>
      <c r="Q28" s="43" t="n">
        <f aca="false">SUM(Q25:Q27)</f>
        <v>-8226</v>
      </c>
      <c r="R28" s="43" t="n">
        <f aca="false">SUM(R25:R27)</f>
        <v>2440</v>
      </c>
    </row>
    <row r="29" customFormat="false" ht="16.5" hidden="false" customHeight="true" outlineLevel="0" collapsed="false">
      <c r="A29" s="13"/>
      <c r="B29" s="34" t="s">
        <v>36</v>
      </c>
      <c r="C29" s="13" t="n">
        <f aca="false">C22+C28</f>
        <v>67730</v>
      </c>
      <c r="D29" s="13" t="n">
        <f aca="false">D22+D28</f>
        <v>50047</v>
      </c>
      <c r="E29" s="13" t="n">
        <f aca="false">E22+E28</f>
        <v>62134</v>
      </c>
      <c r="F29" s="34" t="n">
        <f aca="false">F22+F28</f>
        <v>47285</v>
      </c>
      <c r="G29" s="13" t="n">
        <f aca="false">G22+G28</f>
        <v>73711</v>
      </c>
      <c r="H29" s="13" t="n">
        <f aca="false">H22+H28</f>
        <v>-152415</v>
      </c>
      <c r="I29" s="13" t="n">
        <f aca="false">I22+I28</f>
        <v>70091</v>
      </c>
      <c r="J29" s="34" t="n">
        <f aca="false">J22+J28</f>
        <v>42853</v>
      </c>
      <c r="K29" s="35" t="n">
        <f aca="false">K22+K28</f>
        <v>62017</v>
      </c>
      <c r="L29" s="13" t="n">
        <f aca="false">L22+L28</f>
        <v>65178</v>
      </c>
      <c r="M29" s="13" t="n">
        <f aca="false">M22+M28</f>
        <v>98376</v>
      </c>
      <c r="N29" s="34" t="n">
        <f aca="false">N22+N28</f>
        <v>104446</v>
      </c>
      <c r="O29" s="13" t="n">
        <f aca="false">O22+O28</f>
        <v>117199</v>
      </c>
      <c r="P29" s="13" t="n">
        <f aca="false">P22+P28</f>
        <v>98307</v>
      </c>
      <c r="Q29" s="13" t="n">
        <f aca="false">Q22+Q28</f>
        <v>117336</v>
      </c>
      <c r="R29" s="13" t="n">
        <f aca="false">R22+R28</f>
        <v>115328</v>
      </c>
    </row>
    <row r="30" s="47" customFormat="true" ht="16.5" hidden="false" customHeight="true" outlineLevel="0" collapsed="false">
      <c r="B30" s="48" t="s">
        <v>37</v>
      </c>
      <c r="C30" s="49" t="n">
        <f aca="false">IF(C$17=0,"-  ",C29/C$17)</f>
        <v>0.106</v>
      </c>
      <c r="D30" s="49" t="n">
        <f aca="false">IF(D$17=0,"-  ",D29/D$17)</f>
        <v>0.073</v>
      </c>
      <c r="E30" s="49" t="n">
        <f aca="false">IF(E$17=0,"-  ",E29/E$17)</f>
        <v>0.098</v>
      </c>
      <c r="F30" s="50" t="n">
        <f aca="false">IF(F$17=0,"-  ",F29/F$17)</f>
        <v>0.064</v>
      </c>
      <c r="G30" s="49" t="n">
        <f aca="false">IF(G$17=0,"-  ",G29/G$17)</f>
        <v>0.103</v>
      </c>
      <c r="H30" s="49" t="n">
        <f aca="false">IF(H$17=0,"-  ",H29/H$17)</f>
        <v>-0.298</v>
      </c>
      <c r="I30" s="49" t="n">
        <f aca="false">IF(I$17=0,"-  ",I29/I$17)</f>
        <v>0.103</v>
      </c>
      <c r="J30" s="50" t="n">
        <f aca="false">IF(J$17=0,"-  ",J29/J$17)</f>
        <v>0.057</v>
      </c>
      <c r="K30" s="51" t="n">
        <f aca="false">IF(K$17=0,"-  ",K29/K$17)</f>
        <v>0.095</v>
      </c>
      <c r="L30" s="49" t="n">
        <f aca="false">IF(L$17=0,"-  ",L29/L$17)</f>
        <v>0.089</v>
      </c>
      <c r="M30" s="49" t="n">
        <f aca="false">IF(M$17=0,"-  ",M29/M$17)</f>
        <v>0.142</v>
      </c>
      <c r="N30" s="50" t="n">
        <f aca="false">IF(N$17=0,"-  ",N29/N$17)</f>
        <v>0.121</v>
      </c>
      <c r="O30" s="49" t="n">
        <f aca="false">IF(O$17=0,"-  ",O29/O$17)</f>
        <v>0.16</v>
      </c>
      <c r="P30" s="49" t="n">
        <f aca="false">IF(P$17=0,"-  ",P29/P$17)</f>
        <v>0.122</v>
      </c>
      <c r="Q30" s="49" t="n">
        <f aca="false">IF(Q$17=0,"-  ",Q29/Q$17)</f>
        <v>0.153</v>
      </c>
      <c r="R30" s="49" t="n">
        <f aca="false">IF(R$17=0,"-  ",R29/R$17)</f>
        <v>0.129</v>
      </c>
    </row>
    <row r="31" customFormat="false" ht="16.5" hidden="true" customHeight="true" outlineLevel="1" collapsed="false">
      <c r="A31" s="13" t="s">
        <v>38</v>
      </c>
      <c r="B31" s="34"/>
      <c r="C31" s="36" t="n">
        <v>27950</v>
      </c>
      <c r="D31" s="36" t="n">
        <v>18350</v>
      </c>
      <c r="E31" s="36" t="n">
        <v>23908</v>
      </c>
      <c r="F31" s="37" t="n">
        <v>16989</v>
      </c>
      <c r="G31" s="36" t="n">
        <v>32075</v>
      </c>
      <c r="H31" s="36" t="n">
        <v>38890</v>
      </c>
      <c r="I31" s="36" t="n">
        <v>30885</v>
      </c>
      <c r="J31" s="37" t="n">
        <v>13304</v>
      </c>
      <c r="K31" s="38" t="n">
        <v>29219</v>
      </c>
      <c r="L31" s="36" t="n">
        <v>22320</v>
      </c>
      <c r="M31" s="36" t="n">
        <v>39388</v>
      </c>
      <c r="N31" s="37" t="n">
        <v>43776</v>
      </c>
      <c r="O31" s="36" t="n">
        <v>45216</v>
      </c>
      <c r="P31" s="36" t="n">
        <v>37585</v>
      </c>
      <c r="Q31" s="36" t="n">
        <v>41980</v>
      </c>
      <c r="R31" s="36" t="n">
        <v>37872</v>
      </c>
    </row>
    <row r="32" customFormat="false" ht="16.5" hidden="true" customHeight="true" outlineLevel="1" collapsed="false">
      <c r="A32" s="43" t="s">
        <v>39</v>
      </c>
      <c r="B32" s="39"/>
      <c r="C32" s="40" t="n">
        <v>3706</v>
      </c>
      <c r="D32" s="40" t="n">
        <v>-711</v>
      </c>
      <c r="E32" s="40" t="n">
        <v>2388</v>
      </c>
      <c r="F32" s="41" t="n">
        <v>528</v>
      </c>
      <c r="G32" s="40" t="n">
        <v>2001</v>
      </c>
      <c r="H32" s="40" t="n">
        <v>-715</v>
      </c>
      <c r="I32" s="40" t="n">
        <v>1736</v>
      </c>
      <c r="J32" s="41" t="n">
        <v>-479</v>
      </c>
      <c r="K32" s="42" t="n">
        <v>1144</v>
      </c>
      <c r="L32" s="40" t="n">
        <v>1307</v>
      </c>
      <c r="M32" s="40" t="n">
        <v>1524</v>
      </c>
      <c r="N32" s="41" t="n">
        <v>602</v>
      </c>
      <c r="O32" s="40" t="n">
        <v>382</v>
      </c>
      <c r="P32" s="40" t="n">
        <v>4556</v>
      </c>
      <c r="Q32" s="40" t="n">
        <v>2351</v>
      </c>
      <c r="R32" s="40" t="n">
        <v>2498</v>
      </c>
    </row>
    <row r="33" customFormat="false" ht="24" hidden="true" customHeight="true" outlineLevel="1" collapsed="false">
      <c r="A33" s="13"/>
      <c r="B33" s="53" t="s">
        <v>40</v>
      </c>
      <c r="C33" s="13" t="n">
        <f aca="false">C29-SUM(C31:C32)</f>
        <v>36074</v>
      </c>
      <c r="D33" s="13" t="n">
        <f aca="false">D29-SUM(D31:D32)</f>
        <v>32408</v>
      </c>
      <c r="E33" s="13" t="n">
        <f aca="false">E29-SUM(E31:E32)</f>
        <v>35838</v>
      </c>
      <c r="F33" s="34" t="n">
        <f aca="false">F29-SUM(F31:F32)</f>
        <v>29768</v>
      </c>
      <c r="G33" s="13" t="n">
        <f aca="false">G29-SUM(G31:G32)</f>
        <v>39635</v>
      </c>
      <c r="H33" s="13" t="n">
        <f aca="false">H29-SUM(H31:H32)</f>
        <v>-190590</v>
      </c>
      <c r="I33" s="13" t="n">
        <f aca="false">I29-SUM(I31:I32)</f>
        <v>37470</v>
      </c>
      <c r="J33" s="34" t="n">
        <f aca="false">J29-SUM(J31:J32)</f>
        <v>30028</v>
      </c>
      <c r="K33" s="35" t="n">
        <f aca="false">K29-SUM(K31:K32)</f>
        <v>31654</v>
      </c>
      <c r="L33" s="13" t="n">
        <f aca="false">L29-SUM(L31:L32)</f>
        <v>41551</v>
      </c>
      <c r="M33" s="13" t="n">
        <f aca="false">M29-SUM(M31:M32)</f>
        <v>57464</v>
      </c>
      <c r="N33" s="34" t="n">
        <f aca="false">N29-SUM(N31:N32)</f>
        <v>60068</v>
      </c>
      <c r="O33" s="13" t="n">
        <f aca="false">O29-SUM(O31:O32)</f>
        <v>71601</v>
      </c>
      <c r="P33" s="13" t="n">
        <f aca="false">P29-SUM(P31:P32)</f>
        <v>56166</v>
      </c>
      <c r="Q33" s="13" t="n">
        <f aca="false">Q29-SUM(Q31:Q32)</f>
        <v>73005</v>
      </c>
      <c r="R33" s="13" t="n">
        <f aca="false">R29-SUM(R31:R32)</f>
        <v>74958</v>
      </c>
    </row>
    <row r="34" customFormat="false" ht="24" hidden="true" customHeight="true" outlineLevel="1" collapsed="false">
      <c r="A34" s="43"/>
      <c r="B34" s="54" t="s">
        <v>41</v>
      </c>
      <c r="C34" s="43"/>
      <c r="D34" s="43"/>
      <c r="E34" s="43"/>
      <c r="F34" s="39"/>
      <c r="G34" s="43" t="n">
        <v>3692</v>
      </c>
      <c r="H34" s="43"/>
      <c r="I34" s="43"/>
      <c r="J34" s="39"/>
      <c r="K34" s="52"/>
      <c r="L34" s="43"/>
      <c r="M34" s="43"/>
      <c r="N34" s="39"/>
      <c r="O34" s="43"/>
      <c r="P34" s="43"/>
      <c r="Q34" s="43"/>
      <c r="R34" s="43"/>
    </row>
    <row r="35" customFormat="false" ht="16.5" hidden="false" customHeight="true" outlineLevel="0" collapsed="false">
      <c r="A35" s="13"/>
      <c r="B35" s="34" t="s">
        <v>42</v>
      </c>
      <c r="C35" s="13" t="n">
        <f aca="false">SUM(C33:C34)</f>
        <v>36074</v>
      </c>
      <c r="D35" s="13" t="n">
        <f aca="false">SUM(D33:D34)</f>
        <v>32408</v>
      </c>
      <c r="E35" s="13" t="n">
        <f aca="false">SUM(E33:E34)</f>
        <v>35838</v>
      </c>
      <c r="F35" s="34" t="n">
        <f aca="false">SUM(F33:F34)</f>
        <v>29768</v>
      </c>
      <c r="G35" s="13" t="n">
        <f aca="false">SUM(G33:G34)</f>
        <v>43327</v>
      </c>
      <c r="H35" s="13" t="n">
        <f aca="false">SUM(H33:H34)</f>
        <v>-190590</v>
      </c>
      <c r="I35" s="13" t="n">
        <f aca="false">SUM(I33:I34)</f>
        <v>37470</v>
      </c>
      <c r="J35" s="34" t="n">
        <f aca="false">SUM(J33:J34)</f>
        <v>30028</v>
      </c>
      <c r="K35" s="35" t="n">
        <f aca="false">SUM(K33:K34)</f>
        <v>31654</v>
      </c>
      <c r="L35" s="13" t="n">
        <f aca="false">SUM(L33:L34)</f>
        <v>41551</v>
      </c>
      <c r="M35" s="13" t="n">
        <f aca="false">SUM(M33:M34)</f>
        <v>57464</v>
      </c>
      <c r="N35" s="34" t="n">
        <f aca="false">SUM(N33:N34)</f>
        <v>60068</v>
      </c>
      <c r="O35" s="13" t="n">
        <f aca="false">SUM(O33:O34)</f>
        <v>71601</v>
      </c>
      <c r="P35" s="13" t="n">
        <f aca="false">SUM(P33:P34)</f>
        <v>56166</v>
      </c>
      <c r="Q35" s="13" t="n">
        <f aca="false">SUM(Q33:Q34)</f>
        <v>73005</v>
      </c>
      <c r="R35" s="13" t="n">
        <f aca="false">SUM(R33:R34)</f>
        <v>74958</v>
      </c>
    </row>
    <row r="36" s="47" customFormat="true" ht="16.5" hidden="false" customHeight="true" outlineLevel="0" collapsed="false">
      <c r="A36" s="55"/>
      <c r="B36" s="56" t="s">
        <v>43</v>
      </c>
      <c r="C36" s="57" t="n">
        <f aca="false">IF(C$17=0,"-  ",C35/C$17)</f>
        <v>0.056</v>
      </c>
      <c r="D36" s="57" t="n">
        <f aca="false">IF(D$17=0,"-  ",D35/D$17)</f>
        <v>0.048</v>
      </c>
      <c r="E36" s="57" t="n">
        <f aca="false">IF(E$17=0,"-  ",E35/E$17)</f>
        <v>0.057</v>
      </c>
      <c r="F36" s="58" t="n">
        <f aca="false">IF(F$17=0,"-  ",F35/F$17)</f>
        <v>0.04</v>
      </c>
      <c r="G36" s="57" t="n">
        <f aca="false">IF(G$17=0,"-  ",G35/G$17)</f>
        <v>0.061</v>
      </c>
      <c r="H36" s="57" t="n">
        <f aca="false">IF(H$17=0,"-  ",H35/H$17)</f>
        <v>-0.372</v>
      </c>
      <c r="I36" s="57" t="n">
        <f aca="false">IF(I$17=0,"-  ",I35/I$17)</f>
        <v>0.055</v>
      </c>
      <c r="J36" s="58" t="n">
        <f aca="false">IF(J$17=0,"-  ",J35/J$17)</f>
        <v>0.04</v>
      </c>
      <c r="K36" s="59" t="n">
        <f aca="false">IF(K$17=0,"-  ",K35/K$17)</f>
        <v>0.049</v>
      </c>
      <c r="L36" s="57" t="n">
        <f aca="false">IF(L$17=0,"-  ",L35/L$17)</f>
        <v>0.057</v>
      </c>
      <c r="M36" s="57" t="n">
        <f aca="false">IF(M$17=0,"-  ",M35/M$17)</f>
        <v>0.083</v>
      </c>
      <c r="N36" s="58" t="n">
        <f aca="false">IF(N$17=0,"-  ",N35/N$17)</f>
        <v>0.07</v>
      </c>
      <c r="O36" s="57" t="n">
        <f aca="false">IF(O$17=0,"-  ",O35/O$17)</f>
        <v>0.098</v>
      </c>
      <c r="P36" s="57" t="n">
        <f aca="false">IF(P$17=0,"-  ",P35/P$17)</f>
        <v>0.07</v>
      </c>
      <c r="Q36" s="57" t="n">
        <f aca="false">IF(Q$17=0,"-  ",Q35/Q$17)</f>
        <v>0.095</v>
      </c>
      <c r="R36" s="57" t="n">
        <f aca="false">IF(R$17=0,"-  ",R35/R$17)</f>
        <v>0.084</v>
      </c>
    </row>
    <row r="37" s="47" customFormat="true" ht="21" hidden="false" customHeight="true" outlineLevel="0" collapsed="false">
      <c r="B37" s="48"/>
      <c r="C37" s="49"/>
      <c r="D37" s="49"/>
      <c r="E37" s="49"/>
      <c r="F37" s="60"/>
      <c r="G37" s="49"/>
      <c r="H37" s="49"/>
      <c r="I37" s="49"/>
      <c r="J37" s="50"/>
      <c r="K37" s="51"/>
      <c r="L37" s="49"/>
      <c r="M37" s="49"/>
      <c r="N37" s="50"/>
      <c r="O37" s="49"/>
      <c r="P37" s="49"/>
      <c r="Q37" s="49"/>
      <c r="R37" s="49"/>
    </row>
    <row r="38" s="47" customFormat="true" ht="18" hidden="false" customHeight="true" outlineLevel="0" collapsed="false">
      <c r="A38" s="61" t="s">
        <v>5</v>
      </c>
      <c r="B38" s="48"/>
      <c r="C38" s="49"/>
      <c r="D38" s="49"/>
      <c r="E38" s="49"/>
      <c r="F38" s="50"/>
      <c r="G38" s="49"/>
      <c r="H38" s="49"/>
      <c r="I38" s="49"/>
      <c r="J38" s="50"/>
      <c r="K38" s="51"/>
      <c r="L38" s="49"/>
      <c r="M38" s="49"/>
      <c r="N38" s="50"/>
      <c r="O38" s="49"/>
      <c r="P38" s="49"/>
      <c r="Q38" s="49"/>
      <c r="R38" s="49"/>
    </row>
    <row r="39" s="28" customFormat="true" ht="4.5" hidden="false" customHeight="true" outlineLevel="0" collapsed="false">
      <c r="A39" s="33"/>
      <c r="B39" s="29"/>
      <c r="F39" s="29"/>
      <c r="J39" s="29"/>
      <c r="K39" s="30"/>
      <c r="N39" s="29"/>
    </row>
    <row r="40" customFormat="false" ht="16.5" hidden="false" customHeight="true" outlineLevel="0" collapsed="false">
      <c r="A40" s="13" t="s">
        <v>44</v>
      </c>
      <c r="B40" s="34"/>
      <c r="C40" s="36" t="n">
        <v>188616</v>
      </c>
      <c r="D40" s="36" t="n">
        <v>196610</v>
      </c>
      <c r="E40" s="36" t="n">
        <v>181483</v>
      </c>
      <c r="F40" s="37" t="n">
        <v>212657</v>
      </c>
      <c r="G40" s="36" t="n">
        <v>205311</v>
      </c>
      <c r="H40" s="36" t="n">
        <v>214576</v>
      </c>
      <c r="I40" s="36" t="n">
        <v>200757</v>
      </c>
      <c r="J40" s="37" t="n">
        <v>206644</v>
      </c>
      <c r="K40" s="38" t="n">
        <v>178388</v>
      </c>
      <c r="L40" s="36" t="n">
        <v>182750</v>
      </c>
      <c r="M40" s="36" t="n">
        <v>169171</v>
      </c>
      <c r="N40" s="37" t="n">
        <v>202242</v>
      </c>
      <c r="O40" s="36" t="n">
        <v>185978</v>
      </c>
      <c r="P40" s="36" t="n">
        <v>197941</v>
      </c>
      <c r="Q40" s="36" t="n">
        <v>189528</v>
      </c>
      <c r="R40" s="36" t="n">
        <v>227953</v>
      </c>
    </row>
    <row r="41" customFormat="false" ht="16.5" hidden="false" customHeight="true" outlineLevel="0" collapsed="false">
      <c r="A41" s="13" t="s">
        <v>45</v>
      </c>
      <c r="B41" s="34"/>
      <c r="C41" s="13"/>
      <c r="D41" s="13"/>
      <c r="E41" s="13"/>
      <c r="F41" s="34"/>
      <c r="G41" s="13"/>
      <c r="H41" s="13"/>
      <c r="I41" s="13"/>
      <c r="J41" s="34"/>
      <c r="K41" s="35"/>
      <c r="L41" s="13"/>
      <c r="M41" s="13"/>
      <c r="N41" s="34"/>
      <c r="O41" s="13"/>
      <c r="P41" s="13"/>
      <c r="Q41" s="13"/>
      <c r="R41" s="13"/>
    </row>
    <row r="42" customFormat="false" ht="16.5" hidden="false" customHeight="true" outlineLevel="0" collapsed="false">
      <c r="A42" s="13"/>
      <c r="B42" s="34" t="s">
        <v>46</v>
      </c>
      <c r="C42" s="36" t="n">
        <v>208350</v>
      </c>
      <c r="D42" s="36" t="n">
        <v>223624</v>
      </c>
      <c r="E42" s="36" t="n">
        <v>212640</v>
      </c>
      <c r="F42" s="37" t="n">
        <v>245150</v>
      </c>
      <c r="G42" s="36" t="n">
        <v>233744</v>
      </c>
      <c r="H42" s="36" t="n">
        <v>256980</v>
      </c>
      <c r="I42" s="36" t="n">
        <v>233550</v>
      </c>
      <c r="J42" s="37" t="n">
        <v>257830</v>
      </c>
      <c r="K42" s="38" t="n">
        <v>217061</v>
      </c>
      <c r="L42" s="36" t="n">
        <v>245711</v>
      </c>
      <c r="M42" s="36" t="n">
        <v>245322</v>
      </c>
      <c r="N42" s="37" t="n">
        <v>302072</v>
      </c>
      <c r="O42" s="36" t="n">
        <v>242820</v>
      </c>
      <c r="P42" s="36" t="n">
        <v>268268</v>
      </c>
      <c r="Q42" s="36" t="n">
        <v>251499</v>
      </c>
      <c r="R42" s="36" t="n">
        <v>282579</v>
      </c>
    </row>
    <row r="43" customFormat="false" ht="16.5" hidden="false" customHeight="true" outlineLevel="0" collapsed="false">
      <c r="A43" s="13"/>
      <c r="B43" s="34" t="s">
        <v>47</v>
      </c>
      <c r="C43" s="36" t="n">
        <v>186248</v>
      </c>
      <c r="D43" s="36" t="n">
        <v>192315</v>
      </c>
      <c r="E43" s="36" t="n">
        <v>168727</v>
      </c>
      <c r="F43" s="37" t="n">
        <v>210652</v>
      </c>
      <c r="G43" s="36" t="n">
        <v>205915</v>
      </c>
      <c r="H43" s="36" t="n">
        <v>203296</v>
      </c>
      <c r="I43" s="36" t="n">
        <v>175082</v>
      </c>
      <c r="J43" s="37" t="n">
        <v>221811</v>
      </c>
      <c r="K43" s="38" t="n">
        <v>188752</v>
      </c>
      <c r="L43" s="36" t="n">
        <v>217865</v>
      </c>
      <c r="M43" s="36" t="n">
        <v>192262</v>
      </c>
      <c r="N43" s="37" t="n">
        <v>258288</v>
      </c>
      <c r="O43" s="36" t="n">
        <v>216411</v>
      </c>
      <c r="P43" s="36" t="n">
        <v>248108</v>
      </c>
      <c r="Q43" s="36" t="n">
        <v>226200</v>
      </c>
      <c r="R43" s="36" t="n">
        <v>278323</v>
      </c>
    </row>
    <row r="44" customFormat="false" ht="16.5" hidden="false" customHeight="true" outlineLevel="0" collapsed="false">
      <c r="A44" s="13"/>
      <c r="B44" s="39" t="s">
        <v>34</v>
      </c>
      <c r="C44" s="40" t="n">
        <v>57904</v>
      </c>
      <c r="D44" s="40" t="n">
        <v>68791</v>
      </c>
      <c r="E44" s="40" t="n">
        <v>69452</v>
      </c>
      <c r="F44" s="41" t="n">
        <v>73201</v>
      </c>
      <c r="G44" s="40" t="n">
        <v>69728</v>
      </c>
      <c r="H44" s="40" t="n">
        <v>84425</v>
      </c>
      <c r="I44" s="40" t="n">
        <v>70892</v>
      </c>
      <c r="J44" s="41" t="n">
        <v>67032</v>
      </c>
      <c r="K44" s="42" t="n">
        <v>66890</v>
      </c>
      <c r="L44" s="40" t="n">
        <v>87066</v>
      </c>
      <c r="M44" s="40" t="n">
        <v>87227</v>
      </c>
      <c r="N44" s="41" t="n">
        <v>99061</v>
      </c>
      <c r="O44" s="40" t="n">
        <v>86352</v>
      </c>
      <c r="P44" s="40" t="n">
        <v>89710</v>
      </c>
      <c r="Q44" s="40" t="n">
        <v>100372</v>
      </c>
      <c r="R44" s="40" t="n">
        <v>106030</v>
      </c>
    </row>
    <row r="45" customFormat="false" ht="16.5" hidden="false" customHeight="true" outlineLevel="0" collapsed="false">
      <c r="A45" s="43"/>
      <c r="B45" s="39" t="s">
        <v>48</v>
      </c>
      <c r="C45" s="43" t="n">
        <f aca="false">SUM(C42:C44)</f>
        <v>452502</v>
      </c>
      <c r="D45" s="43" t="n">
        <f aca="false">SUM(D42:D44)</f>
        <v>484730</v>
      </c>
      <c r="E45" s="43" t="n">
        <f aca="false">SUM(E42:E44)</f>
        <v>450819</v>
      </c>
      <c r="F45" s="39" t="n">
        <f aca="false">SUM(F42:F44)</f>
        <v>529003</v>
      </c>
      <c r="G45" s="43" t="n">
        <f aca="false">SUM(G42:G44)</f>
        <v>509387</v>
      </c>
      <c r="H45" s="43" t="n">
        <f aca="false">SUM(H42:H44)</f>
        <v>544701</v>
      </c>
      <c r="I45" s="43" t="n">
        <f aca="false">SUM(I42:I44)</f>
        <v>479524</v>
      </c>
      <c r="J45" s="39" t="n">
        <f aca="false">SUM(J42:J44)</f>
        <v>546673</v>
      </c>
      <c r="K45" s="52" t="n">
        <f aca="false">SUM(K42:K44)</f>
        <v>472703</v>
      </c>
      <c r="L45" s="43" t="n">
        <f aca="false">SUM(L42:L44)</f>
        <v>550642</v>
      </c>
      <c r="M45" s="43" t="n">
        <f aca="false">SUM(M42:M44)</f>
        <v>524811</v>
      </c>
      <c r="N45" s="39" t="n">
        <f aca="false">SUM(N42:N44)</f>
        <v>659421</v>
      </c>
      <c r="O45" s="43" t="n">
        <f aca="false">SUM(O42:O44)</f>
        <v>545583</v>
      </c>
      <c r="P45" s="43" t="n">
        <f aca="false">SUM(P42:P44)</f>
        <v>606086</v>
      </c>
      <c r="Q45" s="43" t="n">
        <f aca="false">SUM(Q42:Q44)</f>
        <v>578071</v>
      </c>
      <c r="R45" s="43" t="n">
        <f aca="false">SUM(R42:R44)</f>
        <v>666932</v>
      </c>
    </row>
    <row r="46" customFormat="false" ht="16.5" hidden="false" customHeight="true" outlineLevel="0" collapsed="false">
      <c r="A46" s="43" t="s">
        <v>49</v>
      </c>
      <c r="B46" s="39"/>
      <c r="C46" s="43" t="n">
        <f aca="false">SUM(C40,C45)</f>
        <v>641118</v>
      </c>
      <c r="D46" s="43" t="n">
        <f aca="false">SUM(D40,D45)</f>
        <v>681340</v>
      </c>
      <c r="E46" s="43" t="n">
        <f aca="false">SUM(E40,E45)</f>
        <v>632302</v>
      </c>
      <c r="F46" s="39" t="n">
        <f aca="false">SUM(F40,F45)</f>
        <v>741660</v>
      </c>
      <c r="G46" s="43" t="n">
        <f aca="false">SUM(G40,G45)</f>
        <v>714698</v>
      </c>
      <c r="H46" s="43" t="n">
        <f aca="false">SUM(H40,H45)</f>
        <v>759277</v>
      </c>
      <c r="I46" s="43" t="n">
        <f aca="false">SUM(I40,I45)</f>
        <v>680281</v>
      </c>
      <c r="J46" s="39" t="n">
        <f aca="false">SUM(J40,J45)</f>
        <v>753317</v>
      </c>
      <c r="K46" s="52" t="n">
        <f aca="false">SUM(K40,K45)</f>
        <v>651091</v>
      </c>
      <c r="L46" s="43" t="n">
        <f aca="false">SUM(L40,L45)</f>
        <v>733392</v>
      </c>
      <c r="M46" s="43" t="n">
        <f aca="false">SUM(M40,M45)</f>
        <v>693982</v>
      </c>
      <c r="N46" s="39" t="n">
        <f aca="false">SUM(N40,N45)</f>
        <v>861663</v>
      </c>
      <c r="O46" s="43" t="n">
        <f aca="false">SUM(O40,O45)</f>
        <v>731561</v>
      </c>
      <c r="P46" s="43" t="n">
        <f aca="false">SUM(P40,P45)</f>
        <v>804027</v>
      </c>
      <c r="Q46" s="43" t="n">
        <f aca="false">SUM(Q40,Q45)</f>
        <v>767599</v>
      </c>
      <c r="R46" s="43" t="n">
        <f aca="false">SUM(R40,R45)</f>
        <v>894885</v>
      </c>
    </row>
    <row r="47" s="63" customFormat="true" ht="21" hidden="false" customHeight="true" outlineLevel="0" collapsed="false">
      <c r="A47" s="62" t="s">
        <v>50</v>
      </c>
      <c r="B47" s="63" t="s">
        <v>51</v>
      </c>
    </row>
    <row r="48" s="63" customFormat="true" ht="16.15" hidden="false" customHeight="true" outlineLevel="0" collapsed="false">
      <c r="A48" s="64" t="s">
        <v>50</v>
      </c>
      <c r="B48" s="63" t="s">
        <v>52</v>
      </c>
    </row>
  </sheetData>
  <mergeCells count="4">
    <mergeCell ref="C2:F2"/>
    <mergeCell ref="G2:J2"/>
    <mergeCell ref="K2:N2"/>
    <mergeCell ref="O2:R2"/>
  </mergeCells>
  <printOptions headings="false" gridLines="false" gridLinesSet="true" horizontalCentered="false" verticalCentered="false"/>
  <pageMargins left="0.459722222222222" right="0.490277777777778" top="0.570138888888889" bottom="0.5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&amp;C-&amp;A-&amp;R&amp;16連結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R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L25" activePane="bottomRight" state="frozen"/>
      <selection pane="topLeft" activeCell="A1" activeCellId="0" sqref="A1"/>
      <selection pane="topRight" activeCell="L1" activeCellId="0" sqref="L1"/>
      <selection pane="bottomLeft" activeCell="A25" activeCellId="0" sqref="A25"/>
      <selection pane="bottomRight" activeCell="A1" activeCellId="0" sqref="A1"/>
    </sheetView>
  </sheetViews>
  <sheetFormatPr defaultColWidth="10.7421875" defaultRowHeight="16.15" zeroHeight="false" outlineLevelRow="1" outlineLevelCol="0"/>
  <cols>
    <col collapsed="false" customWidth="true" hidden="false" outlineLevel="0" max="1" min="1" style="13" width="3.37"/>
    <col collapsed="false" customWidth="true" hidden="false" outlineLevel="0" max="2" min="2" style="1" width="25.76"/>
    <col collapsed="false" customWidth="true" hidden="false" outlineLevel="0" max="18" min="3" style="1" width="10.62"/>
    <col collapsed="false" customWidth="false" hidden="false" outlineLevel="0" max="257" min="19" style="1" width="10.75"/>
  </cols>
  <sheetData>
    <row r="1" customFormat="false" ht="30" hidden="false" customHeight="true" outlineLevel="0" collapsed="false">
      <c r="A1" s="12" t="s">
        <v>53</v>
      </c>
      <c r="J1" s="65"/>
      <c r="K1" s="65"/>
      <c r="L1" s="65"/>
      <c r="O1" s="65"/>
      <c r="P1" s="65"/>
    </row>
    <row r="2" customFormat="false" ht="17.25" hidden="false" customHeight="true" outlineLevel="0" collapsed="false">
      <c r="A2" s="12"/>
      <c r="B2" s="34"/>
      <c r="C2" s="17" t="s">
        <v>54</v>
      </c>
      <c r="D2" s="17"/>
      <c r="E2" s="17"/>
      <c r="F2" s="17"/>
      <c r="G2" s="18" t="s">
        <v>55</v>
      </c>
      <c r="H2" s="18"/>
      <c r="I2" s="18"/>
      <c r="J2" s="18"/>
      <c r="K2" s="66" t="s">
        <v>56</v>
      </c>
      <c r="L2" s="66"/>
      <c r="M2" s="66"/>
      <c r="N2" s="66"/>
      <c r="O2" s="66" t="s">
        <v>10</v>
      </c>
      <c r="P2" s="66"/>
      <c r="Q2" s="66"/>
      <c r="R2" s="66"/>
    </row>
    <row r="3" s="25" customFormat="true" ht="17.25" hidden="false" customHeight="true" outlineLevel="0" collapsed="false">
      <c r="A3" s="20"/>
      <c r="B3" s="21"/>
      <c r="C3" s="22" t="s">
        <v>11</v>
      </c>
      <c r="D3" s="22" t="s">
        <v>12</v>
      </c>
      <c r="E3" s="22" t="s">
        <v>13</v>
      </c>
      <c r="F3" s="23" t="s">
        <v>14</v>
      </c>
      <c r="G3" s="24" t="s">
        <v>11</v>
      </c>
      <c r="H3" s="22" t="s">
        <v>12</v>
      </c>
      <c r="I3" s="22" t="s">
        <v>13</v>
      </c>
      <c r="J3" s="23" t="s">
        <v>14</v>
      </c>
      <c r="K3" s="24" t="s">
        <v>11</v>
      </c>
      <c r="L3" s="22" t="s">
        <v>12</v>
      </c>
      <c r="M3" s="22" t="s">
        <v>13</v>
      </c>
      <c r="N3" s="22" t="s">
        <v>14</v>
      </c>
      <c r="O3" s="24" t="s">
        <v>11</v>
      </c>
      <c r="P3" s="22" t="s">
        <v>12</v>
      </c>
      <c r="Q3" s="22" t="s">
        <v>13</v>
      </c>
      <c r="R3" s="22" t="s">
        <v>14</v>
      </c>
    </row>
    <row r="4" s="28" customFormat="true" ht="16.15" hidden="false" customHeight="true" outlineLevel="0" collapsed="false">
      <c r="A4" s="26"/>
      <c r="B4" s="67" t="s">
        <v>15</v>
      </c>
      <c r="F4" s="29"/>
      <c r="G4" s="30"/>
      <c r="J4" s="29"/>
      <c r="K4" s="30"/>
      <c r="N4" s="68"/>
      <c r="O4" s="30"/>
      <c r="R4" s="68"/>
    </row>
    <row r="5" s="28" customFormat="true" ht="7.5" hidden="false" customHeight="true" outlineLevel="0" collapsed="false">
      <c r="A5" s="26"/>
      <c r="B5" s="31"/>
      <c r="F5" s="29"/>
      <c r="J5" s="29"/>
      <c r="K5" s="30"/>
      <c r="O5" s="30"/>
    </row>
    <row r="6" s="28" customFormat="true" ht="18" hidden="false" customHeight="true" outlineLevel="0" collapsed="false">
      <c r="A6" s="32" t="s">
        <v>7</v>
      </c>
      <c r="B6" s="29"/>
      <c r="F6" s="29"/>
      <c r="J6" s="29"/>
      <c r="K6" s="30"/>
      <c r="O6" s="30"/>
    </row>
    <row r="7" s="28" customFormat="true" ht="4.5" hidden="false" customHeight="true" outlineLevel="0" collapsed="false">
      <c r="A7" s="33"/>
      <c r="B7" s="29"/>
      <c r="F7" s="29"/>
      <c r="J7" s="29"/>
      <c r="K7" s="30"/>
      <c r="O7" s="30"/>
    </row>
    <row r="8" customFormat="false" ht="16.15" hidden="false" customHeight="true" outlineLevel="0" collapsed="false">
      <c r="A8" s="13" t="s">
        <v>16</v>
      </c>
      <c r="B8" s="34"/>
      <c r="C8" s="13"/>
      <c r="D8" s="13"/>
      <c r="E8" s="13"/>
      <c r="F8" s="34"/>
      <c r="G8" s="35"/>
      <c r="H8" s="13"/>
      <c r="I8" s="13"/>
      <c r="J8" s="34"/>
      <c r="K8" s="35"/>
      <c r="L8" s="13"/>
      <c r="M8" s="13"/>
      <c r="N8" s="13"/>
      <c r="O8" s="35"/>
      <c r="P8" s="13"/>
      <c r="Q8" s="13"/>
      <c r="R8" s="13"/>
    </row>
    <row r="9" customFormat="false" ht="16.15" hidden="false" customHeight="true" outlineLevel="0" collapsed="false">
      <c r="B9" s="34" t="s">
        <v>57</v>
      </c>
      <c r="C9" s="36" t="n">
        <v>527665</v>
      </c>
      <c r="D9" s="36" t="n">
        <v>531852</v>
      </c>
      <c r="E9" s="36" t="n">
        <v>487924</v>
      </c>
      <c r="F9" s="37" t="n">
        <v>562969</v>
      </c>
      <c r="G9" s="38" t="n">
        <v>568356</v>
      </c>
      <c r="H9" s="36" t="n">
        <v>569874</v>
      </c>
      <c r="I9" s="36" t="n">
        <v>513440</v>
      </c>
      <c r="J9" s="37" t="n">
        <v>571819</v>
      </c>
      <c r="K9" s="38" t="n">
        <v>517359</v>
      </c>
      <c r="L9" s="36" t="n">
        <v>554324</v>
      </c>
      <c r="M9" s="36" t="n">
        <v>521083</v>
      </c>
      <c r="N9" s="36" t="n">
        <v>633429</v>
      </c>
      <c r="O9" s="38" t="n">
        <v>551475</v>
      </c>
      <c r="P9" s="36" t="n">
        <v>576483</v>
      </c>
      <c r="Q9" s="36" t="n">
        <v>544050</v>
      </c>
      <c r="R9" s="36" t="n">
        <v>601896</v>
      </c>
    </row>
    <row r="10" customFormat="false" ht="16.15" hidden="false" customHeight="true" outlineLevel="0" collapsed="false">
      <c r="B10" s="34" t="s">
        <v>29</v>
      </c>
      <c r="C10" s="36" t="n">
        <v>88715</v>
      </c>
      <c r="D10" s="36" t="n">
        <v>76894</v>
      </c>
      <c r="E10" s="36" t="n">
        <v>71739</v>
      </c>
      <c r="F10" s="37" t="n">
        <v>71836</v>
      </c>
      <c r="G10" s="38" t="n">
        <v>85822</v>
      </c>
      <c r="H10" s="36" t="n">
        <v>101152</v>
      </c>
      <c r="I10" s="36" t="n">
        <v>82438</v>
      </c>
      <c r="J10" s="37" t="n">
        <v>65506</v>
      </c>
      <c r="K10" s="38" t="n">
        <v>82571</v>
      </c>
      <c r="L10" s="36" t="n">
        <v>95280</v>
      </c>
      <c r="M10" s="36" t="n">
        <v>103453</v>
      </c>
      <c r="N10" s="36" t="n">
        <v>129712</v>
      </c>
      <c r="O10" s="38" t="n">
        <v>123370</v>
      </c>
      <c r="P10" s="36" t="n">
        <v>114051</v>
      </c>
      <c r="Q10" s="36" t="n">
        <v>123400</v>
      </c>
      <c r="R10" s="36" t="n">
        <v>126275</v>
      </c>
    </row>
    <row r="11" s="47" customFormat="true" ht="16.15" hidden="false" customHeight="true" outlineLevel="0" collapsed="false">
      <c r="B11" s="69" t="s">
        <v>58</v>
      </c>
      <c r="C11" s="70" t="n">
        <f aca="false">IF(C9=0,"",C10/C9)</f>
        <v>0.168</v>
      </c>
      <c r="D11" s="70" t="n">
        <f aca="false">IF(D9=0,"",D10/D9)</f>
        <v>0.145</v>
      </c>
      <c r="E11" s="70" t="n">
        <f aca="false">IF(E9=0,"",E10/E9)</f>
        <v>0.147</v>
      </c>
      <c r="F11" s="69" t="n">
        <f aca="false">IF(F9=0,"",F10/F9)</f>
        <v>0.128</v>
      </c>
      <c r="G11" s="71" t="n">
        <f aca="false">IF(G9=0,"",G10/G9)</f>
        <v>0.151</v>
      </c>
      <c r="H11" s="70" t="n">
        <f aca="false">IF(H9=0,"",H10/H9)</f>
        <v>0.177</v>
      </c>
      <c r="I11" s="70" t="n">
        <f aca="false">IF(I9=0,"",I10/I9)</f>
        <v>0.161</v>
      </c>
      <c r="J11" s="69" t="n">
        <f aca="false">IF(J9=0,"",J10/J9)</f>
        <v>0.115</v>
      </c>
      <c r="K11" s="71" t="n">
        <f aca="false">IF(K9=0,"",K10/K9)</f>
        <v>0.16</v>
      </c>
      <c r="L11" s="70" t="n">
        <f aca="false">IF(L9=0,"",L10/L9)</f>
        <v>0.172</v>
      </c>
      <c r="M11" s="70" t="n">
        <f aca="false">IF(M9=0,"",M10/M9)</f>
        <v>0.199</v>
      </c>
      <c r="N11" s="70" t="n">
        <f aca="false">IF(N9=0,"",N10/N9)</f>
        <v>0.205</v>
      </c>
      <c r="O11" s="71" t="n">
        <f aca="false">IF(O9=0,"",O10/O9)</f>
        <v>0.224</v>
      </c>
      <c r="P11" s="70" t="n">
        <f aca="false">IF(P9=0,"",P10/P9)</f>
        <v>0.198</v>
      </c>
      <c r="Q11" s="70" t="n">
        <f aca="false">IF(Q9=0,"",Q10/Q9)</f>
        <v>0.227</v>
      </c>
      <c r="R11" s="70" t="n">
        <f aca="false">IF(R9=0,"",R10/R9)</f>
        <v>0.21</v>
      </c>
    </row>
    <row r="12" customFormat="false" ht="16.15" hidden="true" customHeight="true" outlineLevel="1" collapsed="false">
      <c r="B12" s="34"/>
      <c r="C12" s="36"/>
      <c r="D12" s="36"/>
      <c r="E12" s="36"/>
      <c r="F12" s="37"/>
      <c r="G12" s="38"/>
      <c r="H12" s="36"/>
      <c r="I12" s="36"/>
      <c r="J12" s="37"/>
      <c r="K12" s="38"/>
      <c r="L12" s="36"/>
      <c r="M12" s="36"/>
      <c r="N12" s="36"/>
      <c r="O12" s="38"/>
      <c r="P12" s="36"/>
      <c r="Q12" s="36"/>
      <c r="R12" s="36"/>
    </row>
    <row r="13" customFormat="false" ht="16.15" hidden="true" customHeight="true" outlineLevel="1" collapsed="false">
      <c r="B13" s="34"/>
      <c r="C13" s="36"/>
      <c r="D13" s="36"/>
      <c r="E13" s="36"/>
      <c r="F13" s="37"/>
      <c r="G13" s="38"/>
      <c r="H13" s="36"/>
      <c r="I13" s="36"/>
      <c r="J13" s="37"/>
      <c r="K13" s="38"/>
      <c r="L13" s="36"/>
      <c r="M13" s="36"/>
      <c r="N13" s="36"/>
      <c r="O13" s="38"/>
      <c r="P13" s="36"/>
      <c r="Q13" s="36"/>
      <c r="R13" s="36"/>
    </row>
    <row r="14" customFormat="false" ht="16.15" hidden="true" customHeight="true" outlineLevel="1" collapsed="false">
      <c r="A14" s="43"/>
      <c r="B14" s="39"/>
      <c r="C14" s="40"/>
      <c r="D14" s="40"/>
      <c r="E14" s="40"/>
      <c r="F14" s="41"/>
      <c r="G14" s="42"/>
      <c r="H14" s="40"/>
      <c r="I14" s="40"/>
      <c r="J14" s="41"/>
      <c r="K14" s="42"/>
      <c r="L14" s="40"/>
      <c r="M14" s="40"/>
      <c r="N14" s="40"/>
      <c r="O14" s="42"/>
      <c r="P14" s="40"/>
      <c r="Q14" s="40"/>
      <c r="R14" s="40"/>
    </row>
    <row r="15" customFormat="false" ht="16.15" hidden="false" customHeight="true" outlineLevel="0" collapsed="false">
      <c r="A15" s="13" t="s">
        <v>59</v>
      </c>
      <c r="B15" s="34"/>
      <c r="C15" s="13"/>
      <c r="D15" s="13"/>
      <c r="E15" s="13"/>
      <c r="F15" s="34"/>
      <c r="G15" s="35"/>
      <c r="H15" s="13"/>
      <c r="I15" s="13"/>
      <c r="J15" s="34"/>
      <c r="K15" s="35"/>
      <c r="L15" s="13"/>
      <c r="M15" s="13"/>
      <c r="N15" s="13"/>
      <c r="O15" s="35"/>
      <c r="P15" s="13"/>
      <c r="Q15" s="13"/>
      <c r="R15" s="13"/>
    </row>
    <row r="16" customFormat="false" ht="16.15" hidden="false" customHeight="true" outlineLevel="0" collapsed="false">
      <c r="B16" s="34" t="s">
        <v>57</v>
      </c>
      <c r="C16" s="36" t="n">
        <v>59295</v>
      </c>
      <c r="D16" s="36" t="n">
        <v>83227</v>
      </c>
      <c r="E16" s="36" t="n">
        <v>79691</v>
      </c>
      <c r="F16" s="37" t="n">
        <v>96021</v>
      </c>
      <c r="G16" s="38" t="n">
        <v>71820</v>
      </c>
      <c r="H16" s="36" t="n">
        <v>103143</v>
      </c>
      <c r="I16" s="36" t="n">
        <v>87239</v>
      </c>
      <c r="J16" s="37" t="n">
        <v>119165</v>
      </c>
      <c r="K16" s="38" t="n">
        <v>85711</v>
      </c>
      <c r="L16" s="36" t="n">
        <v>125681</v>
      </c>
      <c r="M16" s="36" t="n">
        <v>115882</v>
      </c>
      <c r="N16" s="36" t="n">
        <v>158504</v>
      </c>
      <c r="O16" s="38" t="n">
        <v>117544</v>
      </c>
      <c r="P16" s="36" t="n">
        <v>166257</v>
      </c>
      <c r="Q16" s="36" t="n">
        <v>155755</v>
      </c>
      <c r="R16" s="36" t="n">
        <v>213984</v>
      </c>
    </row>
    <row r="17" customFormat="false" ht="16.15" hidden="false" customHeight="true" outlineLevel="0" collapsed="false">
      <c r="B17" s="34" t="s">
        <v>29</v>
      </c>
      <c r="C17" s="36" t="n">
        <v>4433</v>
      </c>
      <c r="D17" s="36" t="n">
        <v>6733</v>
      </c>
      <c r="E17" s="36" t="n">
        <v>11857</v>
      </c>
      <c r="F17" s="37" t="n">
        <v>9370</v>
      </c>
      <c r="G17" s="38" t="n">
        <v>5034</v>
      </c>
      <c r="H17" s="36" t="n">
        <v>10270</v>
      </c>
      <c r="I17" s="36" t="n">
        <v>10622</v>
      </c>
      <c r="J17" s="37" t="n">
        <v>10218</v>
      </c>
      <c r="K17" s="38" t="n">
        <v>10696</v>
      </c>
      <c r="L17" s="36" t="n">
        <v>17359</v>
      </c>
      <c r="M17" s="36" t="n">
        <v>20168</v>
      </c>
      <c r="N17" s="36" t="n">
        <v>22067</v>
      </c>
      <c r="O17" s="38" t="n">
        <v>21668</v>
      </c>
      <c r="P17" s="36" t="n">
        <v>28126</v>
      </c>
      <c r="Q17" s="36" t="n">
        <v>38695</v>
      </c>
      <c r="R17" s="36" t="n">
        <v>37829</v>
      </c>
    </row>
    <row r="18" s="47" customFormat="true" ht="16.15" hidden="false" customHeight="true" outlineLevel="0" collapsed="false">
      <c r="B18" s="69" t="s">
        <v>58</v>
      </c>
      <c r="C18" s="70" t="n">
        <f aca="false">IF(C16=0,"",C17/C16)</f>
        <v>0.075</v>
      </c>
      <c r="D18" s="70" t="n">
        <f aca="false">IF(D16=0,"",D17/D16)</f>
        <v>0.081</v>
      </c>
      <c r="E18" s="70" t="n">
        <f aca="false">IF(E16=0,"",E17/E16)</f>
        <v>0.149</v>
      </c>
      <c r="F18" s="69" t="n">
        <f aca="false">IF(F16=0,"",F17/F16)</f>
        <v>0.098</v>
      </c>
      <c r="G18" s="71" t="n">
        <f aca="false">IF(G16=0,"",G17/G16)</f>
        <v>0.07</v>
      </c>
      <c r="H18" s="70" t="n">
        <f aca="false">IF(H16=0,"",H17/H16)</f>
        <v>0.1</v>
      </c>
      <c r="I18" s="70" t="n">
        <f aca="false">IF(I16=0,"",I17/I16)</f>
        <v>0.122</v>
      </c>
      <c r="J18" s="69" t="n">
        <f aca="false">IF(J16=0,"",J17/J16)</f>
        <v>0.086</v>
      </c>
      <c r="K18" s="71" t="n">
        <f aca="false">IF(K16=0,"",K17/K16)</f>
        <v>0.125</v>
      </c>
      <c r="L18" s="70" t="n">
        <f aca="false">IF(L16=0,"",L17/L16)</f>
        <v>0.138</v>
      </c>
      <c r="M18" s="70" t="n">
        <f aca="false">IF(M16=0,"",M17/M16)</f>
        <v>0.174</v>
      </c>
      <c r="N18" s="70" t="n">
        <f aca="false">IF(N16=0,"",N17/N16)</f>
        <v>0.139</v>
      </c>
      <c r="O18" s="71" t="n">
        <f aca="false">IF(O16=0,"",O17/O16)</f>
        <v>0.184</v>
      </c>
      <c r="P18" s="70" t="n">
        <f aca="false">IF(P16=0,"",P17/P16)</f>
        <v>0.169</v>
      </c>
      <c r="Q18" s="70" t="n">
        <f aca="false">IF(Q16=0,"",Q17/Q16)</f>
        <v>0.248</v>
      </c>
      <c r="R18" s="70" t="n">
        <f aca="false">IF(R16=0,"",R17/R16)</f>
        <v>0.177</v>
      </c>
    </row>
    <row r="19" customFormat="false" ht="16.15" hidden="true" customHeight="true" outlineLevel="1" collapsed="false">
      <c r="B19" s="34"/>
      <c r="C19" s="36"/>
      <c r="D19" s="36"/>
      <c r="E19" s="36"/>
      <c r="F19" s="37"/>
      <c r="G19" s="38"/>
      <c r="H19" s="36"/>
      <c r="I19" s="36"/>
      <c r="J19" s="37"/>
      <c r="K19" s="38"/>
      <c r="L19" s="36"/>
      <c r="M19" s="36"/>
      <c r="N19" s="36"/>
      <c r="O19" s="38"/>
      <c r="P19" s="36"/>
      <c r="Q19" s="36"/>
      <c r="R19" s="36"/>
    </row>
    <row r="20" customFormat="false" ht="16.15" hidden="true" customHeight="true" outlineLevel="1" collapsed="false">
      <c r="B20" s="34"/>
      <c r="C20" s="36"/>
      <c r="D20" s="36"/>
      <c r="E20" s="36"/>
      <c r="F20" s="37"/>
      <c r="G20" s="38"/>
      <c r="H20" s="36"/>
      <c r="I20" s="36"/>
      <c r="J20" s="37"/>
      <c r="K20" s="38"/>
      <c r="L20" s="36"/>
      <c r="M20" s="36"/>
      <c r="N20" s="36"/>
      <c r="O20" s="38"/>
      <c r="P20" s="36"/>
      <c r="Q20" s="36"/>
      <c r="R20" s="36"/>
    </row>
    <row r="21" customFormat="false" ht="16.15" hidden="true" customHeight="true" outlineLevel="1" collapsed="false">
      <c r="A21" s="43"/>
      <c r="B21" s="39"/>
      <c r="C21" s="40"/>
      <c r="D21" s="40"/>
      <c r="E21" s="40"/>
      <c r="F21" s="41"/>
      <c r="G21" s="42"/>
      <c r="H21" s="40"/>
      <c r="I21" s="40"/>
      <c r="J21" s="41"/>
      <c r="K21" s="42"/>
      <c r="L21" s="40"/>
      <c r="M21" s="40"/>
      <c r="N21" s="40"/>
      <c r="O21" s="42"/>
      <c r="P21" s="40"/>
      <c r="Q21" s="40"/>
      <c r="R21" s="40"/>
    </row>
    <row r="22" customFormat="false" ht="16.15" hidden="false" customHeight="true" outlineLevel="0" collapsed="false">
      <c r="A22" s="13" t="s">
        <v>60</v>
      </c>
      <c r="B22" s="34"/>
      <c r="C22" s="13"/>
      <c r="D22" s="13"/>
      <c r="E22" s="13"/>
      <c r="F22" s="34"/>
      <c r="G22" s="35"/>
      <c r="H22" s="13"/>
      <c r="I22" s="13"/>
      <c r="J22" s="34"/>
      <c r="K22" s="35"/>
      <c r="L22" s="13"/>
      <c r="M22" s="13"/>
      <c r="N22" s="13"/>
      <c r="O22" s="35"/>
      <c r="P22" s="13"/>
      <c r="Q22" s="13"/>
      <c r="R22" s="13"/>
    </row>
    <row r="23" customFormat="false" ht="16.15" hidden="false" customHeight="true" outlineLevel="0" collapsed="false">
      <c r="B23" s="34" t="s">
        <v>57</v>
      </c>
      <c r="C23" s="36" t="n">
        <v>80600</v>
      </c>
      <c r="D23" s="36" t="n">
        <v>95249</v>
      </c>
      <c r="E23" s="36" t="n">
        <v>94715</v>
      </c>
      <c r="F23" s="37" t="n">
        <v>124159</v>
      </c>
      <c r="G23" s="38" t="n">
        <v>106236</v>
      </c>
      <c r="H23" s="36" t="n">
        <v>116711</v>
      </c>
      <c r="I23" s="36" t="n">
        <v>108821</v>
      </c>
      <c r="J23" s="37" t="n">
        <v>87697</v>
      </c>
      <c r="K23" s="38" t="n">
        <v>76795</v>
      </c>
      <c r="L23" s="36" t="n">
        <v>87872</v>
      </c>
      <c r="M23" s="36" t="n">
        <v>96118</v>
      </c>
      <c r="N23" s="36" t="n">
        <v>106978</v>
      </c>
      <c r="O23" s="38" t="n">
        <v>97252</v>
      </c>
      <c r="P23" s="36" t="n">
        <v>100614</v>
      </c>
      <c r="Q23" s="36" t="n">
        <v>104746</v>
      </c>
      <c r="R23" s="36" t="n">
        <v>109734</v>
      </c>
    </row>
    <row r="24" customFormat="false" ht="16.15" hidden="false" customHeight="true" outlineLevel="0" collapsed="false">
      <c r="B24" s="34" t="s">
        <v>29</v>
      </c>
      <c r="C24" s="36" t="n">
        <v>798</v>
      </c>
      <c r="D24" s="36" t="n">
        <v>-2052</v>
      </c>
      <c r="E24" s="36" t="n">
        <v>4688</v>
      </c>
      <c r="F24" s="37" t="n">
        <v>7214</v>
      </c>
      <c r="G24" s="38" t="n">
        <v>8828</v>
      </c>
      <c r="H24" s="36" t="n">
        <v>7216</v>
      </c>
      <c r="I24" s="36" t="n">
        <v>12769</v>
      </c>
      <c r="J24" s="37" t="n">
        <v>-4963</v>
      </c>
      <c r="K24" s="38" t="n">
        <v>-4455</v>
      </c>
      <c r="L24" s="36" t="n">
        <v>-4036</v>
      </c>
      <c r="M24" s="36" t="n">
        <v>-2924</v>
      </c>
      <c r="N24" s="36" t="n">
        <v>-237</v>
      </c>
      <c r="O24" s="38" t="n">
        <v>1814</v>
      </c>
      <c r="P24" s="36" t="n">
        <v>-2967</v>
      </c>
      <c r="Q24" s="36" t="n">
        <v>-3591</v>
      </c>
      <c r="R24" s="36" t="n">
        <v>-6670</v>
      </c>
    </row>
    <row r="25" s="47" customFormat="true" ht="16.15" hidden="false" customHeight="true" outlineLevel="0" collapsed="false">
      <c r="B25" s="69" t="s">
        <v>58</v>
      </c>
      <c r="C25" s="70" t="n">
        <f aca="false">IF(C23=0,"",C24/C23)</f>
        <v>0.01</v>
      </c>
      <c r="D25" s="70" t="n">
        <f aca="false">IF(D23=0,"",D24/D23)</f>
        <v>-0.022</v>
      </c>
      <c r="E25" s="70" t="n">
        <f aca="false">IF(E23=0,"",E24/E23)</f>
        <v>0.049</v>
      </c>
      <c r="F25" s="69" t="n">
        <f aca="false">IF(F23=0,"",F24/F23)</f>
        <v>0.058</v>
      </c>
      <c r="G25" s="71" t="n">
        <f aca="false">IF(G23=0,"",G24/G23)</f>
        <v>0.083</v>
      </c>
      <c r="H25" s="70" t="n">
        <f aca="false">IF(H23=0,"",H24/H23)</f>
        <v>0.062</v>
      </c>
      <c r="I25" s="70" t="n">
        <f aca="false">IF(I23=0,"",I24/I23)</f>
        <v>0.117</v>
      </c>
      <c r="J25" s="69" t="n">
        <f aca="false">IF(J23=0,"",J24/J23)</f>
        <v>-0.057</v>
      </c>
      <c r="K25" s="71" t="n">
        <f aca="false">IF(K23=0,"",K24/K23)</f>
        <v>-0.058</v>
      </c>
      <c r="L25" s="70" t="n">
        <f aca="false">IF(L23=0,"",L24/L23)</f>
        <v>-0.046</v>
      </c>
      <c r="M25" s="70" t="n">
        <f aca="false">IF(M23=0,"",M24/M23)</f>
        <v>-0.03</v>
      </c>
      <c r="N25" s="70" t="n">
        <f aca="false">IF(N23=0,"",N24/N23)</f>
        <v>-0.002</v>
      </c>
      <c r="O25" s="71" t="n">
        <f aca="false">IF(O23=0,"",O24/O23)</f>
        <v>0.019</v>
      </c>
      <c r="P25" s="70" t="n">
        <f aca="false">IF(P23=0,"",P24/P23)</f>
        <v>-0.029</v>
      </c>
      <c r="Q25" s="70" t="n">
        <f aca="false">IF(Q23=0,"",Q24/Q23)</f>
        <v>-0.034</v>
      </c>
      <c r="R25" s="70" t="n">
        <f aca="false">IF(R23=0,"",R24/R23)</f>
        <v>-0.061</v>
      </c>
    </row>
    <row r="26" customFormat="false" ht="16.15" hidden="true" customHeight="true" outlineLevel="1" collapsed="false">
      <c r="B26" s="34"/>
      <c r="C26" s="36"/>
      <c r="D26" s="36"/>
      <c r="E26" s="36"/>
      <c r="F26" s="37"/>
      <c r="G26" s="38"/>
      <c r="H26" s="36"/>
      <c r="I26" s="36"/>
      <c r="J26" s="37"/>
      <c r="K26" s="38"/>
      <c r="L26" s="36"/>
      <c r="M26" s="36"/>
      <c r="N26" s="36"/>
      <c r="O26" s="38"/>
      <c r="P26" s="36"/>
      <c r="Q26" s="36"/>
      <c r="R26" s="36"/>
    </row>
    <row r="27" customFormat="false" ht="16.15" hidden="true" customHeight="true" outlineLevel="1" collapsed="false">
      <c r="B27" s="34"/>
      <c r="C27" s="36"/>
      <c r="D27" s="36"/>
      <c r="E27" s="36"/>
      <c r="F27" s="37"/>
      <c r="G27" s="38"/>
      <c r="H27" s="36"/>
      <c r="I27" s="36"/>
      <c r="J27" s="37"/>
      <c r="K27" s="38"/>
      <c r="L27" s="36"/>
      <c r="M27" s="36"/>
      <c r="N27" s="36"/>
      <c r="O27" s="38"/>
      <c r="P27" s="36"/>
      <c r="Q27" s="36"/>
      <c r="R27" s="36"/>
    </row>
    <row r="28" customFormat="false" ht="16.15" hidden="true" customHeight="true" outlineLevel="1" collapsed="false">
      <c r="A28" s="43"/>
      <c r="B28" s="39"/>
      <c r="C28" s="40"/>
      <c r="D28" s="40"/>
      <c r="E28" s="40"/>
      <c r="F28" s="41"/>
      <c r="G28" s="42"/>
      <c r="H28" s="40"/>
      <c r="I28" s="40"/>
      <c r="J28" s="41"/>
      <c r="K28" s="42"/>
      <c r="L28" s="40"/>
      <c r="M28" s="40"/>
      <c r="N28" s="40"/>
      <c r="O28" s="42"/>
      <c r="P28" s="40"/>
      <c r="Q28" s="40"/>
      <c r="R28" s="40"/>
    </row>
    <row r="29" customFormat="false" ht="16.15" hidden="false" customHeight="true" outlineLevel="0" collapsed="false">
      <c r="A29" s="13" t="s">
        <v>61</v>
      </c>
      <c r="B29" s="34"/>
      <c r="C29" s="13"/>
      <c r="D29" s="13"/>
      <c r="E29" s="13"/>
      <c r="F29" s="34"/>
      <c r="G29" s="35"/>
      <c r="H29" s="13"/>
      <c r="I29" s="13"/>
      <c r="J29" s="34"/>
      <c r="K29" s="35"/>
      <c r="L29" s="13"/>
      <c r="M29" s="13"/>
      <c r="N29" s="13"/>
      <c r="O29" s="35"/>
      <c r="P29" s="13"/>
      <c r="Q29" s="13"/>
      <c r="R29" s="13"/>
    </row>
    <row r="30" customFormat="false" ht="16.15" hidden="false" customHeight="true" outlineLevel="0" collapsed="false">
      <c r="B30" s="34" t="s">
        <v>57</v>
      </c>
      <c r="C30" s="36" t="n">
        <v>-26442</v>
      </c>
      <c r="D30" s="36" t="n">
        <v>-28988</v>
      </c>
      <c r="E30" s="36" t="n">
        <v>-30028</v>
      </c>
      <c r="F30" s="37" t="n">
        <v>-41489</v>
      </c>
      <c r="G30" s="38" t="n">
        <v>-31714</v>
      </c>
      <c r="H30" s="36" t="n">
        <v>-30451</v>
      </c>
      <c r="I30" s="36" t="n">
        <v>-29219</v>
      </c>
      <c r="J30" s="37" t="n">
        <v>-25364</v>
      </c>
      <c r="K30" s="38" t="n">
        <v>-28774</v>
      </c>
      <c r="L30" s="36" t="n">
        <v>-34485</v>
      </c>
      <c r="M30" s="36" t="n">
        <v>-39101</v>
      </c>
      <c r="N30" s="36" t="n">
        <v>-37248</v>
      </c>
      <c r="O30" s="38" t="n">
        <v>-34710</v>
      </c>
      <c r="P30" s="36" t="n">
        <v>-39327</v>
      </c>
      <c r="Q30" s="36" t="n">
        <v>-36952</v>
      </c>
      <c r="R30" s="36" t="n">
        <v>-30729</v>
      </c>
    </row>
    <row r="31" customFormat="false" ht="16.15" hidden="false" customHeight="true" outlineLevel="0" collapsed="false">
      <c r="B31" s="34" t="s">
        <v>29</v>
      </c>
      <c r="C31" s="36" t="n">
        <v>-23361</v>
      </c>
      <c r="D31" s="36" t="n">
        <v>-32931</v>
      </c>
      <c r="E31" s="36" t="n">
        <v>-29131</v>
      </c>
      <c r="F31" s="37" t="n">
        <v>-32671</v>
      </c>
      <c r="G31" s="38" t="n">
        <v>-22684</v>
      </c>
      <c r="H31" s="36" t="n">
        <v>-31998</v>
      </c>
      <c r="I31" s="36" t="n">
        <v>-29503</v>
      </c>
      <c r="J31" s="37" t="n">
        <v>-28888</v>
      </c>
      <c r="K31" s="38" t="n">
        <v>-24261</v>
      </c>
      <c r="L31" s="36" t="n">
        <v>-33126</v>
      </c>
      <c r="M31" s="36" t="n">
        <v>-27967</v>
      </c>
      <c r="N31" s="36" t="n">
        <v>-37941</v>
      </c>
      <c r="O31" s="38" t="n">
        <v>-29445</v>
      </c>
      <c r="P31" s="36" t="n">
        <v>-40643</v>
      </c>
      <c r="Q31" s="36" t="n">
        <v>-32942</v>
      </c>
      <c r="R31" s="36" t="n">
        <v>-44546</v>
      </c>
    </row>
    <row r="32" s="47" customFormat="true" ht="16.15" hidden="false" customHeight="true" outlineLevel="0" collapsed="false">
      <c r="A32" s="55"/>
      <c r="B32" s="56"/>
      <c r="C32" s="55"/>
      <c r="D32" s="55"/>
      <c r="E32" s="55"/>
      <c r="F32" s="56"/>
      <c r="G32" s="72"/>
      <c r="H32" s="55"/>
      <c r="I32" s="55"/>
      <c r="J32" s="56"/>
      <c r="K32" s="72"/>
      <c r="L32" s="55"/>
      <c r="M32" s="55"/>
      <c r="N32" s="55"/>
      <c r="O32" s="72"/>
      <c r="P32" s="55"/>
      <c r="Q32" s="55"/>
      <c r="R32" s="55"/>
    </row>
    <row r="33" customFormat="false" ht="16.15" hidden="true" customHeight="true" outlineLevel="1" collapsed="false">
      <c r="B33" s="34"/>
      <c r="C33" s="36"/>
      <c r="D33" s="36"/>
      <c r="E33" s="36"/>
      <c r="F33" s="37"/>
      <c r="G33" s="38"/>
      <c r="H33" s="36"/>
      <c r="I33" s="36"/>
      <c r="J33" s="37"/>
      <c r="K33" s="38"/>
      <c r="L33" s="36"/>
      <c r="M33" s="36"/>
      <c r="N33" s="36"/>
      <c r="O33" s="38"/>
      <c r="P33" s="36"/>
      <c r="Q33" s="36"/>
      <c r="R33" s="36"/>
    </row>
    <row r="34" customFormat="false" ht="16.15" hidden="true" customHeight="true" outlineLevel="1" collapsed="false">
      <c r="B34" s="34"/>
      <c r="C34" s="36"/>
      <c r="D34" s="36"/>
      <c r="E34" s="36"/>
      <c r="F34" s="37"/>
      <c r="G34" s="38"/>
      <c r="H34" s="36"/>
      <c r="I34" s="36"/>
      <c r="J34" s="37"/>
      <c r="K34" s="38"/>
      <c r="L34" s="36"/>
      <c r="M34" s="36"/>
      <c r="N34" s="36"/>
      <c r="O34" s="38"/>
      <c r="P34" s="36"/>
      <c r="Q34" s="36"/>
      <c r="R34" s="36"/>
    </row>
    <row r="35" customFormat="false" ht="16.15" hidden="true" customHeight="true" outlineLevel="1" collapsed="false">
      <c r="A35" s="43"/>
      <c r="B35" s="39"/>
      <c r="C35" s="40"/>
      <c r="D35" s="40"/>
      <c r="E35" s="40"/>
      <c r="F35" s="41"/>
      <c r="G35" s="42"/>
      <c r="H35" s="40"/>
      <c r="I35" s="40"/>
      <c r="J35" s="41"/>
      <c r="K35" s="42"/>
      <c r="L35" s="40"/>
      <c r="M35" s="40"/>
      <c r="N35" s="40"/>
      <c r="O35" s="42"/>
      <c r="P35" s="40"/>
      <c r="Q35" s="40"/>
      <c r="R35" s="40"/>
    </row>
    <row r="36" customFormat="false" ht="16.15" hidden="false" customHeight="true" outlineLevel="0" collapsed="false">
      <c r="A36" s="13" t="s">
        <v>62</v>
      </c>
      <c r="B36" s="34"/>
      <c r="C36" s="13"/>
      <c r="D36" s="13"/>
      <c r="E36" s="13"/>
      <c r="F36" s="34"/>
      <c r="G36" s="35"/>
      <c r="H36" s="13"/>
      <c r="I36" s="13"/>
      <c r="J36" s="34"/>
      <c r="K36" s="35"/>
      <c r="L36" s="13"/>
      <c r="M36" s="13"/>
      <c r="N36" s="13"/>
      <c r="O36" s="35"/>
      <c r="P36" s="13"/>
      <c r="Q36" s="13"/>
      <c r="R36" s="13"/>
    </row>
    <row r="37" customFormat="false" ht="16.15" hidden="false" customHeight="true" outlineLevel="0" collapsed="false">
      <c r="B37" s="34" t="s">
        <v>57</v>
      </c>
      <c r="C37" s="13" t="n">
        <f aca="false">SUM(C9,C16,C23,C30)</f>
        <v>641118</v>
      </c>
      <c r="D37" s="13" t="n">
        <f aca="false">SUM(D9,D16,D23,D30)</f>
        <v>681340</v>
      </c>
      <c r="E37" s="13" t="n">
        <f aca="false">SUM(E9,E16,E23,E30)</f>
        <v>632302</v>
      </c>
      <c r="F37" s="34" t="n">
        <f aca="false">SUM(F9,F16,F23,F30)</f>
        <v>741660</v>
      </c>
      <c r="G37" s="35" t="n">
        <f aca="false">SUM(G9,G16,G23,G30)</f>
        <v>714698</v>
      </c>
      <c r="H37" s="13" t="n">
        <f aca="false">SUM(H9,H16,H23,H30)</f>
        <v>759277</v>
      </c>
      <c r="I37" s="13" t="n">
        <f aca="false">SUM(I9,I16,I23,I30)</f>
        <v>680281</v>
      </c>
      <c r="J37" s="34" t="n">
        <f aca="false">SUM(J9,J16,J23,J30)</f>
        <v>753317</v>
      </c>
      <c r="K37" s="35" t="n">
        <f aca="false">SUM(K9,K16,K23,K30)</f>
        <v>651091</v>
      </c>
      <c r="L37" s="13" t="n">
        <f aca="false">SUM(L9,L16,L23,L30)</f>
        <v>733392</v>
      </c>
      <c r="M37" s="13" t="n">
        <f aca="false">SUM(M9,M16,M23,M30)</f>
        <v>693982</v>
      </c>
      <c r="N37" s="13" t="n">
        <f aca="false">SUM(N9,N16,N23,N30)</f>
        <v>861663</v>
      </c>
      <c r="O37" s="35" t="n">
        <f aca="false">SUM(O9,O16,O23,O30)</f>
        <v>731561</v>
      </c>
      <c r="P37" s="13" t="n">
        <f aca="false">SUM(P9,P16,P23,P30)</f>
        <v>804027</v>
      </c>
      <c r="Q37" s="13" t="n">
        <f aca="false">SUM(Q9,Q16,Q23,Q30)</f>
        <v>767599</v>
      </c>
      <c r="R37" s="13" t="n">
        <f aca="false">SUM(R9,R16,R23,R30)</f>
        <v>894885</v>
      </c>
    </row>
    <row r="38" customFormat="false" ht="16.15" hidden="false" customHeight="true" outlineLevel="0" collapsed="false">
      <c r="B38" s="34" t="s">
        <v>29</v>
      </c>
      <c r="C38" s="13" t="n">
        <f aca="false">SUM(C10,C17,C24,C31)</f>
        <v>70585</v>
      </c>
      <c r="D38" s="13" t="n">
        <f aca="false">SUM(D10,D17,D24,D31)</f>
        <v>48644</v>
      </c>
      <c r="E38" s="13" t="n">
        <f aca="false">SUM(E10,E17,E24,E31)</f>
        <v>59153</v>
      </c>
      <c r="F38" s="34" t="n">
        <f aca="false">SUM(F10,F17,F24,F31)</f>
        <v>55749</v>
      </c>
      <c r="G38" s="35" t="n">
        <f aca="false">SUM(G10,G17,G24,G31)</f>
        <v>77000</v>
      </c>
      <c r="H38" s="13" t="n">
        <f aca="false">SUM(H10,H17,H24,H31)</f>
        <v>86640</v>
      </c>
      <c r="I38" s="13" t="n">
        <f aca="false">SUM(I10,I17,I24,I31)</f>
        <v>76326</v>
      </c>
      <c r="J38" s="34" t="n">
        <f aca="false">SUM(J10,J17,J24,J31)</f>
        <v>41873</v>
      </c>
      <c r="K38" s="35" t="n">
        <f aca="false">SUM(K10,K17,K24,K31)</f>
        <v>64551</v>
      </c>
      <c r="L38" s="13" t="n">
        <f aca="false">SUM(L10,L17,L24,L31)</f>
        <v>75477</v>
      </c>
      <c r="M38" s="13" t="n">
        <f aca="false">SUM(M10,M17,M24,M31)</f>
        <v>92730</v>
      </c>
      <c r="N38" s="13" t="n">
        <f aca="false">SUM(N10,N17,N24,N31)</f>
        <v>113601</v>
      </c>
      <c r="O38" s="35" t="n">
        <f aca="false">SUM(O10,O17,O24,O31)</f>
        <v>117407</v>
      </c>
      <c r="P38" s="13" t="n">
        <f aca="false">SUM(P10,P17,P24,P31)</f>
        <v>98567</v>
      </c>
      <c r="Q38" s="13" t="n">
        <f aca="false">SUM(Q10,Q17,Q24,Q31)</f>
        <v>125562</v>
      </c>
      <c r="R38" s="13" t="n">
        <f aca="false">SUM(R10,R17,R24,R31)</f>
        <v>112888</v>
      </c>
    </row>
    <row r="39" s="47" customFormat="true" ht="16.15" hidden="false" customHeight="true" outlineLevel="0" collapsed="false">
      <c r="A39" s="70"/>
      <c r="B39" s="69" t="s">
        <v>58</v>
      </c>
      <c r="C39" s="70" t="n">
        <f aca="false">IF(C37=0,"",C38/C37)</f>
        <v>0.11</v>
      </c>
      <c r="D39" s="70" t="n">
        <f aca="false">IF(D37=0,"",D38/D37)</f>
        <v>0.071</v>
      </c>
      <c r="E39" s="70" t="n">
        <f aca="false">IF(E37=0,"",E38/E37)</f>
        <v>0.094</v>
      </c>
      <c r="F39" s="69" t="n">
        <f aca="false">IF(F37=0,"",F38/F37)</f>
        <v>0.075</v>
      </c>
      <c r="G39" s="71" t="n">
        <f aca="false">IF(G37=0,"",G38/G37)</f>
        <v>0.108</v>
      </c>
      <c r="H39" s="70" t="n">
        <f aca="false">IF(H37=0,"",H38/H37)</f>
        <v>0.114</v>
      </c>
      <c r="I39" s="70" t="n">
        <f aca="false">IF(I37=0,"",I38/I37)</f>
        <v>0.112</v>
      </c>
      <c r="J39" s="69" t="n">
        <f aca="false">IF(J37=0,"",J38/J37)</f>
        <v>0.056</v>
      </c>
      <c r="K39" s="71" t="n">
        <f aca="false">IF(K37=0,"",K38/K37)</f>
        <v>0.099</v>
      </c>
      <c r="L39" s="70" t="n">
        <f aca="false">IF(L37=0,"",L38/L37)</f>
        <v>0.103</v>
      </c>
      <c r="M39" s="70" t="n">
        <f aca="false">IF(M37=0,"",M38/M37)</f>
        <v>0.134</v>
      </c>
      <c r="N39" s="70" t="n">
        <f aca="false">IF(N37=0,"",N38/N37)</f>
        <v>0.132</v>
      </c>
      <c r="O39" s="71" t="n">
        <f aca="false">IF(O37=0,"",O38/O37)</f>
        <v>0.16</v>
      </c>
      <c r="P39" s="70" t="n">
        <f aca="false">IF(P37=0,"",P38/P37)</f>
        <v>0.123</v>
      </c>
      <c r="Q39" s="70" t="n">
        <f aca="false">IF(Q37=0,"",Q38/Q37)</f>
        <v>0.164</v>
      </c>
      <c r="R39" s="70" t="n">
        <f aca="false">IF(R37=0,"",R38/R37)</f>
        <v>0.126</v>
      </c>
    </row>
    <row r="40" customFormat="false" ht="16.15" hidden="true" customHeight="true" outlineLevel="1" collapsed="false">
      <c r="C40" s="36"/>
      <c r="D40" s="36"/>
      <c r="E40" s="36"/>
      <c r="F40" s="36"/>
      <c r="G40" s="36"/>
      <c r="H40" s="36"/>
      <c r="I40" s="36"/>
      <c r="J40" s="36"/>
      <c r="K40" s="36"/>
      <c r="L40" s="36"/>
      <c r="O40" s="36"/>
      <c r="P40" s="36"/>
    </row>
    <row r="41" customFormat="false" ht="16.15" hidden="true" customHeight="true" outlineLevel="1" collapsed="false">
      <c r="C41" s="36"/>
      <c r="D41" s="36"/>
      <c r="E41" s="36"/>
      <c r="F41" s="36"/>
      <c r="G41" s="36"/>
      <c r="H41" s="36"/>
      <c r="I41" s="36"/>
      <c r="J41" s="36"/>
      <c r="K41" s="36"/>
      <c r="L41" s="36"/>
      <c r="O41" s="36"/>
      <c r="P41" s="36"/>
    </row>
    <row r="42" customFormat="false" ht="16.15" hidden="true" customHeight="true" outlineLevel="1" collapsed="false">
      <c r="A42" s="43"/>
      <c r="B42" s="43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</row>
    <row r="43" s="63" customFormat="true" ht="16.15" hidden="false" customHeight="true" outlineLevel="0" collapsed="false">
      <c r="A43" s="64" t="s">
        <v>50</v>
      </c>
      <c r="B43" s="63" t="s">
        <v>51</v>
      </c>
    </row>
    <row r="44" s="63" customFormat="true" ht="16.15" hidden="false" customHeight="true" outlineLevel="0" collapsed="false">
      <c r="A44" s="64" t="s">
        <v>50</v>
      </c>
      <c r="B44" s="63" t="s">
        <v>52</v>
      </c>
    </row>
    <row r="45" s="63" customFormat="true" ht="16.15" hidden="false" customHeight="true" outlineLevel="0" collapsed="false">
      <c r="A45" s="73"/>
    </row>
  </sheetData>
  <mergeCells count="4">
    <mergeCell ref="C2:F2"/>
    <mergeCell ref="G2:J2"/>
    <mergeCell ref="K2:N2"/>
    <mergeCell ref="O2:R2"/>
  </mergeCells>
  <printOptions headings="false" gridLines="false" gridLinesSet="true" horizontalCentered="false" verticalCentered="false"/>
  <pageMargins left="0.459722222222222" right="0.490277777777778" top="0.570138888888889" bottom="0.55" header="0.511811023622047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&amp;C-&amp;A-&amp;R&amp;16連結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1998-11-10T11:40:36Z</dcterms:created>
  <dc:creator>IR Promotion Div.</dc:creator>
  <dc:description/>
  <dc:language>en-US</dc:language>
  <cp:lastModifiedBy>30776</cp:lastModifiedBy>
  <cp:lastPrinted>2004-02-04T10:40:42Z</cp:lastPrinted>
  <dcterms:modified xsi:type="dcterms:W3CDTF">2004-02-18T07:03:48Z</dcterms:modified>
  <cp:revision>0</cp:revision>
  <dc:subject>For Investors</dc:subject>
  <dc:title>Canon Financial Data Book</dc:title>
</cp:coreProperties>
</file>