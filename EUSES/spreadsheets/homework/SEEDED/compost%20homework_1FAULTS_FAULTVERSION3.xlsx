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517E7F7F-CA45-4415-B7F5-1B32DFF712D7}" xr6:coauthVersionLast="47" xr6:coauthVersionMax="47" xr10:uidLastSave="{00000000-0000-0000-0000-000000000000}"/>
  <bookViews>
    <workbookView xWindow="780" yWindow="780" windowWidth="21600" windowHeight="11295" xr2:uid="{7D736F5C-7312-4DA4-8F41-20C1CF128067}"/>
  </bookViews>
  <sheets>
    <sheet name="Bulk compost" sheetId="1" r:id="rId1"/>
    <sheet name="Treatment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</calcChain>
</file>

<file path=xl/sharedStrings.xml><?xml version="1.0" encoding="utf-8"?>
<sst xmlns="http://schemas.openxmlformats.org/spreadsheetml/2006/main" count="16" uniqueCount="12">
  <si>
    <t>Day</t>
  </si>
  <si>
    <t>hour</t>
  </si>
  <si>
    <t>Group I</t>
  </si>
  <si>
    <t>Group II</t>
  </si>
  <si>
    <t>Group III</t>
  </si>
  <si>
    <t>Group IV</t>
  </si>
  <si>
    <t>Group V</t>
  </si>
  <si>
    <t>Ambient</t>
  </si>
  <si>
    <t xml:space="preserve">Days from </t>
  </si>
  <si>
    <t>start</t>
  </si>
  <si>
    <t>Days from</t>
  </si>
  <si>
    <t>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</si>
</sst>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1BF8-2785-4D18-9E22-74DCC491C77B}">
  <dimension ref="A1:F22"/>
  <sheetViews>
    <sheetView tabSelected="1" workbookViewId="0">
      <selection activeCell="F4" sqref="F4"/>
    </sheetView>
  </sheetViews>
  <sheetFormatPr baseColWidth="10" defaultRowHeight="12.75" x14ac:dyDescent="0.2"/>
  <cols>
    <col min="1" max="1" width="9.140625" customWidth="1"/>
    <col min="2" max="3" width="9.140625" style="1" customWidth="1"/>
    <col min="4" max="256" width="9.140625" customWidth="1"/>
  </cols>
  <sheetData>
    <row r="1" spans="1:6" x14ac:dyDescent="0.2">
      <c r="C1" s="1" t="s">
        <v>8</v>
      </c>
    </row>
    <row r="2" spans="1:6" x14ac:dyDescent="0.2">
      <c r="A2" t="s">
        <v>0</v>
      </c>
      <c r="B2" s="1" t="s">
        <v>1</v>
      </c>
      <c r="C2" s="1" t="s">
        <v>9</v>
      </c>
      <c r="D2" t="s">
        <v>11</v>
      </c>
      <c r="E2" t="s">
        <v>7</v>
      </c>
    </row>
    <row r="4" spans="1:6" x14ac:dyDescent="0.2">
      <c r="A4">
        <v>1</v>
      </c>
      <c r="B4" s="1">
        <v>11.5</v>
      </c>
      <c r="C4" s="1">
        <f t="shared" ref="C4:C18" si="0">A4+(B4/24)-1.48</f>
        <v>-8.3333333333324155E-4</v>
      </c>
      <c r="D4" s="2">
        <v>68.8</v>
      </c>
      <c r="E4" s="2">
        <v>72.099999999999994</v>
      </c>
      <c r="F4" s="2"/>
    </row>
    <row r="5" spans="1:6" x14ac:dyDescent="0.2">
      <c r="A5">
        <v>2</v>
      </c>
      <c r="B5" s="1">
        <v>10</v>
      </c>
      <c r="C5" s="1">
        <f t="shared" si="0"/>
        <v>0.93666666666666654</v>
      </c>
      <c r="D5" s="2">
        <v>101</v>
      </c>
      <c r="E5" s="2">
        <v>71.3</v>
      </c>
      <c r="F5" s="2"/>
    </row>
    <row r="6" spans="1:6" x14ac:dyDescent="0.2">
      <c r="A6">
        <v>2</v>
      </c>
      <c r="B6" s="1">
        <v>15.3</v>
      </c>
      <c r="C6" s="1">
        <f t="shared" si="0"/>
        <v>1.1575000000000002</v>
      </c>
      <c r="D6" s="2">
        <v>103.5</v>
      </c>
      <c r="E6" s="2">
        <v>70.7</v>
      </c>
      <c r="F6" s="2"/>
    </row>
    <row r="7" spans="1:6" x14ac:dyDescent="0.2">
      <c r="A7">
        <v>3</v>
      </c>
      <c r="B7" s="1">
        <v>11.17</v>
      </c>
      <c r="C7" s="1">
        <f t="shared" si="0"/>
        <v>1.9854166666666666</v>
      </c>
      <c r="D7" s="2">
        <v>101.3</v>
      </c>
      <c r="E7" s="2">
        <v>71</v>
      </c>
      <c r="F7" s="2"/>
    </row>
    <row r="8" spans="1:6" x14ac:dyDescent="0.2">
      <c r="A8">
        <v>6</v>
      </c>
      <c r="B8" s="1">
        <v>11</v>
      </c>
      <c r="C8" s="1">
        <f t="shared" si="0"/>
        <v>4.9783333333333335</v>
      </c>
      <c r="D8" s="2">
        <v>84.4</v>
      </c>
      <c r="E8" s="2">
        <v>71.5</v>
      </c>
      <c r="F8" s="2"/>
    </row>
    <row r="9" spans="1:6" x14ac:dyDescent="0.2">
      <c r="A9">
        <v>6</v>
      </c>
      <c r="B9" s="1">
        <v>13.75</v>
      </c>
      <c r="C9" s="1">
        <f t="shared" si="0"/>
        <v>5.0929166666666674</v>
      </c>
      <c r="D9" s="2">
        <v>81.5</v>
      </c>
      <c r="E9" s="2">
        <v>71.099999999999994</v>
      </c>
      <c r="F9" s="2"/>
    </row>
    <row r="10" spans="1:6" x14ac:dyDescent="0.2">
      <c r="A10">
        <v>7</v>
      </c>
      <c r="B10" s="1">
        <v>11.5</v>
      </c>
      <c r="C10" s="1">
        <f t="shared" si="0"/>
        <v>5.9991666666666674</v>
      </c>
      <c r="D10" s="2">
        <v>80.8</v>
      </c>
      <c r="E10" s="2">
        <v>71.5</v>
      </c>
      <c r="F10" s="2"/>
    </row>
    <row r="11" spans="1:6" x14ac:dyDescent="0.2">
      <c r="A11">
        <v>7</v>
      </c>
      <c r="B11" s="1">
        <v>15.1</v>
      </c>
      <c r="C11" s="1">
        <f t="shared" si="0"/>
        <v>6.149166666666666</v>
      </c>
      <c r="D11" s="2">
        <v>81.2</v>
      </c>
      <c r="E11" s="2">
        <v>71.5</v>
      </c>
      <c r="F11" s="2"/>
    </row>
    <row r="12" spans="1:6" x14ac:dyDescent="0.2">
      <c r="A12">
        <v>8</v>
      </c>
      <c r="B12" s="1">
        <v>9.67</v>
      </c>
      <c r="C12" s="1">
        <f t="shared" si="0"/>
        <v>6.9229166666666657</v>
      </c>
      <c r="D12" s="2">
        <v>80.099999999999994</v>
      </c>
      <c r="E12" s="2">
        <v>71.099999999999994</v>
      </c>
      <c r="F12" s="2"/>
    </row>
    <row r="13" spans="1:6" x14ac:dyDescent="0.2">
      <c r="A13">
        <v>8</v>
      </c>
      <c r="B13" s="1">
        <v>2.5</v>
      </c>
      <c r="C13" s="1">
        <f t="shared" si="0"/>
        <v>6.6241666666666656</v>
      </c>
      <c r="D13" s="2">
        <v>79.7</v>
      </c>
      <c r="E13" s="2">
        <v>70</v>
      </c>
      <c r="F13" s="2"/>
    </row>
    <row r="14" spans="1:6" x14ac:dyDescent="0.2">
      <c r="A14">
        <v>10</v>
      </c>
      <c r="B14" s="1">
        <v>9.5</v>
      </c>
      <c r="C14" s="1">
        <f t="shared" si="0"/>
        <v>8.9158333333333335</v>
      </c>
      <c r="D14" s="2">
        <v>78.7</v>
      </c>
      <c r="E14" s="2">
        <v>73.599999999999994</v>
      </c>
      <c r="F14" s="2"/>
    </row>
    <row r="15" spans="1:6" x14ac:dyDescent="0.2">
      <c r="A15">
        <v>13</v>
      </c>
      <c r="B15" s="1">
        <v>13.25</v>
      </c>
      <c r="C15" s="1">
        <f t="shared" si="0"/>
        <v>12.072083333333333</v>
      </c>
      <c r="D15" s="2">
        <v>73.3</v>
      </c>
      <c r="E15" s="2">
        <v>71.5</v>
      </c>
      <c r="F15" s="2"/>
    </row>
    <row r="16" spans="1:6" x14ac:dyDescent="0.2">
      <c r="A16">
        <v>13</v>
      </c>
      <c r="B16" s="1">
        <v>15.33</v>
      </c>
      <c r="C16" s="1">
        <f t="shared" si="0"/>
        <v>12.15875</v>
      </c>
      <c r="D16" s="2">
        <v>73.2</v>
      </c>
      <c r="E16" s="2">
        <v>71.3</v>
      </c>
      <c r="F16" s="2"/>
    </row>
    <row r="17" spans="1:6" x14ac:dyDescent="0.2">
      <c r="A17">
        <v>14</v>
      </c>
      <c r="B17" s="1">
        <v>10.199999999999999</v>
      </c>
      <c r="C17" s="1">
        <f t="shared" si="0"/>
        <v>12.945</v>
      </c>
      <c r="D17" s="2">
        <v>74.900000000000006</v>
      </c>
      <c r="E17" s="2">
        <v>72.2</v>
      </c>
      <c r="F17" s="2"/>
    </row>
    <row r="18" spans="1:6" x14ac:dyDescent="0.2">
      <c r="A18">
        <v>14</v>
      </c>
      <c r="B18" s="1">
        <v>15</v>
      </c>
      <c r="C18" s="1">
        <f t="shared" si="0"/>
        <v>13.145</v>
      </c>
      <c r="D18" s="2">
        <v>75.8</v>
      </c>
      <c r="E18" s="2">
        <v>70.7</v>
      </c>
      <c r="F18" s="2"/>
    </row>
    <row r="19" spans="1:6" x14ac:dyDescent="0.2">
      <c r="A19">
        <v>15</v>
      </c>
      <c r="B19" s="1">
        <v>12.75</v>
      </c>
      <c r="C19" s="1">
        <f>A19+(B19/24)-2.00188636389994</f>
        <v>13.529363636100062</v>
      </c>
      <c r="D19" s="2">
        <v>74.7</v>
      </c>
      <c r="E19" s="2">
        <v>70.900000000000006</v>
      </c>
      <c r="F19" s="2"/>
    </row>
    <row r="20" spans="1:6" x14ac:dyDescent="0.2">
      <c r="A20">
        <v>16</v>
      </c>
      <c r="B20" s="1">
        <v>12.7</v>
      </c>
      <c r="C20" s="1">
        <f>A20+(B20/24)-1.48</f>
        <v>15.049166666666665</v>
      </c>
      <c r="D20" s="2">
        <v>74.7</v>
      </c>
      <c r="E20" s="2">
        <v>71.5</v>
      </c>
      <c r="F20" s="2"/>
    </row>
    <row r="21" spans="1:6" x14ac:dyDescent="0.2">
      <c r="A21">
        <v>17</v>
      </c>
      <c r="B21" s="1">
        <v>12</v>
      </c>
      <c r="C21" s="1">
        <f>A21+(B21/24)-1.48</f>
        <v>16.02</v>
      </c>
      <c r="D21" s="2">
        <v>74</v>
      </c>
      <c r="E21" s="2">
        <v>70.7</v>
      </c>
      <c r="F21" s="2"/>
    </row>
    <row r="22" spans="1:6" x14ac:dyDescent="0.2">
      <c r="A22">
        <v>21</v>
      </c>
      <c r="B22" s="1">
        <v>9</v>
      </c>
      <c r="C22" s="1">
        <f>A22+(B22/24)-1.48</f>
        <v>19.895</v>
      </c>
      <c r="D22" s="2">
        <v>72.2</v>
      </c>
      <c r="E22" s="2">
        <v>71.3</v>
      </c>
      <c r="F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55E1-21C3-4CBA-82AB-90A97920DE8C}">
  <dimension ref="A1:N22"/>
  <sheetViews>
    <sheetView workbookViewId="0">
      <selection activeCell="J1" sqref="J1:N65536"/>
    </sheetView>
  </sheetViews>
  <sheetFormatPr baseColWidth="10" defaultRowHeight="12.75" x14ac:dyDescent="0.2"/>
  <cols>
    <col min="1" max="1" width="9.140625" customWidth="1"/>
    <col min="2" max="2" width="9.140625" style="1" customWidth="1"/>
    <col min="3" max="256" width="9.140625" customWidth="1"/>
  </cols>
  <sheetData>
    <row r="1" spans="1:14" x14ac:dyDescent="0.2">
      <c r="C1" t="s">
        <v>10</v>
      </c>
    </row>
    <row r="2" spans="1:14" x14ac:dyDescent="0.2">
      <c r="A2" t="s">
        <v>0</v>
      </c>
      <c r="B2" s="1" t="s">
        <v>1</v>
      </c>
      <c r="C2" t="s">
        <v>9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4" x14ac:dyDescent="0.2">
      <c r="A3">
        <v>1</v>
      </c>
      <c r="B3" s="1">
        <v>17</v>
      </c>
      <c r="C3" s="1">
        <f t="shared" ref="C3:C22" si="0">A3+(B3/24)-1.71</f>
        <v>-1.6666666666664831E-3</v>
      </c>
      <c r="D3" s="2">
        <v>72.900000000000006</v>
      </c>
      <c r="E3" s="2">
        <v>72.8</v>
      </c>
      <c r="F3" s="2">
        <v>72.900000000000006</v>
      </c>
      <c r="G3" s="2">
        <v>72.5</v>
      </c>
      <c r="H3" s="2">
        <v>72.5</v>
      </c>
      <c r="I3" s="2">
        <v>72</v>
      </c>
      <c r="J3" s="2"/>
      <c r="K3" s="2"/>
      <c r="L3" s="2"/>
      <c r="M3" s="2"/>
      <c r="N3" s="2"/>
    </row>
    <row r="4" spans="1:14" x14ac:dyDescent="0.2">
      <c r="A4">
        <v>2</v>
      </c>
      <c r="B4" s="1">
        <v>11.25</v>
      </c>
      <c r="C4" s="1">
        <f t="shared" si="0"/>
        <v>0.75875000000000004</v>
      </c>
      <c r="D4" s="2">
        <v>74</v>
      </c>
      <c r="E4" s="2">
        <v>74.5</v>
      </c>
      <c r="F4" s="2">
        <v>72</v>
      </c>
      <c r="G4" s="2">
        <v>70.400000000000006</v>
      </c>
      <c r="H4" s="2">
        <v>71.099999999999994</v>
      </c>
      <c r="I4" s="2">
        <v>71.099999999999994</v>
      </c>
      <c r="J4" s="2"/>
      <c r="K4" s="2"/>
      <c r="L4" s="2"/>
      <c r="M4" s="2"/>
      <c r="N4" s="2"/>
    </row>
    <row r="5" spans="1:14" x14ac:dyDescent="0.2">
      <c r="A5">
        <v>3</v>
      </c>
      <c r="B5" s="1">
        <v>10</v>
      </c>
      <c r="C5" s="1">
        <f t="shared" si="0"/>
        <v>1.7066666666666666</v>
      </c>
      <c r="D5" s="2">
        <v>76.7</v>
      </c>
      <c r="E5" s="2">
        <v>75.400000000000006</v>
      </c>
      <c r="F5" s="2">
        <v>72.900000000000006</v>
      </c>
      <c r="G5" s="2">
        <v>70.7</v>
      </c>
      <c r="H5" s="2">
        <v>70</v>
      </c>
      <c r="I5" s="2">
        <v>72</v>
      </c>
      <c r="J5" s="2"/>
      <c r="K5" s="2"/>
      <c r="L5" s="2"/>
      <c r="M5" s="2"/>
      <c r="N5" s="2"/>
    </row>
    <row r="6" spans="1:14" x14ac:dyDescent="0.2">
      <c r="A6">
        <v>3</v>
      </c>
      <c r="B6" s="1">
        <v>15.25</v>
      </c>
      <c r="C6" s="1">
        <f t="shared" si="0"/>
        <v>1.9254166666666666</v>
      </c>
      <c r="D6" s="2">
        <v>74.900000000000006</v>
      </c>
      <c r="E6" s="2">
        <v>75.099999999999994</v>
      </c>
      <c r="F6" s="2">
        <v>71.8</v>
      </c>
      <c r="G6" s="2">
        <v>71.5</v>
      </c>
      <c r="H6" s="2">
        <v>71.099999999999994</v>
      </c>
      <c r="I6" s="2">
        <v>70.7</v>
      </c>
      <c r="J6" s="2"/>
      <c r="K6" s="2"/>
      <c r="L6" s="2"/>
      <c r="M6" s="2"/>
      <c r="N6" s="2"/>
    </row>
    <row r="7" spans="1:14" x14ac:dyDescent="0.2">
      <c r="A7">
        <v>4</v>
      </c>
      <c r="B7" s="1">
        <v>11.2</v>
      </c>
      <c r="C7" s="1">
        <f t="shared" si="0"/>
        <v>2.7566666666666668</v>
      </c>
      <c r="D7" s="2">
        <v>76.099999999999994</v>
      </c>
      <c r="E7" s="2">
        <v>75.099999999999994</v>
      </c>
      <c r="F7" s="2">
        <v>72.900000000000006</v>
      </c>
      <c r="G7" s="2">
        <v>71.3</v>
      </c>
      <c r="H7" s="2">
        <v>70.7</v>
      </c>
      <c r="I7" s="2">
        <v>72.2</v>
      </c>
      <c r="J7" s="2"/>
      <c r="K7" s="2"/>
      <c r="L7" s="2"/>
      <c r="M7" s="2"/>
      <c r="N7" s="2"/>
    </row>
    <row r="8" spans="1:14" x14ac:dyDescent="0.2">
      <c r="A8">
        <v>6</v>
      </c>
      <c r="B8" s="1">
        <v>8.75</v>
      </c>
      <c r="C8" s="1">
        <f t="shared" si="0"/>
        <v>4.6545833333333331</v>
      </c>
      <c r="D8" s="2">
        <v>75.2</v>
      </c>
      <c r="E8" s="2">
        <v>75.8</v>
      </c>
      <c r="F8" s="2">
        <v>75.099999999999994</v>
      </c>
      <c r="G8" s="2">
        <v>71.5</v>
      </c>
      <c r="H8" s="2">
        <v>71.3</v>
      </c>
      <c r="I8" s="2">
        <v>72.5</v>
      </c>
      <c r="J8" s="2"/>
      <c r="K8" s="2"/>
      <c r="L8" s="2"/>
      <c r="M8" s="2"/>
      <c r="N8" s="2"/>
    </row>
    <row r="9" spans="1:14" x14ac:dyDescent="0.2">
      <c r="A9">
        <v>6</v>
      </c>
      <c r="B9" s="1">
        <v>11</v>
      </c>
      <c r="C9" s="1">
        <f t="shared" si="0"/>
        <v>4.7483333333333331</v>
      </c>
      <c r="D9" s="2">
        <v>77.2</v>
      </c>
      <c r="E9" s="2">
        <v>76.5</v>
      </c>
      <c r="F9" s="2">
        <v>75.099999999999994</v>
      </c>
      <c r="G9" s="2">
        <v>72.5</v>
      </c>
      <c r="H9" s="2">
        <v>72.400000000000006</v>
      </c>
      <c r="I9" s="2">
        <v>72.900000000000006</v>
      </c>
      <c r="J9" s="2"/>
      <c r="K9" s="2"/>
      <c r="L9" s="2"/>
      <c r="M9" s="2"/>
      <c r="N9" s="2"/>
    </row>
    <row r="10" spans="1:14" x14ac:dyDescent="0.2">
      <c r="A10">
        <v>6</v>
      </c>
      <c r="B10" s="1">
        <v>13.75</v>
      </c>
      <c r="C10" s="1">
        <f t="shared" si="0"/>
        <v>4.862916666666667</v>
      </c>
      <c r="D10" s="2">
        <v>75.400000000000006</v>
      </c>
      <c r="E10" s="2">
        <v>75.400000000000006</v>
      </c>
      <c r="F10" s="2">
        <v>73.599999999999994</v>
      </c>
      <c r="G10" s="2">
        <v>72</v>
      </c>
      <c r="H10" s="2">
        <v>71.5</v>
      </c>
      <c r="I10" s="2">
        <v>71.099999999999994</v>
      </c>
      <c r="J10" s="2"/>
      <c r="K10" s="2"/>
      <c r="L10" s="2"/>
      <c r="M10" s="2"/>
      <c r="N10" s="2"/>
    </row>
    <row r="11" spans="1:14" x14ac:dyDescent="0.2">
      <c r="A11">
        <v>7</v>
      </c>
      <c r="B11" s="1">
        <v>11.5</v>
      </c>
      <c r="C11" s="1">
        <f t="shared" si="0"/>
        <v>5.769166666666667</v>
      </c>
      <c r="D11" s="2">
        <v>75.8</v>
      </c>
      <c r="E11" s="2">
        <v>75.599999999999994</v>
      </c>
      <c r="F11" s="2">
        <v>73.599999999999994</v>
      </c>
      <c r="G11" s="2">
        <v>72</v>
      </c>
      <c r="H11" s="2">
        <v>71.599999999999994</v>
      </c>
      <c r="I11" s="2">
        <v>71.099999999999994</v>
      </c>
      <c r="J11" s="2"/>
      <c r="K11" s="2"/>
      <c r="L11" s="2"/>
      <c r="M11" s="2"/>
      <c r="N11" s="2"/>
    </row>
    <row r="12" spans="1:14" x14ac:dyDescent="0.2">
      <c r="A12">
        <v>7</v>
      </c>
      <c r="B12" s="1">
        <v>15.1</v>
      </c>
      <c r="C12" s="1">
        <f t="shared" si="0"/>
        <v>5.9191666666666665</v>
      </c>
      <c r="D12" s="2">
        <v>74.7</v>
      </c>
      <c r="E12" s="2">
        <v>75.400000000000006</v>
      </c>
      <c r="F12" s="2">
        <v>73.400000000000006</v>
      </c>
      <c r="G12" s="2">
        <v>72.2</v>
      </c>
      <c r="H12" s="2">
        <v>71.8</v>
      </c>
      <c r="I12" s="2">
        <v>71.5</v>
      </c>
      <c r="J12" s="2"/>
      <c r="K12" s="2"/>
      <c r="L12" s="2"/>
      <c r="M12" s="2"/>
      <c r="N12" s="2"/>
    </row>
    <row r="13" spans="1:14" x14ac:dyDescent="0.2">
      <c r="A13">
        <v>8</v>
      </c>
      <c r="B13" s="1">
        <v>9.75</v>
      </c>
      <c r="C13" s="1">
        <f t="shared" si="0"/>
        <v>6.69625</v>
      </c>
      <c r="D13" s="2">
        <v>72.900000000000006</v>
      </c>
      <c r="E13" s="2">
        <v>74</v>
      </c>
      <c r="F13" s="2">
        <v>72</v>
      </c>
      <c r="G13" s="2">
        <v>71.3</v>
      </c>
      <c r="H13" s="2">
        <v>71.5</v>
      </c>
      <c r="I13" s="2">
        <v>72.5</v>
      </c>
      <c r="J13" s="2"/>
      <c r="K13" s="2"/>
      <c r="L13" s="2"/>
      <c r="M13" s="2"/>
      <c r="N13" s="2"/>
    </row>
    <row r="14" spans="1:14" x14ac:dyDescent="0.2">
      <c r="A14">
        <v>8</v>
      </c>
      <c r="B14" s="1">
        <v>14.25</v>
      </c>
      <c r="C14" s="1">
        <f t="shared" si="0"/>
        <v>6.88375</v>
      </c>
      <c r="D14" s="2">
        <v>73.3</v>
      </c>
      <c r="E14" s="2">
        <v>74</v>
      </c>
      <c r="F14" s="2">
        <v>71.599999999999994</v>
      </c>
      <c r="G14" s="2">
        <v>70.900000000000006</v>
      </c>
      <c r="H14" s="2">
        <v>70.7</v>
      </c>
      <c r="I14" s="2">
        <v>70</v>
      </c>
      <c r="J14" s="2"/>
      <c r="K14" s="2"/>
      <c r="L14" s="2"/>
      <c r="M14" s="2"/>
      <c r="N14" s="2"/>
    </row>
    <row r="15" spans="1:14" x14ac:dyDescent="0.2">
      <c r="A15">
        <v>10</v>
      </c>
      <c r="B15" s="1">
        <v>9.75</v>
      </c>
      <c r="C15" s="1">
        <f t="shared" si="0"/>
        <v>8.6962499999999991</v>
      </c>
      <c r="D15" s="2">
        <v>77.2</v>
      </c>
      <c r="E15" s="2">
        <v>76.5</v>
      </c>
      <c r="F15" s="2">
        <v>75.099999999999994</v>
      </c>
      <c r="G15" s="2">
        <v>72.900000000000006</v>
      </c>
      <c r="H15" s="2">
        <v>72.900000000000006</v>
      </c>
      <c r="I15" s="2">
        <v>74.7</v>
      </c>
      <c r="J15" s="2"/>
      <c r="K15" s="2"/>
      <c r="L15" s="2"/>
      <c r="M15" s="2"/>
      <c r="N15" s="2"/>
    </row>
    <row r="16" spans="1:14" x14ac:dyDescent="0.2">
      <c r="A16">
        <v>13</v>
      </c>
      <c r="B16" s="1">
        <v>13.25</v>
      </c>
      <c r="C16" s="1">
        <f t="shared" si="0"/>
        <v>11.842083333333335</v>
      </c>
      <c r="D16" s="2">
        <v>75.2</v>
      </c>
      <c r="E16" s="2">
        <v>75.099999999999994</v>
      </c>
      <c r="F16" s="2">
        <v>72.900000000000006</v>
      </c>
      <c r="G16" s="2">
        <v>72</v>
      </c>
      <c r="H16" s="2">
        <v>71.5</v>
      </c>
      <c r="I16" s="2">
        <v>73.400000000000006</v>
      </c>
      <c r="J16" s="2"/>
      <c r="K16" s="2"/>
      <c r="L16" s="2"/>
      <c r="M16" s="2"/>
      <c r="N16" s="2"/>
    </row>
    <row r="17" spans="1:14" x14ac:dyDescent="0.2">
      <c r="A17">
        <v>14</v>
      </c>
      <c r="B17" s="1">
        <v>10.25</v>
      </c>
      <c r="C17" s="1">
        <f t="shared" si="0"/>
        <v>12.717083333333335</v>
      </c>
      <c r="D17" s="2">
        <v>77.2</v>
      </c>
      <c r="E17" s="2">
        <v>75.599999999999994</v>
      </c>
      <c r="F17" s="2">
        <v>74.3</v>
      </c>
      <c r="G17" s="2">
        <v>72.400000000000006</v>
      </c>
      <c r="H17" s="2">
        <v>72.2</v>
      </c>
      <c r="I17" s="2">
        <v>73.599999999999994</v>
      </c>
      <c r="J17" s="2"/>
      <c r="K17" s="2"/>
      <c r="L17" s="2"/>
      <c r="M17" s="2"/>
      <c r="N17" s="2"/>
    </row>
    <row r="18" spans="1:14" x14ac:dyDescent="0.2">
      <c r="A18">
        <v>14</v>
      </c>
      <c r="B18" s="1">
        <v>15</v>
      </c>
      <c r="C18" s="1">
        <f t="shared" si="0"/>
        <v>12.914999999999999</v>
      </c>
      <c r="D18" s="2">
        <v>74.3</v>
      </c>
      <c r="E18" s="2">
        <v>74.3</v>
      </c>
      <c r="F18" s="2">
        <v>72.2</v>
      </c>
      <c r="G18" s="2">
        <v>71.5</v>
      </c>
      <c r="H18" s="2">
        <v>71.099999999999994</v>
      </c>
      <c r="I18" s="2">
        <v>71.5</v>
      </c>
      <c r="J18" s="2"/>
      <c r="K18" s="2"/>
      <c r="L18" s="2"/>
      <c r="M18" s="2"/>
      <c r="N18" s="2"/>
    </row>
    <row r="19" spans="1:14" x14ac:dyDescent="0.2">
      <c r="A19">
        <v>15</v>
      </c>
      <c r="B19" s="1">
        <v>12.75</v>
      </c>
      <c r="C19" s="1">
        <f t="shared" si="0"/>
        <v>13.821249999999999</v>
      </c>
      <c r="D19" s="2">
        <v>74.7</v>
      </c>
      <c r="E19" s="2">
        <v>74</v>
      </c>
      <c r="F19" s="2">
        <v>72.400000000000006</v>
      </c>
      <c r="G19" s="2">
        <v>71.5</v>
      </c>
      <c r="H19" s="2">
        <v>71.5</v>
      </c>
      <c r="I19" s="2">
        <v>72</v>
      </c>
      <c r="J19" s="2"/>
      <c r="K19" s="2"/>
      <c r="L19" s="2"/>
      <c r="M19" s="2"/>
      <c r="N19" s="2"/>
    </row>
    <row r="20" spans="1:14" x14ac:dyDescent="0.2">
      <c r="A20">
        <v>16</v>
      </c>
      <c r="B20" s="1">
        <v>12.75</v>
      </c>
      <c r="C20" s="1">
        <f t="shared" si="0"/>
        <v>14.821249999999999</v>
      </c>
      <c r="D20" s="2">
        <v>75.099999999999994</v>
      </c>
      <c r="E20" s="2">
        <v>74.3</v>
      </c>
      <c r="F20" s="2">
        <v>72.7</v>
      </c>
      <c r="G20" s="2">
        <v>71.5</v>
      </c>
      <c r="H20" s="2">
        <v>71.5</v>
      </c>
      <c r="I20" s="2">
        <v>72</v>
      </c>
      <c r="J20" s="2"/>
      <c r="K20" s="2"/>
      <c r="L20" s="2"/>
      <c r="M20" s="2"/>
      <c r="N20" s="2"/>
    </row>
    <row r="21" spans="1:14" x14ac:dyDescent="0.2">
      <c r="A21">
        <v>17</v>
      </c>
      <c r="B21" s="1">
        <v>12.75</v>
      </c>
      <c r="C21" s="1">
        <f t="shared" si="0"/>
        <v>15.821249999999999</v>
      </c>
      <c r="D21" s="2">
        <v>75.8</v>
      </c>
      <c r="E21" s="2">
        <v>74.3</v>
      </c>
      <c r="F21" s="2">
        <v>72.900000000000006</v>
      </c>
      <c r="G21" s="2">
        <v>71.5</v>
      </c>
      <c r="H21" s="2">
        <v>71.099999999999994</v>
      </c>
      <c r="I21" s="2">
        <v>71.8</v>
      </c>
      <c r="J21" s="2"/>
      <c r="K21" s="2"/>
      <c r="L21" s="2"/>
      <c r="M21" s="2"/>
      <c r="N21" s="2"/>
    </row>
    <row r="22" spans="1:14" x14ac:dyDescent="0.2">
      <c r="A22">
        <v>21</v>
      </c>
      <c r="B22" s="1">
        <v>9</v>
      </c>
      <c r="C22" s="1">
        <f t="shared" si="0"/>
        <v>19.664999999999999</v>
      </c>
      <c r="D22" s="2">
        <v>71.599999999999994</v>
      </c>
      <c r="E22" s="2">
        <v>71.8</v>
      </c>
      <c r="F22" s="2">
        <v>71.5</v>
      </c>
      <c r="G22" s="2">
        <v>70.599999999999994</v>
      </c>
      <c r="H22" s="2">
        <v>70.7</v>
      </c>
      <c r="I22" s="2">
        <v>72.2</v>
      </c>
      <c r="J22" s="2"/>
      <c r="K22" s="2"/>
      <c r="L22" s="2"/>
      <c r="M22" s="2"/>
      <c r="N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6DAF-C774-445A-AE82-D0FE4D06B10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Bulk compost</vt:lpstr>
      <vt:lpstr>Treatments</vt:lpstr>
      <vt:lpstr>Sheet3</vt:lpstr>
    </vt:vector>
  </TitlesOfParts>
  <Company>University of Arkansas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Kaufmann Timon</cp:lastModifiedBy>
  <dcterms:created xsi:type="dcterms:W3CDTF">2004-03-18T20:29:05Z</dcterms:created>
  <dcterms:modified xsi:type="dcterms:W3CDTF">2026-03-11T23:05:50Z</dcterms:modified>
</cp:coreProperties>
</file>