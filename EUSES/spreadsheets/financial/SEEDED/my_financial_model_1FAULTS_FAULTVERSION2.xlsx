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" sheetId="1" state="visible" r:id="rId2"/>
    <sheet name="Balance Sheet" sheetId="2" state="visible" r:id="rId3"/>
    <sheet name="Cashflow" sheetId="3" state="visible" r:id="rId4"/>
    <sheet name="Depreciation" sheetId="4" state="visible" r:id="rId5"/>
    <sheet name="simple income" sheetId="5" state="visible" r:id="rId6"/>
    <sheet name="RoadMap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<sst xmlns="http://schemas.openxmlformats.org/spreadsheetml/2006/main" count="118" uniqueCount="94">
  <si>
    <t xml:space="preserve">My Lemonade Business (copyright Steven Saltman 2002)</t>
  </si>
  <si>
    <t xml:space="preserve">Stats</t>
  </si>
  <si>
    <t xml:space="preserve">Cups of Lemonade Produced</t>
  </si>
  <si>
    <t xml:space="preserve">Lemonade Price ($ per cup sold)</t>
  </si>
  <si>
    <t xml:space="preserve">Sugar (cups)</t>
  </si>
  <si>
    <t xml:space="preserve">Lemons (#)</t>
  </si>
  <si>
    <t xml:space="preserve">Lemon price ($ per lemon)</t>
  </si>
  <si>
    <t xml:space="preserve">Sugar price ($ per cup)</t>
  </si>
  <si>
    <t xml:space="preserve">Revenue</t>
  </si>
  <si>
    <t xml:space="preserve">Online Lemonade Sales</t>
  </si>
  <si>
    <t xml:space="preserve">Street Sales</t>
  </si>
  <si>
    <t xml:space="preserve">Total</t>
  </si>
  <si>
    <t xml:space="preserve">Annualized Basis</t>
  </si>
  <si>
    <t xml:space="preserve">COGS</t>
  </si>
  <si>
    <t xml:space="preserve">Lemons</t>
  </si>
  <si>
    <t xml:space="preserve">Sugar</t>
  </si>
  <si>
    <t xml:space="preserve">Gross Profit (monthly)</t>
  </si>
  <si>
    <t xml:space="preserve">Annual Basis</t>
  </si>
  <si>
    <t xml:space="preserve">FIXED</t>
  </si>
  <si>
    <t xml:space="preserve">General Manager</t>
  </si>
  <si>
    <t xml:space="preserve">Credit Card Services</t>
  </si>
  <si>
    <t xml:space="preserve">Web-hosting</t>
  </si>
  <si>
    <t xml:space="preserve">Advertising and Marketing</t>
  </si>
  <si>
    <t xml:space="preserve">Insurance</t>
  </si>
  <si>
    <t xml:space="preserve">Benefits</t>
  </si>
  <si>
    <t xml:space="preserve">Legal</t>
  </si>
  <si>
    <t xml:space="preserve">DEPREC.</t>
  </si>
  <si>
    <t xml:space="preserve">Net Profit (monthly)</t>
  </si>
  <si>
    <t xml:space="preserve">Inputs are in blue</t>
  </si>
  <si>
    <t xml:space="preserve">My Lemonade Business</t>
  </si>
  <si>
    <t xml:space="preserve">Year end</t>
  </si>
  <si>
    <t xml:space="preserve">Assets</t>
  </si>
  <si>
    <t xml:space="preserve">Current Assets</t>
  </si>
  <si>
    <t xml:space="preserve">Cash</t>
  </si>
  <si>
    <t xml:space="preserve">Lemon Inventory</t>
  </si>
  <si>
    <t xml:space="preserve">Long Term Assets</t>
  </si>
  <si>
    <t xml:space="preserve">Original Value</t>
  </si>
  <si>
    <t xml:space="preserve">Accumulated Depreciation</t>
  </si>
  <si>
    <t xml:space="preserve">Balance Sheet Value</t>
  </si>
  <si>
    <t xml:space="preserve">Total assets</t>
  </si>
  <si>
    <t xml:space="preserve">Liabilities</t>
  </si>
  <si>
    <t xml:space="preserve">Current Liabilities</t>
  </si>
  <si>
    <t xml:space="preserve">Lear Jet Finance Co.</t>
  </si>
  <si>
    <t xml:space="preserve">Total Liabilities</t>
  </si>
  <si>
    <t xml:space="preserve">Equity</t>
  </si>
  <si>
    <t xml:space="preserve">Initial Investment</t>
  </si>
  <si>
    <t xml:space="preserve">Retained Earnings</t>
  </si>
  <si>
    <t xml:space="preserve">Total Equity</t>
  </si>
  <si>
    <t xml:space="preserve">Equity+Liabilities</t>
  </si>
  <si>
    <t xml:space="preserve">Cash From Operations</t>
  </si>
  <si>
    <t xml:space="preserve">Depreciation</t>
  </si>
  <si>
    <t xml:space="preserve">Cash From Investments</t>
  </si>
  <si>
    <t xml:space="preserve">Cash From Financing</t>
  </si>
  <si>
    <t xml:space="preserve">Net Change In Cash</t>
  </si>
  <si>
    <t xml:space="preserve">Value at Beginning</t>
  </si>
  <si>
    <t xml:space="preserve">Value at End of Period</t>
  </si>
  <si>
    <t xml:space="preserve">Total Depreciation</t>
  </si>
  <si>
    <t xml:space="preserve">($s)</t>
  </si>
  <si>
    <t xml:space="preserve">(dollars)</t>
  </si>
  <si>
    <t xml:space="preserve">Lemonade Sales</t>
  </si>
  <si>
    <t xml:space="preserve">I</t>
  </si>
  <si>
    <t xml:space="preserve">Total Revenue</t>
  </si>
  <si>
    <t xml:space="preserve">II</t>
  </si>
  <si>
    <t xml:space="preserve">I-II</t>
  </si>
  <si>
    <t xml:space="preserve">III</t>
  </si>
  <si>
    <t xml:space="preserve">Consultant (mom)</t>
  </si>
  <si>
    <t xml:space="preserve">I-II-III</t>
  </si>
  <si>
    <t xml:space="preserve">Income</t>
  </si>
  <si>
    <t xml:space="preserve">Cashflow</t>
  </si>
  <si>
    <t xml:space="preserve">Balance Sheet</t>
  </si>
  <si>
    <t xml:space="preserve">Net Profit</t>
  </si>
  <si>
    <t xml:space="preserve">Short Term Assets</t>
  </si>
  <si>
    <t xml:space="preserve">Depreciation (-)</t>
  </si>
  <si>
    <t xml:space="preserve">Expenses</t>
  </si>
  <si>
    <t xml:space="preserve">Receivables</t>
  </si>
  <si>
    <t xml:space="preserve">Cash From Investing</t>
  </si>
  <si>
    <t xml:space="preserve">Investments Bought</t>
  </si>
  <si>
    <t xml:space="preserve">Long-Term Assets</t>
  </si>
  <si>
    <t xml:space="preserve">Investments Sold</t>
  </si>
  <si>
    <t xml:space="preserve">Investments</t>
  </si>
  <si>
    <t xml:space="preserve">Minus Accumulated Depreciation</t>
  </si>
  <si>
    <t xml:space="preserve">Long-term loans to others</t>
  </si>
  <si>
    <t xml:space="preserve">Loans you took out</t>
  </si>
  <si>
    <t xml:space="preserve">Loans you paid back</t>
  </si>
  <si>
    <t xml:space="preserve">Stock you sold</t>
  </si>
  <si>
    <t xml:space="preserve">Short-term Liabilities</t>
  </si>
  <si>
    <t xml:space="preserve">Stock you bought back</t>
  </si>
  <si>
    <t xml:space="preserve">Current portion of long-term debt</t>
  </si>
  <si>
    <t xml:space="preserve">Dividends you paid</t>
  </si>
  <si>
    <t xml:space="preserve">Long-term liabilities</t>
  </si>
  <si>
    <t xml:space="preserve">Debt</t>
  </si>
  <si>
    <t xml:space="preserve">Initial Equity</t>
  </si>
  <si>
    <t xml:space="preserve">Plus changes in equity</t>
  </si>
  <si>
    <t xml:space="preserve">Minus accumulated paid dividends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</si>
</sst>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(* #,##0_);_(* \(#,##0\);_(* \-??_);_(@_)"/>
    <numFmt numFmtId="167" formatCode="0%"/>
    <numFmt numFmtId="168" formatCode="0.00%"/>
    <numFmt numFmtId="169" formatCode="_(* #,##0.000_);_(* \(#,##0.000\);_(* \-??_);_(@_)"/>
    <numFmt numFmtId="170" formatCode="General"/>
    <numFmt numFmtId="171" formatCode="[$-409]mmm\-yy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 val="true"/>
      <i val="true"/>
      <sz val="10"/>
      <name val="Arial"/>
      <family val="2"/>
    </font>
    <font>
      <i val="true"/>
      <sz val="10"/>
      <name val="Arial"/>
      <family val="2"/>
    </font>
    <font>
      <b val="true"/>
      <sz val="10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694440</xdr:colOff>
      <xdr:row>4</xdr:row>
      <xdr:rowOff>114120</xdr:rowOff>
    </xdr:from>
    <xdr:to>
      <xdr:col>4</xdr:col>
      <xdr:colOff>220680</xdr:colOff>
      <xdr:row>10</xdr:row>
      <xdr:rowOff>47160</xdr:rowOff>
    </xdr:to>
    <xdr:sp>
      <xdr:nvSpPr>
        <xdr:cNvPr id="0" name="Line 2"/>
        <xdr:cNvSpPr/>
      </xdr:nvSpPr>
      <xdr:spPr>
        <a:xfrm flipV="1">
          <a:off x="894960" y="761760"/>
          <a:ext cx="983880" cy="90468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825120</xdr:colOff>
      <xdr:row>5</xdr:row>
      <xdr:rowOff>95040</xdr:rowOff>
    </xdr:from>
    <xdr:to>
      <xdr:col>4</xdr:col>
      <xdr:colOff>200880</xdr:colOff>
      <xdr:row>8</xdr:row>
      <xdr:rowOff>66240</xdr:rowOff>
    </xdr:to>
    <xdr:sp>
      <xdr:nvSpPr>
        <xdr:cNvPr id="1" name="Line 3"/>
        <xdr:cNvSpPr/>
      </xdr:nvSpPr>
      <xdr:spPr>
        <a:xfrm flipV="1">
          <a:off x="1025640" y="904680"/>
          <a:ext cx="833400" cy="45684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664560</xdr:colOff>
      <xdr:row>8</xdr:row>
      <xdr:rowOff>142920</xdr:rowOff>
    </xdr:from>
    <xdr:to>
      <xdr:col>8</xdr:col>
      <xdr:colOff>261720</xdr:colOff>
      <xdr:row>9</xdr:row>
      <xdr:rowOff>66600</xdr:rowOff>
    </xdr:to>
    <xdr:sp>
      <xdr:nvSpPr>
        <xdr:cNvPr id="2" name="Line 4"/>
        <xdr:cNvSpPr/>
      </xdr:nvSpPr>
      <xdr:spPr>
        <a:xfrm>
          <a:off x="3221640" y="1438200"/>
          <a:ext cx="754200" cy="8568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543600</xdr:colOff>
      <xdr:row>9</xdr:row>
      <xdr:rowOff>-360</xdr:rowOff>
    </xdr:from>
    <xdr:to>
      <xdr:col>6</xdr:col>
      <xdr:colOff>825840</xdr:colOff>
      <xdr:row>9</xdr:row>
      <xdr:rowOff>85680</xdr:rowOff>
    </xdr:to>
    <xdr:sp>
      <xdr:nvSpPr>
        <xdr:cNvPr id="3" name="Line 5"/>
        <xdr:cNvSpPr/>
      </xdr:nvSpPr>
      <xdr:spPr>
        <a:xfrm flipV="1">
          <a:off x="3100680" y="1456920"/>
          <a:ext cx="282240" cy="860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362520</xdr:colOff>
      <xdr:row>5</xdr:row>
      <xdr:rowOff>86040</xdr:rowOff>
    </xdr:from>
    <xdr:to>
      <xdr:col>8</xdr:col>
      <xdr:colOff>311760</xdr:colOff>
      <xdr:row>18</xdr:row>
      <xdr:rowOff>47520</xdr:rowOff>
    </xdr:to>
    <xdr:sp>
      <xdr:nvSpPr>
        <xdr:cNvPr id="4" name="Line 7"/>
        <xdr:cNvSpPr/>
      </xdr:nvSpPr>
      <xdr:spPr>
        <a:xfrm flipV="1">
          <a:off x="2919600" y="895680"/>
          <a:ext cx="1106280" cy="206640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613800</xdr:colOff>
      <xdr:row>13</xdr:row>
      <xdr:rowOff>9720</xdr:rowOff>
    </xdr:from>
    <xdr:to>
      <xdr:col>8</xdr:col>
      <xdr:colOff>321840</xdr:colOff>
      <xdr:row>18</xdr:row>
      <xdr:rowOff>66600</xdr:rowOff>
    </xdr:to>
    <xdr:sp>
      <xdr:nvSpPr>
        <xdr:cNvPr id="5" name="Line 8"/>
        <xdr:cNvSpPr/>
      </xdr:nvSpPr>
      <xdr:spPr>
        <a:xfrm>
          <a:off x="3170880" y="2114640"/>
          <a:ext cx="865080" cy="86652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352440</xdr:colOff>
      <xdr:row>14</xdr:row>
      <xdr:rowOff>114480</xdr:rowOff>
    </xdr:from>
    <xdr:to>
      <xdr:col>8</xdr:col>
      <xdr:colOff>261720</xdr:colOff>
      <xdr:row>21</xdr:row>
      <xdr:rowOff>95400</xdr:rowOff>
    </xdr:to>
    <xdr:sp>
      <xdr:nvSpPr>
        <xdr:cNvPr id="6" name="Line 9"/>
        <xdr:cNvSpPr/>
      </xdr:nvSpPr>
      <xdr:spPr>
        <a:xfrm>
          <a:off x="2909520" y="2381400"/>
          <a:ext cx="1066320" cy="111456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905400</xdr:colOff>
      <xdr:row>8</xdr:row>
      <xdr:rowOff>86040</xdr:rowOff>
    </xdr:from>
    <xdr:to>
      <xdr:col>8</xdr:col>
      <xdr:colOff>241560</xdr:colOff>
      <xdr:row>10</xdr:row>
      <xdr:rowOff>66240</xdr:rowOff>
    </xdr:to>
    <xdr:sp>
      <xdr:nvSpPr>
        <xdr:cNvPr id="7" name="Line 10"/>
        <xdr:cNvSpPr/>
      </xdr:nvSpPr>
      <xdr:spPr>
        <a:xfrm>
          <a:off x="1105920" y="1381320"/>
          <a:ext cx="2849760" cy="30420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3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8" activeCellId="0" sqref="E8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.85"/>
    <col collapsed="false" customWidth="true" hidden="false" outlineLevel="0" max="2" min="2" style="0" width="11.55"/>
    <col collapsed="false" customWidth="true" hidden="false" outlineLevel="0" max="3" min="3" style="0" width="28.38"/>
    <col collapsed="false" customWidth="true" hidden="false" outlineLevel="0" max="4" min="4" style="1" width="7.55"/>
    <col collapsed="false" customWidth="true" hidden="false" outlineLevel="0" max="5" min="5" style="2" width="12.27"/>
    <col collapsed="false" customWidth="true" hidden="false" outlineLevel="0" max="8" min="6" style="2" width="12.83"/>
    <col collapsed="false" customWidth="true" hidden="false" outlineLevel="0" max="9" min="9" style="2" width="13.27"/>
    <col collapsed="false" customWidth="true" hidden="false" outlineLevel="0" max="10" min="10" style="2" width="12.83"/>
    <col collapsed="false" customWidth="true" hidden="false" outlineLevel="0" max="12" min="11" style="2" width="13.27"/>
    <col collapsed="false" customWidth="true" hidden="false" outlineLevel="0" max="14" min="13" style="0" width="13.27"/>
    <col collapsed="false" customWidth="true" hidden="false" outlineLevel="0" max="15" min="15" style="0" width="12.55"/>
    <col collapsed="false" customWidth="true" hidden="false" outlineLevel="0" max="16" min="16" style="0" width="13.27"/>
  </cols>
  <sheetData>
    <row r="1" customFormat="false" ht="12.75" hidden="false" customHeight="false" outlineLevel="0" collapsed="false">
      <c r="B1" s="0" t="s">
        <v>0</v>
      </c>
    </row>
    <row r="2" customFormat="false" ht="13.5" hidden="false" customHeight="false" outlineLevel="0" collapsed="false">
      <c r="E2" s="3" t="n">
        <v>2002</v>
      </c>
      <c r="F2" s="3" t="n">
        <v>2003</v>
      </c>
      <c r="G2" s="3" t="n">
        <v>2004</v>
      </c>
      <c r="H2" s="3" t="n">
        <v>2005</v>
      </c>
      <c r="I2" s="3" t="n">
        <v>2006</v>
      </c>
      <c r="J2" s="3" t="n">
        <v>2007</v>
      </c>
      <c r="K2" s="3" t="n">
        <v>2008</v>
      </c>
      <c r="L2" s="3" t="n">
        <v>2009</v>
      </c>
      <c r="M2" s="3" t="n">
        <v>2010</v>
      </c>
      <c r="N2" s="3" t="n">
        <v>2011</v>
      </c>
      <c r="O2" s="3" t="n">
        <v>2012</v>
      </c>
      <c r="P2" s="3" t="n">
        <v>2013</v>
      </c>
    </row>
    <row r="3" customFormat="false" ht="12.75" hidden="false" customHeight="false" outlineLevel="0" collapsed="false">
      <c r="B3" s="4" t="s">
        <v>1</v>
      </c>
      <c r="C3" s="0" t="s">
        <v>2</v>
      </c>
      <c r="D3" s="5" t="n">
        <v>0.05</v>
      </c>
      <c r="E3" s="6" t="n">
        <v>200000</v>
      </c>
      <c r="F3" s="7" t="n">
        <f aca="false">E3*(1+$D$3)</f>
        <v>210000</v>
      </c>
      <c r="G3" s="7" t="n">
        <f aca="false">F3*(45+$D$3)</f>
        <v>9460500</v>
      </c>
      <c r="H3" s="7" t="n">
        <f aca="false">G3*(1+$D$3)</f>
        <v>9933525</v>
      </c>
      <c r="I3" s="7" t="n">
        <f aca="false">H3*(1+$D$3)</f>
        <v>10430201.25</v>
      </c>
      <c r="J3" s="7" t="n">
        <f aca="false">I3*(1+$D$3)</f>
        <v>10951711.3125</v>
      </c>
      <c r="K3" s="7" t="n">
        <f aca="false">J3*(1+$D$3)</f>
        <v>11499296.878125</v>
      </c>
      <c r="L3" s="7" t="n">
        <f aca="false">K3*(1+$D$3)</f>
        <v>12074261.7220313</v>
      </c>
      <c r="M3" s="7" t="n">
        <f aca="false">L3*(1+$D$3)</f>
        <v>12677974.8081328</v>
      </c>
      <c r="N3" s="7" t="n">
        <f aca="false">M3*(1+$D$3)</f>
        <v>13311873.5485395</v>
      </c>
      <c r="O3" s="7" t="n">
        <f aca="false">N3*(1+$D$3)</f>
        <v>13977467.2259664</v>
      </c>
      <c r="P3" s="7" t="n">
        <f aca="false">O3*(1+$D$3)</f>
        <v>14676340.5872648</v>
      </c>
    </row>
    <row r="4" customFormat="false" ht="12.75" hidden="false" customHeight="false" outlineLevel="0" collapsed="false">
      <c r="B4" s="4"/>
      <c r="C4" s="0" t="s">
        <v>3</v>
      </c>
      <c r="D4" s="8" t="n">
        <f aca="false">0.08/12</f>
        <v>0.00666666666666667</v>
      </c>
      <c r="E4" s="9" t="n">
        <v>4</v>
      </c>
      <c r="F4" s="10" t="n">
        <f aca="false">E4*(1+$D$4)</f>
        <v>4.02666666666667</v>
      </c>
      <c r="G4" s="10" t="n">
        <f aca="false">F4*(1+$D$4)</f>
        <v>4.05351111111111</v>
      </c>
      <c r="H4" s="10" t="n">
        <f aca="false">G4*(1+$D$4)</f>
        <v>4.08053451851852</v>
      </c>
      <c r="I4" s="10" t="n">
        <f aca="false">H4*(1+$D$4)</f>
        <v>4.10773808197531</v>
      </c>
      <c r="J4" s="10" t="n">
        <f aca="false">I4*(1+$D$4)</f>
        <v>4.13512300252181</v>
      </c>
      <c r="K4" s="10" t="n">
        <f aca="false">J4*(1+$D$4)</f>
        <v>4.16269048920529</v>
      </c>
      <c r="L4" s="10" t="n">
        <f aca="false">K4*(1+$D$4)</f>
        <v>4.19044175913332</v>
      </c>
      <c r="M4" s="10" t="n">
        <f aca="false">L4*(1+$D$4)</f>
        <v>4.21837803752755</v>
      </c>
      <c r="N4" s="10" t="n">
        <f aca="false">M4*(1+$D$4)</f>
        <v>4.24650055777773</v>
      </c>
      <c r="O4" s="10" t="n">
        <f aca="false">N4*(1+$D$4)</f>
        <v>4.27481056149625</v>
      </c>
      <c r="P4" s="10" t="n">
        <f aca="false">O4*(1+$D$4)</f>
        <v>4.30330929857289</v>
      </c>
    </row>
    <row r="5" customFormat="false" ht="12.75" hidden="false" customHeight="false" outlineLevel="0" collapsed="false">
      <c r="B5" s="4"/>
      <c r="C5" s="0" t="s">
        <v>4</v>
      </c>
      <c r="D5" s="9" t="n">
        <v>0.2</v>
      </c>
      <c r="E5" s="7" t="n">
        <f aca="false">E3*$D$5</f>
        <v>40000</v>
      </c>
      <c r="F5" s="7" t="n">
        <f aca="false">F3*$D$5</f>
        <v>42000</v>
      </c>
      <c r="G5" s="7" t="n">
        <f aca="false">G3*$D$5</f>
        <v>1892100</v>
      </c>
      <c r="H5" s="7" t="n">
        <f aca="false">H3*$D$5</f>
        <v>1986705</v>
      </c>
      <c r="I5" s="7" t="n">
        <f aca="false">I3*$D$5</f>
        <v>2086040.25</v>
      </c>
      <c r="J5" s="7" t="n">
        <f aca="false">J3*$D$5</f>
        <v>2190342.2625</v>
      </c>
      <c r="K5" s="7" t="n">
        <f aca="false">K3*$D$5</f>
        <v>2299859.375625</v>
      </c>
      <c r="L5" s="7" t="n">
        <f aca="false">L3*$D$5</f>
        <v>2414852.34440625</v>
      </c>
      <c r="M5" s="7" t="n">
        <f aca="false">M3*$D$5</f>
        <v>2535594.96162656</v>
      </c>
      <c r="N5" s="7" t="n">
        <f aca="false">N3*$D$5</f>
        <v>2662374.70970789</v>
      </c>
      <c r="O5" s="7" t="n">
        <f aca="false">O3*$D$5</f>
        <v>2795493.44519329</v>
      </c>
      <c r="P5" s="7" t="n">
        <f aca="false">P3*$D$5</f>
        <v>2935268.11745295</v>
      </c>
    </row>
    <row r="6" customFormat="false" ht="12.75" hidden="false" customHeight="false" outlineLevel="0" collapsed="false">
      <c r="B6" s="4"/>
      <c r="C6" s="0" t="s">
        <v>5</v>
      </c>
      <c r="D6" s="9" t="n">
        <v>1</v>
      </c>
      <c r="E6" s="2" t="n">
        <f aca="false">E3*$D$6</f>
        <v>200000</v>
      </c>
      <c r="F6" s="2" t="n">
        <f aca="false">F3*$D$6</f>
        <v>210000</v>
      </c>
      <c r="G6" s="2" t="n">
        <f aca="false">G3*$D$6</f>
        <v>9460500</v>
      </c>
      <c r="H6" s="2" t="n">
        <f aca="false">H3*$D$6</f>
        <v>9933525</v>
      </c>
      <c r="I6" s="2" t="n">
        <f aca="false">I3*$D$6</f>
        <v>10430201.25</v>
      </c>
      <c r="J6" s="2" t="n">
        <f aca="false">J3*$D$6</f>
        <v>10951711.3125</v>
      </c>
      <c r="K6" s="2" t="n">
        <f aca="false">K3*$D$6</f>
        <v>11499296.878125</v>
      </c>
      <c r="L6" s="2" t="n">
        <f aca="false">L3*$D$6</f>
        <v>12074261.7220313</v>
      </c>
      <c r="M6" s="2" t="n">
        <f aca="false">M3*$D$6</f>
        <v>12677974.8081328</v>
      </c>
      <c r="N6" s="2" t="n">
        <f aca="false">N3*$D$6</f>
        <v>13311873.5485395</v>
      </c>
      <c r="O6" s="2" t="n">
        <f aca="false">O3*$D$6</f>
        <v>13977467.2259664</v>
      </c>
      <c r="P6" s="2" t="n">
        <f aca="false">P3*$D$6</f>
        <v>14676340.5872648</v>
      </c>
    </row>
    <row r="7" s="11" customFormat="true" ht="12.75" hidden="false" customHeight="false" outlineLevel="0" collapsed="false">
      <c r="A7" s="0"/>
      <c r="B7" s="4"/>
      <c r="C7" s="11" t="s">
        <v>6</v>
      </c>
      <c r="D7" s="8" t="n">
        <f aca="false">0.08/12</f>
        <v>0.00666666666666667</v>
      </c>
      <c r="E7" s="12" t="n">
        <v>0.55</v>
      </c>
      <c r="F7" s="13" t="n">
        <f aca="false">E7*(1+$D$7)</f>
        <v>0.553666666666667</v>
      </c>
      <c r="G7" s="13" t="n">
        <f aca="false">F7*(1+$D$7)</f>
        <v>0.557357777777778</v>
      </c>
      <c r="H7" s="13" t="n">
        <f aca="false">G7*(1+$D$7)</f>
        <v>0.561073496296296</v>
      </c>
      <c r="I7" s="13" t="n">
        <f aca="false">H7*(1+$D$7)</f>
        <v>0.564813986271605</v>
      </c>
      <c r="J7" s="13" t="n">
        <f aca="false">I7*(1+$D$7)</f>
        <v>0.568579412846749</v>
      </c>
      <c r="K7" s="13" t="n">
        <f aca="false">J7*(1+$D$7)</f>
        <v>0.572369942265727</v>
      </c>
      <c r="L7" s="13" t="n">
        <f aca="false">K7*(1+$D$7)</f>
        <v>0.576185741880832</v>
      </c>
      <c r="M7" s="13" t="n">
        <f aca="false">L7*(1+$D$7)</f>
        <v>0.580026980160037</v>
      </c>
      <c r="N7" s="13" t="n">
        <f aca="false">M7*(1+$D$7)</f>
        <v>0.583893826694438</v>
      </c>
      <c r="O7" s="13" t="n">
        <f aca="false">N7*(1+$D$7)</f>
        <v>0.587786452205734</v>
      </c>
      <c r="P7" s="13" t="n">
        <f aca="false">O7*(1+$D$7)</f>
        <v>0.591705028553772</v>
      </c>
    </row>
    <row r="8" customFormat="false" ht="12.75" hidden="false" customHeight="false" outlineLevel="0" collapsed="false">
      <c r="B8" s="4"/>
      <c r="C8" s="0" t="s">
        <v>7</v>
      </c>
      <c r="D8" s="8" t="n">
        <f aca="false">0.08/12</f>
        <v>0.00666666666666667</v>
      </c>
      <c r="E8" s="12" t="n">
        <v>0.375</v>
      </c>
      <c r="F8" s="13" t="n">
        <f aca="false">E8*(1+$D$7)</f>
        <v>0.3775</v>
      </c>
      <c r="G8" s="13" t="n">
        <f aca="false">F8*(1+$D$7)</f>
        <v>0.380016666666667</v>
      </c>
      <c r="H8" s="13" t="n">
        <f aca="false">G8*(1+$D$7)</f>
        <v>0.382550111111111</v>
      </c>
      <c r="I8" s="13" t="n">
        <f aca="false">H8*(1+$D$7)</f>
        <v>0.385100445185185</v>
      </c>
      <c r="J8" s="13" t="n">
        <f aca="false">I8*(1+$D$7)</f>
        <v>0.38766778148642</v>
      </c>
      <c r="K8" s="13" t="n">
        <f aca="false">J8*(1+$D$7)</f>
        <v>0.390252233362996</v>
      </c>
      <c r="L8" s="13" t="n">
        <f aca="false">K8*(1+$D$7)</f>
        <v>0.392853914918749</v>
      </c>
      <c r="M8" s="13" t="n">
        <f aca="false">L8*(1+$D$7)</f>
        <v>0.395472941018207</v>
      </c>
      <c r="N8" s="13" t="n">
        <f aca="false">M8*(1+$D$7)</f>
        <v>0.398109427291662</v>
      </c>
      <c r="O8" s="13" t="n">
        <f aca="false">N8*(1+$D$7)</f>
        <v>0.400763490140273</v>
      </c>
      <c r="P8" s="13" t="n">
        <f aca="false">O8*(1+$D$7)</f>
        <v>0.403435246741208</v>
      </c>
    </row>
    <row r="9" customFormat="false" ht="12.75" hidden="false" customHeight="false" outlineLevel="0" collapsed="false">
      <c r="B9" s="4"/>
      <c r="M9" s="2"/>
      <c r="N9" s="2"/>
      <c r="O9" s="2"/>
      <c r="P9" s="2"/>
    </row>
    <row r="10" customFormat="false" ht="12.75" hidden="false" customHeight="false" outlineLevel="0" collapsed="false">
      <c r="B10" s="4" t="s">
        <v>8</v>
      </c>
      <c r="C10" s="0" t="s">
        <v>9</v>
      </c>
      <c r="D10" s="14" t="n">
        <v>0.4</v>
      </c>
      <c r="E10" s="2" t="n">
        <f aca="false">$D$10*E3*E4</f>
        <v>320000</v>
      </c>
      <c r="F10" s="2" t="n">
        <f aca="false">$D$10*F3*F4</f>
        <v>338240</v>
      </c>
      <c r="G10" s="2" t="n">
        <f aca="false">$D$10*G3*G4</f>
        <v>15339296.7466667</v>
      </c>
      <c r="H10" s="2" t="n">
        <f aca="false">$D$10*H3*H4</f>
        <v>16213636.6612267</v>
      </c>
      <c r="I10" s="2" t="n">
        <f aca="false">$D$10*I3*I4</f>
        <v>17137813.9509166</v>
      </c>
      <c r="J10" s="2" t="n">
        <f aca="false">$D$10*J3*J4</f>
        <v>18114669.3461188</v>
      </c>
      <c r="K10" s="2" t="n">
        <f aca="false">$D$10*K3*K4</f>
        <v>19147205.4988476</v>
      </c>
      <c r="L10" s="2" t="n">
        <f aca="false">$D$10*L3*L4</f>
        <v>20238596.2122819</v>
      </c>
      <c r="M10" s="2" t="n">
        <f aca="false">$D$10*M3*M4</f>
        <v>21392196.196382</v>
      </c>
      <c r="N10" s="2" t="n">
        <f aca="false">$D$10*N3*N4</f>
        <v>22611551.3795758</v>
      </c>
      <c r="O10" s="2" t="n">
        <f aca="false">$D$10*O3*O4</f>
        <v>23900409.8082116</v>
      </c>
      <c r="P10" s="2" t="n">
        <f aca="false">$D$10*P3*P4</f>
        <v>25262733.1672796</v>
      </c>
    </row>
    <row r="11" customFormat="false" ht="12.75" hidden="false" customHeight="false" outlineLevel="0" collapsed="false">
      <c r="A11" s="15"/>
      <c r="B11" s="4"/>
      <c r="C11" s="0" t="s">
        <v>10</v>
      </c>
      <c r="D11" s="16" t="n">
        <f aca="false">1-D10</f>
        <v>0.6</v>
      </c>
      <c r="E11" s="17" t="n">
        <f aca="false">E3*$D$11*E4</f>
        <v>480000</v>
      </c>
      <c r="F11" s="17" t="n">
        <f aca="false">F3*$D$11*F4</f>
        <v>507360</v>
      </c>
      <c r="G11" s="17" t="n">
        <f aca="false">G3*$D$11*G4</f>
        <v>23008945.12</v>
      </c>
      <c r="H11" s="17" t="n">
        <f aca="false">H3*$D$11*H4</f>
        <v>24320454.99184</v>
      </c>
      <c r="I11" s="17" t="n">
        <f aca="false">I3*$D$11*I4</f>
        <v>25706720.9263749</v>
      </c>
      <c r="J11" s="17" t="n">
        <f aca="false">J3*$D$11*J4</f>
        <v>27172004.0191782</v>
      </c>
      <c r="K11" s="17" t="n">
        <f aca="false">K3*$D$11*K4</f>
        <v>28720808.2482714</v>
      </c>
      <c r="L11" s="17" t="n">
        <f aca="false">L3*$D$11*L4</f>
        <v>30357894.3184229</v>
      </c>
      <c r="M11" s="17" t="n">
        <f aca="false">M3*$D$11*M4</f>
        <v>32088294.294573</v>
      </c>
      <c r="N11" s="17" t="n">
        <f aca="false">N3*$D$11*N4</f>
        <v>33917327.0693636</v>
      </c>
      <c r="O11" s="17" t="n">
        <f aca="false">O3*$D$11*O4</f>
        <v>35850614.7123174</v>
      </c>
      <c r="P11" s="17" t="n">
        <f aca="false">P3*$D$11*P4</f>
        <v>37894099.7509195</v>
      </c>
    </row>
    <row r="12" customFormat="false" ht="12.75" hidden="false" customHeight="false" outlineLevel="0" collapsed="false">
      <c r="C12" s="0" t="s">
        <v>11</v>
      </c>
      <c r="E12" s="2" t="n">
        <f aca="false">SUM(E10:E10)</f>
        <v>320000</v>
      </c>
      <c r="F12" s="2" t="n">
        <f aca="false">SUM(F10:F10)</f>
        <v>338240</v>
      </c>
      <c r="G12" s="2" t="n">
        <f aca="false">SUM(G10:G10)</f>
        <v>15339296.7466667</v>
      </c>
      <c r="H12" s="2" t="n">
        <f aca="false">SUM(H10:H10)</f>
        <v>16213636.6612267</v>
      </c>
      <c r="I12" s="2" t="n">
        <f aca="false">SUM(I10:I10)</f>
        <v>17137813.9509166</v>
      </c>
      <c r="J12" s="2" t="n">
        <f aca="false">SUM(J10:J10)</f>
        <v>18114669.3461188</v>
      </c>
      <c r="K12" s="2" t="n">
        <f aca="false">SUM(K10:K10)</f>
        <v>19147205.4988476</v>
      </c>
      <c r="L12" s="2" t="n">
        <f aca="false">SUM(L10:L10)</f>
        <v>20238596.2122819</v>
      </c>
      <c r="M12" s="2" t="n">
        <f aca="false">SUM(M10:M10)</f>
        <v>21392196.196382</v>
      </c>
      <c r="N12" s="2" t="n">
        <f aca="false">SUM(N10:N10)</f>
        <v>22611551.3795758</v>
      </c>
      <c r="O12" s="2" t="n">
        <f aca="false">SUM(O10:O10)</f>
        <v>23900409.8082116</v>
      </c>
      <c r="P12" s="2" t="n">
        <f aca="false">SUM(P10:P10)</f>
        <v>25262733.1672796</v>
      </c>
    </row>
    <row r="13" s="19" customFormat="true" ht="12.75" hidden="false" customHeight="false" outlineLevel="0" collapsed="false">
      <c r="A13" s="0"/>
      <c r="B13" s="18" t="s">
        <v>12</v>
      </c>
      <c r="D13" s="20"/>
      <c r="E13" s="21" t="n">
        <f aca="false">E12*12</f>
        <v>3840000</v>
      </c>
      <c r="F13" s="21" t="n">
        <f aca="false">F12*12</f>
        <v>4058880</v>
      </c>
      <c r="G13" s="21" t="n">
        <f aca="false">G12*12</f>
        <v>184071560.96</v>
      </c>
      <c r="H13" s="21" t="n">
        <f aca="false">H12*12</f>
        <v>194563639.93472</v>
      </c>
      <c r="I13" s="21" t="n">
        <f aca="false">I12*12</f>
        <v>205653767.410999</v>
      </c>
      <c r="J13" s="21" t="n">
        <f aca="false">J12*12</f>
        <v>217376032.153426</v>
      </c>
      <c r="K13" s="21" t="n">
        <f aca="false">K12*12</f>
        <v>229766465.986171</v>
      </c>
      <c r="L13" s="21" t="n">
        <f aca="false">L12*12</f>
        <v>242863154.547383</v>
      </c>
      <c r="M13" s="21" t="n">
        <f aca="false">M12*12</f>
        <v>256706354.356584</v>
      </c>
      <c r="N13" s="21" t="n">
        <f aca="false">N12*12</f>
        <v>271338616.554909</v>
      </c>
      <c r="O13" s="21" t="n">
        <f aca="false">O12*12</f>
        <v>286804917.698539</v>
      </c>
      <c r="P13" s="21" t="n">
        <f aca="false">P12*12</f>
        <v>303152798.007356</v>
      </c>
    </row>
    <row r="14" customFormat="false" ht="12.75" hidden="false" customHeight="false" outlineLevel="0" collapsed="false">
      <c r="B14" s="4"/>
      <c r="M14" s="2"/>
      <c r="N14" s="2"/>
      <c r="O14" s="2"/>
      <c r="P14" s="2"/>
    </row>
    <row r="15" customFormat="false" ht="12.75" hidden="false" customHeight="false" outlineLevel="0" collapsed="false">
      <c r="B15" s="4" t="s">
        <v>13</v>
      </c>
      <c r="C15" s="0" t="s">
        <v>14</v>
      </c>
      <c r="E15" s="7" t="n">
        <f aca="false">E6*E7</f>
        <v>110000</v>
      </c>
      <c r="F15" s="7" t="n">
        <f aca="false">F6*F7</f>
        <v>116270</v>
      </c>
      <c r="G15" s="7" t="n">
        <f aca="false">G6*G7</f>
        <v>5272883.25666667</v>
      </c>
      <c r="H15" s="7" t="n">
        <f aca="false">H6*H7</f>
        <v>5573437.60229667</v>
      </c>
      <c r="I15" s="7" t="n">
        <f aca="false">I6*I7</f>
        <v>5891123.54562758</v>
      </c>
      <c r="J15" s="7" t="n">
        <f aca="false">J6*J7</f>
        <v>6226917.58772835</v>
      </c>
      <c r="K15" s="7" t="n">
        <f aca="false">K6*K7</f>
        <v>6581851.89022886</v>
      </c>
      <c r="L15" s="7" t="n">
        <f aca="false">L6*L7</f>
        <v>6957017.44797191</v>
      </c>
      <c r="M15" s="7" t="n">
        <f aca="false">M6*M7</f>
        <v>7353567.44250631</v>
      </c>
      <c r="N15" s="7" t="n">
        <f aca="false">N6*N7</f>
        <v>7772720.78672916</v>
      </c>
      <c r="O15" s="7" t="n">
        <f aca="false">O6*O7</f>
        <v>8215765.87157273</v>
      </c>
      <c r="P15" s="7" t="n">
        <f aca="false">P6*P7</f>
        <v>8684064.52625237</v>
      </c>
    </row>
    <row r="16" customFormat="false" ht="12.75" hidden="false" customHeight="false" outlineLevel="0" collapsed="false">
      <c r="B16" s="4"/>
      <c r="C16" s="0" t="s">
        <v>15</v>
      </c>
      <c r="E16" s="22" t="n">
        <f aca="false">E8*E5</f>
        <v>15000</v>
      </c>
      <c r="F16" s="22" t="n">
        <f aca="false">F8*F5</f>
        <v>15855</v>
      </c>
      <c r="G16" s="22" t="n">
        <f aca="false">G8*G5</f>
        <v>719029.535</v>
      </c>
      <c r="H16" s="22" t="n">
        <f aca="false">H8*H5</f>
        <v>760014.218495</v>
      </c>
      <c r="I16" s="22" t="n">
        <f aca="false">I8*I5</f>
        <v>803335.028949215</v>
      </c>
      <c r="J16" s="22" t="n">
        <f aca="false">J8*J5</f>
        <v>849125.12559932</v>
      </c>
      <c r="K16" s="22" t="n">
        <f aca="false">K8*K5</f>
        <v>897525.257758481</v>
      </c>
      <c r="L16" s="22" t="n">
        <f aca="false">L8*L5</f>
        <v>948684.197450715</v>
      </c>
      <c r="M16" s="22" t="n">
        <f aca="false">M8*M5</f>
        <v>1002759.19670541</v>
      </c>
      <c r="N16" s="22" t="n">
        <f aca="false">N8*N5</f>
        <v>1059916.47091761</v>
      </c>
      <c r="O16" s="22" t="n">
        <f aca="false">O8*O5</f>
        <v>1120331.70975992</v>
      </c>
      <c r="P16" s="22" t="n">
        <f aca="false">P8*P5</f>
        <v>1184190.61721623</v>
      </c>
    </row>
    <row r="17" customFormat="false" ht="12.75" hidden="false" customHeight="false" outlineLevel="0" collapsed="false">
      <c r="B17" s="4"/>
      <c r="C17" s="0" t="s">
        <v>11</v>
      </c>
      <c r="E17" s="2" t="n">
        <f aca="false">SUM(E15:E16)</f>
        <v>125000</v>
      </c>
      <c r="F17" s="2" t="n">
        <f aca="false">SUM(F15:F16)</f>
        <v>132125</v>
      </c>
      <c r="G17" s="2" t="n">
        <f aca="false">SUM(G15:G16)</f>
        <v>5991912.79166667</v>
      </c>
      <c r="H17" s="2" t="n">
        <f aca="false">SUM(H15:H16)</f>
        <v>6333451.82079167</v>
      </c>
      <c r="I17" s="2" t="n">
        <f aca="false">SUM(I15:I16)</f>
        <v>6694458.57457679</v>
      </c>
      <c r="J17" s="2" t="n">
        <f aca="false">SUM(J15:J16)</f>
        <v>7076042.71332767</v>
      </c>
      <c r="K17" s="2" t="n">
        <f aca="false">SUM(K15:K16)</f>
        <v>7479377.14798734</v>
      </c>
      <c r="L17" s="2" t="n">
        <f aca="false">SUM(L15:L16)</f>
        <v>7905701.64542262</v>
      </c>
      <c r="M17" s="2" t="n">
        <f aca="false">SUM(M15:M16)</f>
        <v>8356326.63921171</v>
      </c>
      <c r="N17" s="2" t="n">
        <f aca="false">SUM(N15:N16)</f>
        <v>8832637.25764678</v>
      </c>
      <c r="O17" s="2" t="n">
        <f aca="false">SUM(O15:O16)</f>
        <v>9336097.58133265</v>
      </c>
      <c r="P17" s="2" t="n">
        <f aca="false">SUM(P15:P16)</f>
        <v>9868255.14346861</v>
      </c>
    </row>
    <row r="18" customFormat="false" ht="12.75" hidden="false" customHeight="false" outlineLevel="0" collapsed="false">
      <c r="B18" s="4"/>
      <c r="M18" s="2"/>
      <c r="N18" s="2"/>
      <c r="O18" s="2"/>
      <c r="P18" s="2"/>
    </row>
    <row r="19" customFormat="false" ht="12.75" hidden="false" customHeight="false" outlineLevel="0" collapsed="false">
      <c r="B19" s="23" t="s">
        <v>16</v>
      </c>
      <c r="C19" s="24"/>
      <c r="D19" s="25"/>
      <c r="E19" s="26" t="n">
        <f aca="false">E12-E17</f>
        <v>195000</v>
      </c>
      <c r="F19" s="26" t="n">
        <f aca="false">F12-F17</f>
        <v>206115</v>
      </c>
      <c r="G19" s="26" t="n">
        <f aca="false">G12-G17</f>
        <v>9347383.955</v>
      </c>
      <c r="H19" s="26" t="n">
        <f aca="false">H12-H17</f>
        <v>9880184.840435</v>
      </c>
      <c r="I19" s="26" t="n">
        <f aca="false">I12-I17</f>
        <v>10443355.3763398</v>
      </c>
      <c r="J19" s="26" t="n">
        <f aca="false">J12-J17</f>
        <v>11038626.6327912</v>
      </c>
      <c r="K19" s="26" t="n">
        <f aca="false">K12-K17</f>
        <v>11667828.3508603</v>
      </c>
      <c r="L19" s="26" t="n">
        <f aca="false">L12-L17</f>
        <v>12332894.5668593</v>
      </c>
      <c r="M19" s="26" t="n">
        <f aca="false">M12-M17</f>
        <v>13035869.5571703</v>
      </c>
      <c r="N19" s="26" t="n">
        <f aca="false">N12-N17</f>
        <v>13778914.121929</v>
      </c>
      <c r="O19" s="26" t="n">
        <f aca="false">O12-O17</f>
        <v>14564312.2268789</v>
      </c>
      <c r="P19" s="26" t="n">
        <f aca="false">P12-P17</f>
        <v>15394478.023811</v>
      </c>
    </row>
    <row r="20" s="19" customFormat="true" ht="12.75" hidden="false" customHeight="false" outlineLevel="0" collapsed="false">
      <c r="A20" s="0"/>
      <c r="B20" s="18" t="s">
        <v>17</v>
      </c>
      <c r="D20" s="20"/>
      <c r="E20" s="21" t="n">
        <f aca="false">E19*12</f>
        <v>2340000</v>
      </c>
      <c r="F20" s="21" t="n">
        <f aca="false">F19*12</f>
        <v>2473380</v>
      </c>
      <c r="G20" s="21" t="n">
        <f aca="false">G19*12</f>
        <v>112168607.46</v>
      </c>
      <c r="H20" s="21" t="n">
        <f aca="false">H19*12</f>
        <v>118562218.08522</v>
      </c>
      <c r="I20" s="21" t="n">
        <f aca="false">I19*12</f>
        <v>125320264.516078</v>
      </c>
      <c r="J20" s="21" t="n">
        <f aca="false">J19*12</f>
        <v>132463519.593494</v>
      </c>
      <c r="K20" s="21" t="n">
        <f aca="false">K19*12</f>
        <v>140013940.210323</v>
      </c>
      <c r="L20" s="21" t="n">
        <f aca="false">L19*12</f>
        <v>147994734.802312</v>
      </c>
      <c r="M20" s="21" t="n">
        <f aca="false">M19*12</f>
        <v>156430434.686043</v>
      </c>
      <c r="N20" s="21" t="n">
        <f aca="false">N19*12</f>
        <v>165346969.463148</v>
      </c>
      <c r="O20" s="21" t="n">
        <f aca="false">O19*12</f>
        <v>174771746.722547</v>
      </c>
      <c r="P20" s="21" t="n">
        <f aca="false">P19*12</f>
        <v>184733736.285732</v>
      </c>
    </row>
    <row r="21" customFormat="false" ht="12.75" hidden="false" customHeight="false" outlineLevel="0" collapsed="false">
      <c r="B21" s="4"/>
    </row>
    <row r="22" customFormat="false" ht="12.75" hidden="false" customHeight="false" outlineLevel="0" collapsed="false">
      <c r="B22" s="4" t="s">
        <v>18</v>
      </c>
      <c r="C22" s="0" t="s">
        <v>19</v>
      </c>
      <c r="E22" s="6" t="n">
        <v>7500</v>
      </c>
      <c r="F22" s="7" t="n">
        <f aca="false">E22</f>
        <v>7500</v>
      </c>
      <c r="G22" s="7" t="n">
        <f aca="false">F22</f>
        <v>7500</v>
      </c>
      <c r="H22" s="7" t="n">
        <f aca="false">G22</f>
        <v>7500</v>
      </c>
      <c r="I22" s="7" t="n">
        <f aca="false">H22</f>
        <v>7500</v>
      </c>
      <c r="J22" s="7" t="n">
        <f aca="false">I22</f>
        <v>7500</v>
      </c>
      <c r="K22" s="7" t="n">
        <f aca="false">J22</f>
        <v>7500</v>
      </c>
      <c r="L22" s="7" t="n">
        <f aca="false">K22</f>
        <v>7500</v>
      </c>
      <c r="M22" s="7" t="n">
        <f aca="false">L22</f>
        <v>7500</v>
      </c>
      <c r="N22" s="7" t="n">
        <f aca="false">M22</f>
        <v>7500</v>
      </c>
      <c r="O22" s="7" t="n">
        <f aca="false">N22</f>
        <v>7500</v>
      </c>
      <c r="P22" s="7" t="n">
        <f aca="false">O22</f>
        <v>7500</v>
      </c>
    </row>
    <row r="23" customFormat="false" ht="12.75" hidden="false" customHeight="false" outlineLevel="0" collapsed="false">
      <c r="B23" s="4"/>
      <c r="C23" s="0" t="s">
        <v>20</v>
      </c>
      <c r="E23" s="6" t="n">
        <v>75</v>
      </c>
      <c r="F23" s="2" t="n">
        <v>75</v>
      </c>
      <c r="G23" s="2" t="n">
        <v>75</v>
      </c>
      <c r="H23" s="2" t="n">
        <v>75</v>
      </c>
      <c r="I23" s="2" t="n">
        <v>75</v>
      </c>
      <c r="J23" s="2" t="n">
        <v>75</v>
      </c>
      <c r="K23" s="2" t="n">
        <v>75</v>
      </c>
      <c r="L23" s="2" t="n">
        <v>75</v>
      </c>
      <c r="M23" s="2" t="n">
        <v>75</v>
      </c>
      <c r="N23" s="2" t="n">
        <v>75</v>
      </c>
      <c r="O23" s="2" t="n">
        <v>75</v>
      </c>
      <c r="P23" s="2" t="n">
        <v>75</v>
      </c>
    </row>
    <row r="24" customFormat="false" ht="12.75" hidden="false" customHeight="false" outlineLevel="0" collapsed="false">
      <c r="B24" s="4"/>
      <c r="C24" s="0" t="s">
        <v>21</v>
      </c>
      <c r="D24" s="9" t="n">
        <v>500</v>
      </c>
      <c r="E24" s="2" t="n">
        <f aca="false">$D$24</f>
        <v>500</v>
      </c>
      <c r="F24" s="2" t="n">
        <f aca="false">$D$24</f>
        <v>500</v>
      </c>
      <c r="G24" s="2" t="n">
        <f aca="false">$D$24</f>
        <v>500</v>
      </c>
      <c r="H24" s="2" t="n">
        <f aca="false">$D$24</f>
        <v>500</v>
      </c>
      <c r="I24" s="2" t="n">
        <f aca="false">$D$24</f>
        <v>500</v>
      </c>
      <c r="J24" s="2" t="n">
        <f aca="false">$D$24</f>
        <v>500</v>
      </c>
      <c r="K24" s="2" t="n">
        <f aca="false">$D$24</f>
        <v>500</v>
      </c>
      <c r="L24" s="2" t="n">
        <f aca="false">$D$24</f>
        <v>500</v>
      </c>
      <c r="M24" s="2" t="n">
        <f aca="false">$D$24</f>
        <v>500</v>
      </c>
      <c r="N24" s="2" t="n">
        <f aca="false">$D$24</f>
        <v>500</v>
      </c>
      <c r="O24" s="2" t="n">
        <f aca="false">$D$24</f>
        <v>500</v>
      </c>
      <c r="P24" s="2" t="n">
        <f aca="false">$D$24</f>
        <v>500</v>
      </c>
    </row>
    <row r="25" customFormat="false" ht="12.75" hidden="false" customHeight="false" outlineLevel="0" collapsed="false">
      <c r="B25" s="4"/>
      <c r="C25" s="0" t="s">
        <v>22</v>
      </c>
      <c r="E25" s="6" t="n">
        <v>2500</v>
      </c>
      <c r="F25" s="6" t="n">
        <v>2500</v>
      </c>
      <c r="G25" s="6" t="n">
        <v>2500</v>
      </c>
      <c r="H25" s="6" t="n">
        <v>2500</v>
      </c>
      <c r="I25" s="2" t="n">
        <f aca="false">F25</f>
        <v>2500</v>
      </c>
      <c r="J25" s="2" t="n">
        <f aca="false">G25</f>
        <v>2500</v>
      </c>
      <c r="K25" s="2" t="n">
        <f aca="false">H25</f>
        <v>2500</v>
      </c>
      <c r="L25" s="2" t="n">
        <f aca="false">I25</f>
        <v>2500</v>
      </c>
      <c r="M25" s="2" t="n">
        <f aca="false">J25</f>
        <v>2500</v>
      </c>
      <c r="N25" s="2" t="n">
        <f aca="false">K25</f>
        <v>2500</v>
      </c>
      <c r="O25" s="2" t="n">
        <f aca="false">L25</f>
        <v>2500</v>
      </c>
      <c r="P25" s="2" t="n">
        <f aca="false">M25</f>
        <v>2500</v>
      </c>
    </row>
    <row r="26" customFormat="false" ht="12.75" hidden="false" customHeight="false" outlineLevel="0" collapsed="false">
      <c r="B26" s="4"/>
      <c r="C26" s="0" t="s">
        <v>23</v>
      </c>
      <c r="E26" s="6" t="n">
        <v>250</v>
      </c>
      <c r="F26" s="2" t="n">
        <v>250</v>
      </c>
      <c r="G26" s="2" t="n">
        <v>250</v>
      </c>
      <c r="H26" s="2" t="n">
        <v>250</v>
      </c>
      <c r="I26" s="2" t="n">
        <v>250</v>
      </c>
      <c r="J26" s="2" t="n">
        <v>250</v>
      </c>
      <c r="K26" s="2" t="n">
        <v>250</v>
      </c>
      <c r="L26" s="2" t="n">
        <v>250</v>
      </c>
      <c r="M26" s="2" t="n">
        <v>250</v>
      </c>
      <c r="N26" s="2" t="n">
        <v>250</v>
      </c>
      <c r="O26" s="2" t="n">
        <v>250</v>
      </c>
      <c r="P26" s="2" t="n">
        <v>250</v>
      </c>
    </row>
    <row r="27" customFormat="false" ht="12.75" hidden="false" customHeight="false" outlineLevel="0" collapsed="false">
      <c r="B27" s="4"/>
      <c r="C27" s="0" t="s">
        <v>24</v>
      </c>
      <c r="E27" s="6" t="n">
        <f aca="false">E22*0.25</f>
        <v>1875</v>
      </c>
      <c r="F27" s="7" t="n">
        <f aca="false">E27</f>
        <v>1875</v>
      </c>
      <c r="G27" s="7" t="n">
        <f aca="false">F27</f>
        <v>1875</v>
      </c>
      <c r="H27" s="7" t="n">
        <f aca="false">G27</f>
        <v>1875</v>
      </c>
      <c r="I27" s="7" t="n">
        <f aca="false">H27</f>
        <v>1875</v>
      </c>
      <c r="J27" s="7" t="n">
        <f aca="false">I27</f>
        <v>1875</v>
      </c>
      <c r="K27" s="7" t="n">
        <f aca="false">J27</f>
        <v>1875</v>
      </c>
      <c r="L27" s="7" t="n">
        <f aca="false">K27</f>
        <v>1875</v>
      </c>
      <c r="M27" s="7" t="n">
        <f aca="false">L27</f>
        <v>1875</v>
      </c>
      <c r="N27" s="7" t="n">
        <f aca="false">M27</f>
        <v>1875</v>
      </c>
      <c r="O27" s="7" t="n">
        <f aca="false">N27</f>
        <v>1875</v>
      </c>
      <c r="P27" s="7" t="n">
        <f aca="false">O27</f>
        <v>1875</v>
      </c>
    </row>
    <row r="28" customFormat="false" ht="12.75" hidden="false" customHeight="false" outlineLevel="0" collapsed="false">
      <c r="B28" s="4"/>
      <c r="C28" s="0" t="s">
        <v>25</v>
      </c>
      <c r="E28" s="27" t="n">
        <v>50000</v>
      </c>
      <c r="F28" s="22" t="n">
        <f aca="false">E28</f>
        <v>50000</v>
      </c>
      <c r="G28" s="22" t="n">
        <f aca="false">F28</f>
        <v>50000</v>
      </c>
      <c r="H28" s="22" t="n">
        <f aca="false">G28</f>
        <v>50000</v>
      </c>
      <c r="I28" s="22" t="n">
        <f aca="false">H28</f>
        <v>50000</v>
      </c>
      <c r="J28" s="22" t="n">
        <f aca="false">I28</f>
        <v>50000</v>
      </c>
      <c r="K28" s="22" t="n">
        <f aca="false">J28</f>
        <v>50000</v>
      </c>
      <c r="L28" s="22" t="n">
        <f aca="false">K28</f>
        <v>50000</v>
      </c>
      <c r="M28" s="22" t="n">
        <f aca="false">L28</f>
        <v>50000</v>
      </c>
      <c r="N28" s="22" t="n">
        <f aca="false">M28</f>
        <v>50000</v>
      </c>
      <c r="O28" s="22" t="n">
        <f aca="false">N28</f>
        <v>50000</v>
      </c>
      <c r="P28" s="22" t="n">
        <f aca="false">O28</f>
        <v>50000</v>
      </c>
    </row>
    <row r="29" customFormat="false" ht="12.75" hidden="false" customHeight="false" outlineLevel="0" collapsed="false">
      <c r="B29" s="4"/>
      <c r="E29" s="2" t="n">
        <f aca="false">SUM(E22:E28)</f>
        <v>62700</v>
      </c>
      <c r="F29" s="2" t="n">
        <f aca="false">SUM(F22:F28)</f>
        <v>62700</v>
      </c>
      <c r="G29" s="2" t="n">
        <f aca="false">SUM(G22:G28)</f>
        <v>62700</v>
      </c>
      <c r="H29" s="2" t="n">
        <f aca="false">SUM(H22:H28)</f>
        <v>62700</v>
      </c>
      <c r="I29" s="2" t="n">
        <f aca="false">SUM(I22:I28)</f>
        <v>62700</v>
      </c>
      <c r="J29" s="2" t="n">
        <f aca="false">SUM(J22:J28)</f>
        <v>62700</v>
      </c>
      <c r="K29" s="2" t="n">
        <f aca="false">SUM(K22:K28)</f>
        <v>62700</v>
      </c>
      <c r="L29" s="2" t="n">
        <f aca="false">SUM(L22:L28)</f>
        <v>62700</v>
      </c>
      <c r="M29" s="2" t="n">
        <f aca="false">SUM(M22:M28)</f>
        <v>62700</v>
      </c>
      <c r="N29" s="2" t="n">
        <f aca="false">SUM(N22:N28)</f>
        <v>62700</v>
      </c>
      <c r="O29" s="2" t="n">
        <f aca="false">SUM(O22:O28)</f>
        <v>62700</v>
      </c>
      <c r="P29" s="2" t="n">
        <f aca="false">SUM(P22:P28)</f>
        <v>62700</v>
      </c>
    </row>
    <row r="30" customFormat="false" ht="12.75" hidden="false" customHeight="false" outlineLevel="0" collapsed="false">
      <c r="B30" s="4"/>
      <c r="M30" s="2"/>
      <c r="N30" s="2"/>
      <c r="O30" s="2"/>
      <c r="P30" s="2"/>
    </row>
    <row r="31" customFormat="false" ht="12.75" hidden="false" customHeight="false" outlineLevel="0" collapsed="false">
      <c r="B31" s="4" t="s">
        <v>26</v>
      </c>
      <c r="E31" s="2" t="n">
        <f aca="false">Depreciation!E7</f>
        <v>142857.142857143</v>
      </c>
      <c r="F31" s="2" t="n">
        <f aca="false">Depreciation!F7</f>
        <v>142857.142857143</v>
      </c>
      <c r="G31" s="2" t="n">
        <f aca="false">Depreciation!G7</f>
        <v>142857.142857143</v>
      </c>
      <c r="H31" s="2" t="n">
        <f aca="false">Depreciation!H7</f>
        <v>142857.142857143</v>
      </c>
      <c r="I31" s="2" t="n">
        <f aca="false">Depreciation!I7</f>
        <v>142857.142857143</v>
      </c>
      <c r="J31" s="2" t="n">
        <f aca="false">Depreciation!J7</f>
        <v>142857.142857143</v>
      </c>
      <c r="K31" s="2" t="n">
        <f aca="false">Depreciation!K7</f>
        <v>142857.142857143</v>
      </c>
      <c r="L31" s="2" t="n">
        <f aca="false">Depreciation!L7</f>
        <v>0</v>
      </c>
      <c r="M31" s="2" t="n">
        <f aca="false">Depreciation!M7</f>
        <v>0</v>
      </c>
      <c r="N31" s="2" t="n">
        <f aca="false">Depreciation!N7</f>
        <v>0</v>
      </c>
      <c r="O31" s="2" t="n">
        <f aca="false">Depreciation!O7</f>
        <v>0</v>
      </c>
      <c r="P31" s="2" t="n">
        <f aca="false">Depreciation!P7</f>
        <v>0</v>
      </c>
    </row>
    <row r="32" customFormat="false" ht="12.75" hidden="false" customHeight="false" outlineLevel="0" collapsed="false">
      <c r="B32" s="4"/>
      <c r="M32" s="2"/>
      <c r="N32" s="2"/>
      <c r="O32" s="2"/>
      <c r="P32" s="2"/>
    </row>
    <row r="33" customFormat="false" ht="13.5" hidden="false" customHeight="false" outlineLevel="0" collapsed="false">
      <c r="B33" s="28" t="s">
        <v>27</v>
      </c>
      <c r="C33" s="29"/>
      <c r="D33" s="30"/>
      <c r="E33" s="31" t="n">
        <f aca="false">E19-E29-E31</f>
        <v>-10557.1428571429</v>
      </c>
      <c r="F33" s="31" t="n">
        <f aca="false">F19-F29-F31</f>
        <v>557.85714285713</v>
      </c>
      <c r="G33" s="31" t="n">
        <f aca="false">G19-G29-G31</f>
        <v>9141826.81214286</v>
      </c>
      <c r="H33" s="31" t="n">
        <f aca="false">H19-H29-H31</f>
        <v>9674627.69757785</v>
      </c>
      <c r="I33" s="31" t="n">
        <f aca="false">I19-I29-I31</f>
        <v>10237798.2334827</v>
      </c>
      <c r="J33" s="31" t="n">
        <f aca="false">J19-J29-J31</f>
        <v>10833069.489934</v>
      </c>
      <c r="K33" s="31" t="n">
        <f aca="false">K19-K29-K31</f>
        <v>11462271.2080031</v>
      </c>
      <c r="L33" s="31" t="n">
        <f aca="false">L19-L29-L31</f>
        <v>12270194.5668593</v>
      </c>
      <c r="M33" s="31" t="n">
        <f aca="false">M19-M29-M31</f>
        <v>12973169.5571703</v>
      </c>
      <c r="N33" s="31" t="n">
        <f aca="false">N19-N29-N31</f>
        <v>13716214.121929</v>
      </c>
      <c r="O33" s="31" t="n">
        <f aca="false">O19-O29-O31</f>
        <v>14501612.2268789</v>
      </c>
      <c r="P33" s="31" t="n">
        <f aca="false">P19-P29-P31</f>
        <v>15331778.023811</v>
      </c>
    </row>
    <row r="34" s="19" customFormat="true" ht="13.5" hidden="false" customHeight="false" outlineLevel="0" collapsed="false">
      <c r="A34" s="0"/>
      <c r="B34" s="18" t="s">
        <v>12</v>
      </c>
      <c r="D34" s="20"/>
      <c r="E34" s="21" t="n">
        <f aca="false">E33*12</f>
        <v>-126685.714285714</v>
      </c>
      <c r="F34" s="21" t="n">
        <f aca="false">F33*12</f>
        <v>6694.28571428557</v>
      </c>
      <c r="G34" s="21" t="n">
        <f aca="false">G33*12</f>
        <v>109701921.745714</v>
      </c>
      <c r="H34" s="21" t="n">
        <f aca="false">H33*12</f>
        <v>116095532.370934</v>
      </c>
      <c r="I34" s="21" t="n">
        <f aca="false">I33*12</f>
        <v>122853578.801792</v>
      </c>
      <c r="J34" s="21" t="n">
        <f aca="false">J33*12</f>
        <v>129996833.879208</v>
      </c>
      <c r="K34" s="21" t="n">
        <f aca="false">K33*12</f>
        <v>137547254.496037</v>
      </c>
      <c r="L34" s="21" t="n">
        <f aca="false">L33*12</f>
        <v>147242334.802312</v>
      </c>
      <c r="M34" s="21" t="n">
        <f aca="false">M33*12</f>
        <v>155678034.686043</v>
      </c>
      <c r="N34" s="21" t="n">
        <f aca="false">N33*12</f>
        <v>164594569.463148</v>
      </c>
      <c r="O34" s="21" t="n">
        <f aca="false">O33*12</f>
        <v>174019346.722547</v>
      </c>
      <c r="P34" s="21" t="n">
        <f aca="false">P33*12</f>
        <v>183981336.285732</v>
      </c>
    </row>
    <row r="35" customFormat="false" ht="12.75" hidden="false" customHeight="false" outlineLevel="0" collapsed="false"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customFormat="false" ht="12.75" hidden="false" customHeight="false" outlineLevel="0" collapsed="false">
      <c r="B36" s="32" t="s">
        <v>28</v>
      </c>
    </row>
    <row r="37" customFormat="false" ht="12.75" hidden="false" customHeight="false" outlineLevel="0" collapsed="false">
      <c r="B37" s="4"/>
      <c r="C37" s="1"/>
    </row>
    <row r="38" customFormat="false" ht="12.75" hidden="false" customHeight="false" outlineLevel="0" collapsed="false">
      <c r="C3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&amp;L(c) Steven Saltman&amp;RFebruary 2002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6" activeCellId="0" sqref="D26"/>
    </sheetView>
  </sheetViews>
  <sheetFormatPr defaultColWidth="9.0546875" defaultRowHeight="12.75" zeroHeight="false" outlineLevelRow="0" outlineLevelCol="0"/>
  <cols>
    <col collapsed="false" customWidth="true" hidden="false" outlineLevel="0" max="1" min="1" style="4" width="9.13"/>
    <col collapsed="false" customWidth="true" hidden="false" outlineLevel="0" max="3" min="2" style="0" width="17.12"/>
    <col collapsed="false" customWidth="true" hidden="false" outlineLevel="0" max="4" min="4" style="0" width="18.26"/>
    <col collapsed="false" customWidth="true" hidden="false" outlineLevel="0" max="5" min="5" style="0" width="12.27"/>
    <col collapsed="false" customWidth="true" hidden="false" outlineLevel="0" max="6" min="6" style="0" width="11.55"/>
    <col collapsed="false" customWidth="true" hidden="false" outlineLevel="0" max="12" min="7" style="0" width="11.98"/>
    <col collapsed="false" customWidth="true" hidden="false" outlineLevel="0" max="13" min="13" style="0" width="11.55"/>
    <col collapsed="false" customWidth="true" hidden="false" outlineLevel="0" max="15" min="14" style="0" width="11.98"/>
    <col collapsed="false" customWidth="true" hidden="false" outlineLevel="0" max="16" min="16" style="0" width="11.55"/>
  </cols>
  <sheetData>
    <row r="1" customFormat="false" ht="12.75" hidden="false" customHeight="false" outlineLevel="0" collapsed="false">
      <c r="C1" s="0" t="str">
        <f aca="false">Income!B1</f>
        <v>My Lemonade Business (copyright Steven Saltman 2002)</v>
      </c>
    </row>
    <row r="3" customFormat="false" ht="12.75" hidden="false" customHeight="false" outlineLevel="0" collapsed="false">
      <c r="A3" s="4" t="s">
        <v>29</v>
      </c>
      <c r="D3" s="1"/>
      <c r="E3" s="2" t="s">
        <v>30</v>
      </c>
      <c r="F3" s="2"/>
      <c r="G3" s="2"/>
      <c r="H3" s="2"/>
      <c r="I3" s="2"/>
      <c r="J3" s="2"/>
      <c r="K3" s="2"/>
      <c r="L3" s="2"/>
    </row>
    <row r="4" customFormat="false" ht="13.5" hidden="false" customHeight="false" outlineLevel="0" collapsed="false">
      <c r="D4" s="1"/>
      <c r="E4" s="33" t="n">
        <f aca="false">Income!E2</f>
        <v>2002</v>
      </c>
      <c r="F4" s="33" t="n">
        <f aca="false">Income!F2</f>
        <v>2003</v>
      </c>
      <c r="G4" s="33" t="n">
        <f aca="false">Income!G2</f>
        <v>2004</v>
      </c>
      <c r="H4" s="33" t="n">
        <f aca="false">Income!H2</f>
        <v>2005</v>
      </c>
      <c r="I4" s="33" t="n">
        <f aca="false">Income!I2</f>
        <v>2006</v>
      </c>
      <c r="J4" s="33" t="n">
        <f aca="false">Income!J2</f>
        <v>2007</v>
      </c>
      <c r="K4" s="33" t="n">
        <f aca="false">Income!K2</f>
        <v>2008</v>
      </c>
      <c r="L4" s="33" t="n">
        <f aca="false">Income!L2</f>
        <v>2009</v>
      </c>
      <c r="M4" s="33" t="n">
        <f aca="false">Income!M2</f>
        <v>2010</v>
      </c>
      <c r="N4" s="33" t="n">
        <f aca="false">Income!N2</f>
        <v>2011</v>
      </c>
      <c r="O4" s="33" t="n">
        <f aca="false">Income!O2</f>
        <v>2012</v>
      </c>
      <c r="P4" s="33" t="n">
        <f aca="false">Income!P2</f>
        <v>2013</v>
      </c>
    </row>
    <row r="5" customFormat="false" ht="12.75" hidden="false" customHeight="false" outlineLevel="0" collapsed="false"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2.75" hidden="false" customHeight="false" outlineLevel="0" collapsed="false">
      <c r="A6" s="4" t="s">
        <v>31</v>
      </c>
      <c r="B6" s="0" t="s">
        <v>32</v>
      </c>
      <c r="C6" s="0" t="s">
        <v>33</v>
      </c>
      <c r="E6" s="34" t="n">
        <f aca="false">Cashflow!D13</f>
        <v>1232300</v>
      </c>
      <c r="F6" s="34" t="n">
        <f aca="false">E6+Cashflow!E13</f>
        <v>1275715</v>
      </c>
      <c r="G6" s="34" t="n">
        <f aca="false">F6+Cashflow!F13</f>
        <v>10460398.955</v>
      </c>
      <c r="H6" s="34" t="n">
        <f aca="false">G6+Cashflow!G13</f>
        <v>20177883.795435</v>
      </c>
      <c r="I6" s="34" t="n">
        <f aca="false">H6+Cashflow!H13</f>
        <v>30458539.1717748</v>
      </c>
      <c r="J6" s="34" t="n">
        <f aca="false">I6+Cashflow!I13</f>
        <v>41334465.804566</v>
      </c>
      <c r="K6" s="34" t="n">
        <f aca="false">J6+Cashflow!J13</f>
        <v>52839594.1554262</v>
      </c>
      <c r="L6" s="34" t="n">
        <f aca="false">K6+Cashflow!K13</f>
        <v>65009788.7222855</v>
      </c>
      <c r="M6" s="34" t="n">
        <f aca="false">L6+Cashflow!L13</f>
        <v>77882958.2794558</v>
      </c>
      <c r="N6" s="34" t="n">
        <f aca="false">M6+Cashflow!M13</f>
        <v>91599172.4013848</v>
      </c>
      <c r="O6" s="34" t="n">
        <f aca="false">N6+Cashflow!N13</f>
        <v>106100784.628264</v>
      </c>
      <c r="P6" s="34" t="n">
        <f aca="false">O6+Cashflow!O13</f>
        <v>121432562.652075</v>
      </c>
    </row>
    <row r="7" customFormat="false" ht="12.75" hidden="false" customHeight="false" outlineLevel="0" collapsed="false">
      <c r="C7" s="0" t="s">
        <v>34</v>
      </c>
      <c r="E7" s="35" t="n">
        <v>0</v>
      </c>
      <c r="F7" s="34" t="n">
        <f aca="false">E7</f>
        <v>0</v>
      </c>
      <c r="G7" s="34" t="n">
        <f aca="false">F7</f>
        <v>0</v>
      </c>
      <c r="H7" s="34" t="n">
        <f aca="false">G7</f>
        <v>0</v>
      </c>
      <c r="I7" s="34" t="n">
        <f aca="false">H7</f>
        <v>0</v>
      </c>
      <c r="J7" s="34" t="n">
        <f aca="false">I7</f>
        <v>0</v>
      </c>
      <c r="K7" s="34" t="n">
        <f aca="false">J7</f>
        <v>0</v>
      </c>
      <c r="L7" s="34" t="n">
        <f aca="false">K7</f>
        <v>0</v>
      </c>
      <c r="M7" s="34" t="n">
        <f aca="false">L7</f>
        <v>0</v>
      </c>
      <c r="N7" s="34" t="n">
        <f aca="false">M7</f>
        <v>0</v>
      </c>
      <c r="O7" s="34" t="n">
        <f aca="false">N7</f>
        <v>0</v>
      </c>
      <c r="P7" s="34" t="n">
        <f aca="false">O7</f>
        <v>0</v>
      </c>
    </row>
    <row r="8" customFormat="false" ht="12.75" hidden="false" customHeight="false" outlineLevel="0" collapsed="false">
      <c r="B8" s="0" t="s">
        <v>35</v>
      </c>
      <c r="C8" s="0" t="s">
        <v>36</v>
      </c>
      <c r="D8" s="7" t="n">
        <f aca="false">D14</f>
        <v>1000000</v>
      </c>
      <c r="E8" s="34" t="n">
        <f aca="false">D8</f>
        <v>1000000</v>
      </c>
      <c r="F8" s="34" t="n">
        <f aca="false">E8</f>
        <v>1000000</v>
      </c>
      <c r="G8" s="34" t="n">
        <f aca="false">F8</f>
        <v>1000000</v>
      </c>
      <c r="H8" s="34" t="n">
        <f aca="false">G8</f>
        <v>1000000</v>
      </c>
      <c r="I8" s="34" t="n">
        <f aca="false">H8</f>
        <v>1000000</v>
      </c>
      <c r="J8" s="34" t="n">
        <f aca="false">I8</f>
        <v>1000000</v>
      </c>
      <c r="K8" s="34" t="n">
        <f aca="false">J8</f>
        <v>1000000</v>
      </c>
      <c r="L8" s="34" t="n">
        <f aca="false">K8</f>
        <v>1000000</v>
      </c>
      <c r="M8" s="34" t="n">
        <f aca="false">L8</f>
        <v>1000000</v>
      </c>
      <c r="N8" s="34" t="n">
        <f aca="false">M8</f>
        <v>1000000</v>
      </c>
      <c r="O8" s="34" t="n">
        <f aca="false">N8</f>
        <v>1000000</v>
      </c>
      <c r="P8" s="34" t="n">
        <f aca="false">O8</f>
        <v>1000000</v>
      </c>
    </row>
    <row r="9" customFormat="false" ht="12.75" hidden="false" customHeight="false" outlineLevel="0" collapsed="false">
      <c r="C9" s="0" t="s">
        <v>37</v>
      </c>
      <c r="D9" s="7"/>
      <c r="E9" s="36" t="n">
        <f aca="false">Depreciation!E7</f>
        <v>142857.142857143</v>
      </c>
      <c r="F9" s="36" t="n">
        <f aca="false">E9+Depreciation!F7</f>
        <v>285714.285714286</v>
      </c>
      <c r="G9" s="36" t="n">
        <f aca="false">F9+Depreciation!G7</f>
        <v>428571.428571429</v>
      </c>
      <c r="H9" s="36" t="n">
        <f aca="false">G9+Depreciation!H7</f>
        <v>571428.571428571</v>
      </c>
      <c r="I9" s="36" t="n">
        <f aca="false">H9+Depreciation!I7</f>
        <v>714285.714285714</v>
      </c>
      <c r="J9" s="36" t="n">
        <f aca="false">I9+Depreciation!J7</f>
        <v>857142.857142857</v>
      </c>
      <c r="K9" s="36" t="n">
        <f aca="false">J9+Depreciation!K7</f>
        <v>1000000</v>
      </c>
      <c r="L9" s="36" t="n">
        <f aca="false">K9+Depreciation!L7</f>
        <v>1000000</v>
      </c>
      <c r="M9" s="36" t="n">
        <f aca="false">L9+Depreciation!M7</f>
        <v>1000000</v>
      </c>
      <c r="N9" s="36" t="n">
        <f aca="false">M9+Depreciation!N7</f>
        <v>1000000</v>
      </c>
      <c r="O9" s="36" t="n">
        <f aca="false">N9+Depreciation!O7</f>
        <v>1000000</v>
      </c>
      <c r="P9" s="36" t="n">
        <f aca="false">O9+Depreciation!P7</f>
        <v>1000000</v>
      </c>
    </row>
    <row r="10" customFormat="false" ht="12.75" hidden="false" customHeight="false" outlineLevel="0" collapsed="false">
      <c r="C10" s="0" t="s">
        <v>38</v>
      </c>
      <c r="E10" s="37" t="n">
        <f aca="false">Depreciation!E8</f>
        <v>857142.857142857</v>
      </c>
      <c r="F10" s="37" t="n">
        <f aca="false">Depreciation!F8</f>
        <v>714285.714285714</v>
      </c>
      <c r="G10" s="37" t="n">
        <f aca="false">Depreciation!G8</f>
        <v>571428.571428571</v>
      </c>
      <c r="H10" s="37" t="n">
        <f aca="false">Depreciation!H8</f>
        <v>428571.428571429</v>
      </c>
      <c r="I10" s="37" t="n">
        <f aca="false">Depreciation!I8</f>
        <v>285714.285714286</v>
      </c>
      <c r="J10" s="37" t="n">
        <f aca="false">Depreciation!J8</f>
        <v>142857.142857143</v>
      </c>
      <c r="K10" s="37" t="n">
        <f aca="false">Depreciation!K8</f>
        <v>0</v>
      </c>
      <c r="L10" s="38" t="n">
        <f aca="false">Depreciation!L8</f>
        <v>0</v>
      </c>
      <c r="M10" s="38" t="n">
        <f aca="false">Depreciation!M8</f>
        <v>0</v>
      </c>
      <c r="N10" s="38" t="n">
        <f aca="false">Depreciation!N8</f>
        <v>0</v>
      </c>
      <c r="O10" s="38" t="n">
        <f aca="false">Depreciation!O8</f>
        <v>0</v>
      </c>
      <c r="P10" s="38" t="n">
        <f aca="false">Depreciation!P8</f>
        <v>0</v>
      </c>
    </row>
    <row r="11" s="4" customFormat="true" ht="12.75" hidden="false" customHeight="false" outlineLevel="0" collapsed="false">
      <c r="A11" s="4" t="s">
        <v>39</v>
      </c>
      <c r="E11" s="39" t="n">
        <f aca="false">E6+E7+E10</f>
        <v>2089442.85714286</v>
      </c>
      <c r="F11" s="39" t="n">
        <f aca="false">F6+F7+F10</f>
        <v>1990000.71428571</v>
      </c>
      <c r="G11" s="39" t="n">
        <f aca="false">G6+G7+G10</f>
        <v>11031827.5264286</v>
      </c>
      <c r="H11" s="39" t="n">
        <f aca="false">H6+H7+H10</f>
        <v>20606455.2240064</v>
      </c>
      <c r="I11" s="39" t="n">
        <f aca="false">I6+I7+I10</f>
        <v>30744253.4574891</v>
      </c>
      <c r="J11" s="39" t="n">
        <f aca="false">J6+J7+J10</f>
        <v>41477322.9474231</v>
      </c>
      <c r="K11" s="39" t="n">
        <f aca="false">K6+K7+K10</f>
        <v>52839594.1554262</v>
      </c>
      <c r="L11" s="39" t="n">
        <f aca="false">L6+L7+L10</f>
        <v>65009788.7222855</v>
      </c>
      <c r="M11" s="39" t="n">
        <f aca="false">M6+M7+M10</f>
        <v>77882958.2794558</v>
      </c>
      <c r="N11" s="39" t="n">
        <f aca="false">N6+N7+N10</f>
        <v>91599172.4013848</v>
      </c>
      <c r="O11" s="39" t="n">
        <f aca="false">O6+O7+O10</f>
        <v>106100784.628264</v>
      </c>
      <c r="P11" s="39" t="n">
        <f aca="false">P6+P7+P10</f>
        <v>121432562.652075</v>
      </c>
    </row>
    <row r="12" customFormat="false" ht="12.75" hidden="false" customHeight="false" outlineLevel="0" collapsed="false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2.75" hidden="false" customHeight="false" outlineLevel="0" collapsed="false">
      <c r="A13" s="4" t="s">
        <v>40</v>
      </c>
      <c r="B13" s="0" t="s">
        <v>41</v>
      </c>
    </row>
    <row r="14" customFormat="false" ht="12.75" hidden="false" customHeight="false" outlineLevel="0" collapsed="false">
      <c r="C14" s="0" t="s">
        <v>42</v>
      </c>
      <c r="D14" s="6" t="n">
        <v>1000000</v>
      </c>
      <c r="E14" s="17" t="n">
        <f aca="false">D14+Cashflow!E9</f>
        <v>900000</v>
      </c>
      <c r="F14" s="17" t="n">
        <f aca="false">E14+Cashflow!F9</f>
        <v>800000</v>
      </c>
      <c r="G14" s="17" t="n">
        <f aca="false">F14+Cashflow!G9</f>
        <v>700000</v>
      </c>
      <c r="H14" s="17" t="n">
        <f aca="false">G14+Cashflow!H9</f>
        <v>600000</v>
      </c>
      <c r="I14" s="17" t="n">
        <f aca="false">H14+Cashflow!I9</f>
        <v>500000</v>
      </c>
      <c r="J14" s="17" t="n">
        <f aca="false">I14+Cashflow!J9</f>
        <v>400000</v>
      </c>
      <c r="K14" s="17" t="n">
        <f aca="false">J14+Cashflow!K9</f>
        <v>300000</v>
      </c>
      <c r="L14" s="17" t="n">
        <f aca="false">K14+Cashflow!L9</f>
        <v>200000</v>
      </c>
      <c r="M14" s="17" t="n">
        <f aca="false">L14+Cashflow!M9</f>
        <v>200000</v>
      </c>
      <c r="N14" s="17" t="n">
        <f aca="false">M14+Cashflow!N9</f>
        <v>200000</v>
      </c>
      <c r="O14" s="17" t="n">
        <f aca="false">N14+Cashflow!O9</f>
        <v>200000</v>
      </c>
      <c r="P14" s="17" t="n">
        <f aca="false">O14+Cashflow!P9</f>
        <v>200000</v>
      </c>
    </row>
    <row r="15" customFormat="false" ht="12.75" hidden="false" customHeight="false" outlineLevel="0" collapsed="false">
      <c r="B15" s="0" t="s">
        <v>43</v>
      </c>
      <c r="E15" s="2" t="n">
        <f aca="false">SUM(E14:E14)</f>
        <v>900000</v>
      </c>
      <c r="F15" s="2" t="n">
        <f aca="false">SUM(F14:F14)</f>
        <v>800000</v>
      </c>
      <c r="G15" s="2" t="n">
        <f aca="false">SUM(G14:G14)</f>
        <v>700000</v>
      </c>
      <c r="H15" s="2" t="n">
        <f aca="false">SUM(H14:H14)</f>
        <v>600000</v>
      </c>
      <c r="I15" s="2" t="n">
        <f aca="false">SUM(I14:I14)</f>
        <v>500000</v>
      </c>
      <c r="J15" s="2" t="n">
        <f aca="false">SUM(J14:J14)</f>
        <v>400000</v>
      </c>
      <c r="K15" s="2" t="n">
        <f aca="false">SUM(K14:K14)</f>
        <v>300000</v>
      </c>
      <c r="L15" s="2" t="n">
        <f aca="false">SUM(L14:L14)</f>
        <v>200000</v>
      </c>
      <c r="M15" s="2" t="n">
        <f aca="false">SUM(M14:M14)</f>
        <v>200000</v>
      </c>
      <c r="N15" s="2" t="n">
        <f aca="false">SUM(N14:N14)</f>
        <v>200000</v>
      </c>
      <c r="O15" s="2" t="n">
        <f aca="false">SUM(O14:O14)</f>
        <v>200000</v>
      </c>
      <c r="P15" s="2" t="n">
        <f aca="false">SUM(P14:P14)</f>
        <v>200000</v>
      </c>
    </row>
    <row r="16" customFormat="false" ht="12.75" hidden="false" customHeight="false" outlineLevel="0" collapsed="false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2.75" hidden="false" customHeight="false" outlineLevel="0" collapsed="false">
      <c r="A17" s="4" t="s">
        <v>44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2.75" hidden="false" customHeight="false" outlineLevel="0" collapsed="false">
      <c r="B18" s="0" t="s">
        <v>45</v>
      </c>
      <c r="D18" s="6" t="n">
        <v>1200000</v>
      </c>
      <c r="E18" s="7" t="n">
        <f aca="false">D18</f>
        <v>1200000</v>
      </c>
      <c r="F18" s="7" t="n">
        <f aca="false">E18</f>
        <v>1200000</v>
      </c>
      <c r="G18" s="7" t="n">
        <f aca="false">F18</f>
        <v>1200000</v>
      </c>
      <c r="H18" s="7" t="n">
        <f aca="false">G18</f>
        <v>1200000</v>
      </c>
      <c r="I18" s="7" t="n">
        <f aca="false">H18</f>
        <v>1200000</v>
      </c>
      <c r="J18" s="7" t="n">
        <f aca="false">I18</f>
        <v>1200000</v>
      </c>
      <c r="K18" s="7" t="n">
        <f aca="false">J18</f>
        <v>1200000</v>
      </c>
      <c r="L18" s="7" t="n">
        <f aca="false">K18</f>
        <v>1200000</v>
      </c>
      <c r="M18" s="7" t="n">
        <f aca="false">L18</f>
        <v>1200000</v>
      </c>
      <c r="N18" s="7" t="n">
        <f aca="false">M18</f>
        <v>1200000</v>
      </c>
      <c r="O18" s="7" t="n">
        <f aca="false">N18</f>
        <v>1200000</v>
      </c>
      <c r="P18" s="7" t="n">
        <f aca="false">O18</f>
        <v>1200000</v>
      </c>
    </row>
    <row r="19" customFormat="false" ht="12.75" hidden="false" customHeight="false" outlineLevel="0" collapsed="false">
      <c r="B19" s="0" t="s">
        <v>46</v>
      </c>
      <c r="E19" s="17" t="n">
        <f aca="false">Income!E33</f>
        <v>-10557.1428571429</v>
      </c>
      <c r="F19" s="17" t="n">
        <f aca="false">Income!F33+E19</f>
        <v>-9999.28571428574</v>
      </c>
      <c r="G19" s="17" t="n">
        <f aca="false">Income!G33+F19</f>
        <v>9131827.52642857</v>
      </c>
      <c r="H19" s="17" t="n">
        <f aca="false">Income!H33+G19</f>
        <v>18806455.2240064</v>
      </c>
      <c r="I19" s="17" t="n">
        <f aca="false">Income!I33+H19</f>
        <v>29044253.4574891</v>
      </c>
      <c r="J19" s="17" t="n">
        <f aca="false">Income!J33+I19</f>
        <v>39877322.9474231</v>
      </c>
      <c r="K19" s="17" t="n">
        <f aca="false">Income!K33+J19</f>
        <v>51339594.1554262</v>
      </c>
      <c r="L19" s="17" t="n">
        <f aca="false">Income!L33+K19</f>
        <v>63609788.7222855</v>
      </c>
      <c r="M19" s="17" t="n">
        <f aca="false">Income!M33+L19</f>
        <v>76582958.2794558</v>
      </c>
      <c r="N19" s="17" t="n">
        <f aca="false">Income!N33+M19</f>
        <v>90299172.4013848</v>
      </c>
      <c r="O19" s="17" t="n">
        <f aca="false">Income!O33+N19</f>
        <v>104800784.628264</v>
      </c>
      <c r="P19" s="17" t="n">
        <f aca="false">Income!P33+O19</f>
        <v>120132562.652075</v>
      </c>
    </row>
    <row r="20" customFormat="false" ht="12.75" hidden="false" customHeight="false" outlineLevel="0" collapsed="false">
      <c r="B20" s="0" t="s">
        <v>47</v>
      </c>
      <c r="E20" s="2" t="n">
        <f aca="false">SUM(E17:E19)</f>
        <v>1189442.85714286</v>
      </c>
      <c r="F20" s="2" t="n">
        <f aca="false">SUM(F17:F19)</f>
        <v>1190000.71428571</v>
      </c>
      <c r="G20" s="2" t="n">
        <f aca="false">SUM(G17:G19)</f>
        <v>10331827.5264286</v>
      </c>
      <c r="H20" s="2" t="n">
        <f aca="false">SUM(H17:H19)</f>
        <v>20006455.2240064</v>
      </c>
      <c r="I20" s="2" t="n">
        <f aca="false">SUM(I17:I19)</f>
        <v>30244253.4574891</v>
      </c>
      <c r="J20" s="2" t="n">
        <f aca="false">SUM(J17:J19)</f>
        <v>41077322.9474231</v>
      </c>
      <c r="K20" s="2" t="n">
        <f aca="false">SUM(K17:K19)</f>
        <v>52539594.1554262</v>
      </c>
      <c r="L20" s="2" t="n">
        <f aca="false">SUM(L17:L19)</f>
        <v>64809788.7222855</v>
      </c>
      <c r="M20" s="2" t="n">
        <f aca="false">SUM(M17:M19)</f>
        <v>77782958.2794558</v>
      </c>
      <c r="N20" s="2" t="n">
        <f aca="false">SUM(N17:N19)</f>
        <v>91499172.4013848</v>
      </c>
      <c r="O20" s="2" t="n">
        <f aca="false">SUM(O17:O19)</f>
        <v>106000784.628264</v>
      </c>
      <c r="P20" s="2" t="n">
        <f aca="false">SUM(P17:P19)</f>
        <v>121332562.652075</v>
      </c>
    </row>
    <row r="21" customFormat="false" ht="12.75" hidden="false" customHeight="false" outlineLevel="0" collapsed="false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="4" customFormat="true" ht="12.75" hidden="false" customHeight="false" outlineLevel="0" collapsed="false">
      <c r="A22" s="4" t="s">
        <v>48</v>
      </c>
      <c r="E22" s="40" t="n">
        <f aca="false">E15+E20</f>
        <v>2089442.85714286</v>
      </c>
      <c r="F22" s="40" t="n">
        <f aca="false">F15+F20</f>
        <v>1990000.71428571</v>
      </c>
      <c r="G22" s="40" t="n">
        <f aca="false">G15+G20</f>
        <v>11031827.5264286</v>
      </c>
      <c r="H22" s="40" t="n">
        <f aca="false">H15+H20</f>
        <v>20606455.2240064</v>
      </c>
      <c r="I22" s="40" t="n">
        <f aca="false">I15+I20</f>
        <v>30744253.4574891</v>
      </c>
      <c r="J22" s="40" t="n">
        <f aca="false">J15+J20</f>
        <v>41477322.9474231</v>
      </c>
      <c r="K22" s="40" t="n">
        <f aca="false">K15+K20</f>
        <v>52839594.1554262</v>
      </c>
      <c r="L22" s="40" t="n">
        <f aca="false">L15+L20</f>
        <v>65009788.7222855</v>
      </c>
      <c r="M22" s="40" t="n">
        <f aca="false">M15+M20</f>
        <v>77982958.2794558</v>
      </c>
      <c r="N22" s="40" t="n">
        <f aca="false">N15+N20</f>
        <v>91699172.4013848</v>
      </c>
      <c r="O22" s="40" t="n">
        <f aca="false">O15+O20</f>
        <v>106200784.628264</v>
      </c>
      <c r="P22" s="40" t="n">
        <f aca="false">P15+P20</f>
        <v>121532562.652075</v>
      </c>
    </row>
    <row r="23" customFormat="false" ht="12.75" hidden="false" customHeight="false" outlineLevel="0" collapsed="false"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2.75" hidden="false" customHeight="false" outlineLevel="0" collapsed="false"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2.75" hidden="false" customHeight="false" outlineLevel="0" collapsed="false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12.75" hidden="false" customHeight="false" outlineLevel="0" collapsed="false"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12.75" hidden="false" customHeight="false" outlineLevel="0" collapsed="false"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12.75" hidden="false" customHeight="false" outlineLevel="0" collapsed="false"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&amp;L(c) Steven Saltman&amp;RFebruary 2002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" activeCellId="0" sqref="A2"/>
    </sheetView>
  </sheetViews>
  <sheetFormatPr defaultColWidth="9.0546875" defaultRowHeight="12.75" zeroHeight="false" outlineLevelRow="0" outlineLevelCol="0"/>
  <cols>
    <col collapsed="false" customWidth="true" hidden="false" outlineLevel="0" max="2" min="2" style="0" width="12.55"/>
    <col collapsed="false" customWidth="true" hidden="false" outlineLevel="0" max="4" min="4" style="0" width="11.84"/>
    <col collapsed="false" customWidth="true" hidden="false" outlineLevel="0" max="6" min="5" style="0" width="10.98"/>
    <col collapsed="false" customWidth="true" hidden="false" outlineLevel="0" max="9" min="7" style="0" width="9.98"/>
    <col collapsed="false" customWidth="true" hidden="false" outlineLevel="0" max="15" min="10" style="0" width="10.4"/>
  </cols>
  <sheetData>
    <row r="1" customFormat="false" ht="12.75" hidden="false" customHeight="false" outlineLevel="0" collapsed="false">
      <c r="A1" s="0" t="str">
        <f aca="false">Income!B1</f>
        <v>My Lemonade Business (copyright Steven Saltman 2002)</v>
      </c>
    </row>
    <row r="3" customFormat="false" ht="12.75" hidden="false" customHeight="false" outlineLevel="0" collapsed="false">
      <c r="C3" s="1"/>
      <c r="D3" s="2"/>
      <c r="E3" s="2"/>
      <c r="F3" s="2"/>
      <c r="G3" s="2"/>
      <c r="H3" s="2"/>
      <c r="I3" s="2"/>
      <c r="J3" s="2"/>
      <c r="K3" s="2"/>
    </row>
    <row r="4" customFormat="false" ht="13.5" hidden="false" customHeight="false" outlineLevel="0" collapsed="false">
      <c r="C4" s="1"/>
      <c r="D4" s="33" t="n">
        <f aca="false">Income!E2</f>
        <v>2002</v>
      </c>
      <c r="E4" s="33" t="n">
        <f aca="false">Income!F2</f>
        <v>2003</v>
      </c>
      <c r="F4" s="33" t="n">
        <f aca="false">Income!G2</f>
        <v>2004</v>
      </c>
      <c r="G4" s="33" t="n">
        <f aca="false">Income!H2</f>
        <v>2005</v>
      </c>
      <c r="H4" s="33" t="n">
        <f aca="false">Income!I2</f>
        <v>2006</v>
      </c>
      <c r="I4" s="33" t="n">
        <f aca="false">Income!J2</f>
        <v>2007</v>
      </c>
      <c r="J4" s="33" t="n">
        <f aca="false">Income!K2</f>
        <v>2008</v>
      </c>
      <c r="K4" s="33" t="n">
        <f aca="false">Income!L2</f>
        <v>2009</v>
      </c>
      <c r="L4" s="33" t="n">
        <f aca="false">Income!M2</f>
        <v>2010</v>
      </c>
      <c r="M4" s="33" t="n">
        <f aca="false">Income!N2</f>
        <v>2011</v>
      </c>
      <c r="N4" s="33" t="n">
        <f aca="false">Income!O2</f>
        <v>2012</v>
      </c>
      <c r="O4" s="33" t="n">
        <f aca="false">Income!P2</f>
        <v>2013</v>
      </c>
    </row>
    <row r="5" customFormat="false" ht="12.75" hidden="false" customHeight="false" outlineLevel="0" collapsed="false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2.75" hidden="false" customHeight="false" outlineLevel="0" collapsed="false">
      <c r="A6" s="0" t="s">
        <v>49</v>
      </c>
      <c r="D6" s="2" t="n">
        <f aca="false">Income!E33</f>
        <v>-10557.1428571429</v>
      </c>
      <c r="E6" s="2" t="n">
        <f aca="false">Income!F33</f>
        <v>557.85714285713</v>
      </c>
      <c r="F6" s="2" t="n">
        <f aca="false">Income!G33</f>
        <v>9141826.81214286</v>
      </c>
      <c r="G6" s="2" t="n">
        <f aca="false">Income!H33</f>
        <v>9674627.69757785</v>
      </c>
      <c r="H6" s="2" t="n">
        <f aca="false">Income!I33</f>
        <v>10237798.2334827</v>
      </c>
      <c r="I6" s="2" t="n">
        <f aca="false">Income!J33</f>
        <v>10833069.489934</v>
      </c>
      <c r="J6" s="2" t="n">
        <f aca="false">Income!K33</f>
        <v>11462271.2080031</v>
      </c>
      <c r="K6" s="2" t="n">
        <f aca="false">Income!L33</f>
        <v>12270194.5668593</v>
      </c>
      <c r="L6" s="2" t="n">
        <f aca="false">Income!M33</f>
        <v>12973169.5571703</v>
      </c>
      <c r="M6" s="2" t="n">
        <f aca="false">Income!N33</f>
        <v>13716214.121929</v>
      </c>
      <c r="N6" s="2" t="n">
        <f aca="false">Income!O33</f>
        <v>14501612.2268789</v>
      </c>
      <c r="O6" s="2" t="n">
        <f aca="false">Income!P33</f>
        <v>15331778.023811</v>
      </c>
    </row>
    <row r="7" customFormat="false" ht="12.75" hidden="false" customHeight="false" outlineLevel="0" collapsed="false">
      <c r="B7" s="0" t="s">
        <v>50</v>
      </c>
      <c r="D7" s="6" t="n">
        <f aca="false">Depreciation!E7</f>
        <v>142857.142857143</v>
      </c>
      <c r="E7" s="6" t="n">
        <f aca="false">Depreciation!F7</f>
        <v>142857.142857143</v>
      </c>
      <c r="F7" s="6" t="n">
        <f aca="false">Depreciation!G7</f>
        <v>142857.142857143</v>
      </c>
      <c r="G7" s="6" t="n">
        <f aca="false">Depreciation!H7</f>
        <v>142857.142857143</v>
      </c>
      <c r="H7" s="6" t="n">
        <f aca="false">Depreciation!I7</f>
        <v>142857.142857143</v>
      </c>
      <c r="I7" s="6" t="n">
        <f aca="false">Depreciation!J7</f>
        <v>142857.142857143</v>
      </c>
      <c r="J7" s="6" t="n">
        <f aca="false">Depreciation!K7</f>
        <v>142857.142857143</v>
      </c>
      <c r="K7" s="6" t="n">
        <f aca="false">Depreciation!L7</f>
        <v>0</v>
      </c>
      <c r="L7" s="6" t="n">
        <f aca="false">Depreciation!M7</f>
        <v>0</v>
      </c>
      <c r="M7" s="6" t="n">
        <f aca="false">Depreciation!N7</f>
        <v>0</v>
      </c>
      <c r="N7" s="6" t="n">
        <f aca="false">Depreciation!O7</f>
        <v>0</v>
      </c>
      <c r="O7" s="6" t="n">
        <f aca="false">Depreciation!P7</f>
        <v>0</v>
      </c>
    </row>
    <row r="8" customFormat="false" ht="12.75" hidden="false" customHeight="false" outlineLevel="0" collapsed="false"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2.75" hidden="false" customHeight="false" outlineLevel="0" collapsed="false">
      <c r="A9" s="0" t="s">
        <v>51</v>
      </c>
      <c r="D9" s="6" t="n">
        <v>-100000</v>
      </c>
      <c r="E9" s="6" t="n">
        <v>-100000</v>
      </c>
      <c r="F9" s="6" t="n">
        <v>-100000</v>
      </c>
      <c r="G9" s="6" t="n">
        <v>-100000</v>
      </c>
      <c r="H9" s="6" t="n">
        <v>-100000</v>
      </c>
      <c r="I9" s="6" t="n">
        <v>-100000</v>
      </c>
      <c r="J9" s="6" t="n">
        <v>-100000</v>
      </c>
      <c r="K9" s="6" t="n">
        <v>-100000</v>
      </c>
      <c r="L9" s="6" t="n">
        <v>-100000</v>
      </c>
      <c r="M9" s="2"/>
      <c r="N9" s="2"/>
      <c r="O9" s="2"/>
      <c r="P9" s="34"/>
    </row>
    <row r="10" customFormat="false" ht="12.75" hidden="false" customHeight="false" outlineLevel="0" collapsed="false">
      <c r="D10" s="6"/>
      <c r="E10" s="6"/>
      <c r="F10" s="6"/>
      <c r="G10" s="6"/>
      <c r="H10" s="6"/>
      <c r="I10" s="6"/>
      <c r="J10" s="2"/>
      <c r="K10" s="2"/>
      <c r="L10" s="2"/>
      <c r="M10" s="2"/>
      <c r="N10" s="2"/>
      <c r="O10" s="2"/>
      <c r="P10" s="34"/>
    </row>
    <row r="11" customFormat="false" ht="12.75" hidden="false" customHeight="false" outlineLevel="0" collapsed="false">
      <c r="A11" s="0" t="s">
        <v>52</v>
      </c>
      <c r="D11" s="2" t="n">
        <f aca="false">'Balance Sheet'!E18</f>
        <v>1200000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3" customFormat="false" ht="13.5" hidden="false" customHeight="false" outlineLevel="0" collapsed="false">
      <c r="A13" s="0" t="s">
        <v>53</v>
      </c>
      <c r="D13" s="41" t="n">
        <f aca="false">SUM(D6:D12)</f>
        <v>1232300</v>
      </c>
      <c r="E13" s="41" t="n">
        <f aca="false">SUM(E6:E12)</f>
        <v>43415</v>
      </c>
      <c r="F13" s="41" t="n">
        <f aca="false">SUM(F6:F12)</f>
        <v>9184683.955</v>
      </c>
      <c r="G13" s="41" t="n">
        <f aca="false">SUM(G6:G12)</f>
        <v>9717484.840435</v>
      </c>
      <c r="H13" s="41" t="n">
        <f aca="false">SUM(H6:H12)</f>
        <v>10280655.3763398</v>
      </c>
      <c r="I13" s="41" t="n">
        <f aca="false">SUM(I6:I12)</f>
        <v>10875926.6327912</v>
      </c>
      <c r="J13" s="41" t="n">
        <f aca="false">SUM(J6:J12)</f>
        <v>11505128.3508603</v>
      </c>
      <c r="K13" s="41" t="n">
        <f aca="false">SUM(K6:K12)</f>
        <v>12170194.5668593</v>
      </c>
      <c r="L13" s="41" t="n">
        <f aca="false">SUM(L6:L12)</f>
        <v>12873169.5571703</v>
      </c>
      <c r="M13" s="41" t="n">
        <f aca="false">SUM(M6:M12)</f>
        <v>13716214.121929</v>
      </c>
      <c r="N13" s="41" t="n">
        <f aca="false">SUM(N6:N12)</f>
        <v>14501612.2268789</v>
      </c>
      <c r="O13" s="41" t="n">
        <f aca="false">SUM(O6:O12)</f>
        <v>15331778.023811</v>
      </c>
    </row>
    <row r="14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&amp;L(c) Steven Saltman&amp;RFebruary 2002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6" activeCellId="0" sqref="E6"/>
    </sheetView>
  </sheetViews>
  <sheetFormatPr defaultColWidth="9.0546875" defaultRowHeight="12.75" zeroHeight="false" outlineLevelRow="0" outlineLevelCol="0"/>
  <cols>
    <col collapsed="false" customWidth="true" hidden="false" outlineLevel="0" max="1" min="1" style="4" width="9.13"/>
    <col collapsed="false" customWidth="true" hidden="false" outlineLevel="0" max="2" min="2" style="0" width="17.12"/>
    <col collapsed="false" customWidth="true" hidden="false" outlineLevel="0" max="3" min="3" style="0" width="19.97"/>
    <col collapsed="false" customWidth="true" hidden="false" outlineLevel="0" max="4" min="4" style="0" width="10.84"/>
    <col collapsed="false" customWidth="true" hidden="false" outlineLevel="0" max="16" min="5" style="0" width="12.83"/>
  </cols>
  <sheetData>
    <row r="1" customFormat="false" ht="12.75" hidden="false" customHeight="false" outlineLevel="0" collapsed="false">
      <c r="A1" s="4" t="str">
        <f aca="false">Income!B1</f>
        <v>My Lemonade Business (copyright Steven Saltman 2002)</v>
      </c>
      <c r="D1" s="1"/>
      <c r="E1" s="2"/>
      <c r="F1" s="2"/>
      <c r="G1" s="2"/>
      <c r="H1" s="2"/>
      <c r="I1" s="2"/>
      <c r="J1" s="2"/>
      <c r="K1" s="2"/>
      <c r="L1" s="2"/>
    </row>
    <row r="2" customFormat="false" ht="13.5" hidden="false" customHeight="false" outlineLevel="0" collapsed="false">
      <c r="D2" s="1"/>
      <c r="E2" s="33" t="n">
        <f aca="false">Income!E2</f>
        <v>2002</v>
      </c>
      <c r="F2" s="33" t="n">
        <f aca="false">Income!F2</f>
        <v>2003</v>
      </c>
      <c r="G2" s="33" t="n">
        <f aca="false">Income!G2</f>
        <v>2004</v>
      </c>
      <c r="H2" s="33" t="n">
        <f aca="false">Income!H2</f>
        <v>2005</v>
      </c>
      <c r="I2" s="33" t="n">
        <f aca="false">Income!I2</f>
        <v>2006</v>
      </c>
      <c r="J2" s="33" t="n">
        <f aca="false">Income!J2</f>
        <v>2007</v>
      </c>
      <c r="K2" s="33" t="n">
        <f aca="false">Income!K2</f>
        <v>2008</v>
      </c>
      <c r="L2" s="33" t="n">
        <f aca="false">Income!L2</f>
        <v>2009</v>
      </c>
      <c r="M2" s="33" t="n">
        <f aca="false">Income!M2</f>
        <v>2010</v>
      </c>
      <c r="N2" s="33" t="n">
        <f aca="false">Income!N2</f>
        <v>2011</v>
      </c>
      <c r="O2" s="33" t="n">
        <f aca="false">Income!O2</f>
        <v>2012</v>
      </c>
      <c r="P2" s="33" t="n">
        <f aca="false">Income!P2</f>
        <v>2013</v>
      </c>
    </row>
    <row r="3" customFormat="false" ht="12.75" hidden="false" customHeight="false" outlineLevel="0" collapsed="false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2.75" hidden="false" customHeight="false" outlineLevel="0" collapsed="false">
      <c r="A4" s="4" t="s">
        <v>31</v>
      </c>
      <c r="B4" s="0" t="str">
        <f aca="false">'Balance Sheet'!B8</f>
        <v>Long Term Assets</v>
      </c>
      <c r="P4" s="2"/>
    </row>
    <row r="5" customFormat="false" ht="12.75" hidden="false" customHeight="false" outlineLevel="0" collapsed="false">
      <c r="C5" s="11" t="str">
        <f aca="false">'Balance Sheet'!C8</f>
        <v>Original Value</v>
      </c>
      <c r="G5" s="2"/>
      <c r="H5" s="2"/>
      <c r="I5" s="2"/>
      <c r="J5" s="2"/>
      <c r="K5" s="2"/>
      <c r="L5" s="2"/>
      <c r="M5" s="2"/>
      <c r="N5" s="2"/>
      <c r="O5" s="2"/>
      <c r="P5" s="34"/>
    </row>
    <row r="6" customFormat="false" ht="12.75" hidden="false" customHeight="false" outlineLevel="0" collapsed="false">
      <c r="C6" s="11" t="s">
        <v>54</v>
      </c>
      <c r="D6" s="7" t="n">
        <f aca="false">'Balance Sheet'!D8</f>
        <v>1000000</v>
      </c>
      <c r="E6" s="34" t="n">
        <f aca="false">D6</f>
        <v>1000000</v>
      </c>
      <c r="F6" s="2" t="n">
        <f aca="false">IF(E8&gt;0,E8,0)</f>
        <v>857142.857142857</v>
      </c>
      <c r="G6" s="2" t="n">
        <f aca="false">IF(F8&gt;0,F8,0)</f>
        <v>714285.714285714</v>
      </c>
      <c r="H6" s="2" t="n">
        <f aca="false">IF(G8&gt;0,G8,0)</f>
        <v>571428.571428571</v>
      </c>
      <c r="I6" s="2" t="n">
        <f aca="false">IF(H8&gt;0,H8,0)</f>
        <v>428571.428571429</v>
      </c>
      <c r="J6" s="2" t="n">
        <f aca="false">IF(I8&gt;0,I8,0)</f>
        <v>285714.285714286</v>
      </c>
      <c r="K6" s="2" t="n">
        <f aca="false">IF(J8&gt;0,J8,0)</f>
        <v>142857.142857143</v>
      </c>
      <c r="L6" s="2" t="n">
        <f aca="false">IF(K8&gt;0,K8,0)</f>
        <v>0</v>
      </c>
      <c r="M6" s="2" t="n">
        <f aca="false">IF(L8&gt;0,L8,0)</f>
        <v>0</v>
      </c>
      <c r="N6" s="2" t="n">
        <f aca="false">IF(M8&gt;0,M8,0)</f>
        <v>0</v>
      </c>
      <c r="O6" s="2" t="n">
        <f aca="false">IF(N8&gt;0,N8,0)</f>
        <v>0</v>
      </c>
      <c r="P6" s="2" t="n">
        <f aca="false">IF(O8&gt;0,O8,0)</f>
        <v>0</v>
      </c>
    </row>
    <row r="7" s="4" customFormat="true" ht="12.75" hidden="false" customHeight="false" outlineLevel="0" collapsed="false">
      <c r="C7" s="11" t="s">
        <v>50</v>
      </c>
      <c r="D7" s="1" t="n">
        <v>7</v>
      </c>
      <c r="E7" s="42" t="n">
        <f aca="false">IF(E6&gt;0,$D$6/$D$7,0)</f>
        <v>142857.142857143</v>
      </c>
      <c r="F7" s="42" t="n">
        <f aca="false">IF(F6&gt;0,$D$6/$D$7,0)</f>
        <v>142857.142857143</v>
      </c>
      <c r="G7" s="42" t="n">
        <f aca="false">IF(G6&gt;0,$D$6/$D$7,0)</f>
        <v>142857.142857143</v>
      </c>
      <c r="H7" s="42" t="n">
        <f aca="false">IF(H6&gt;0,$D$6/$D$7,0)</f>
        <v>142857.142857143</v>
      </c>
      <c r="I7" s="42" t="n">
        <f aca="false">IF(I6&gt;0,$D$6/$D$7,0)</f>
        <v>142857.142857143</v>
      </c>
      <c r="J7" s="42" t="n">
        <f aca="false">IF(J6&gt;0,$D$6/$D$7,0)</f>
        <v>142857.142857143</v>
      </c>
      <c r="K7" s="42" t="n">
        <f aca="false">IF(K6&gt;0,$D$6/$D$7,0)</f>
        <v>142857.142857143</v>
      </c>
      <c r="L7" s="43" t="n">
        <f aca="false">IF(L6&gt;0,$D$6/$D$7,0)</f>
        <v>0</v>
      </c>
      <c r="M7" s="43" t="n">
        <f aca="false">IF(M6&gt;0,$D$6/$D$7,0)</f>
        <v>0</v>
      </c>
      <c r="N7" s="43" t="n">
        <f aca="false">IF(N6&gt;0,$D$6/$D$7,0)</f>
        <v>0</v>
      </c>
      <c r="O7" s="43" t="n">
        <f aca="false">IF(O6&gt;0,$D$6/$D$7,0)</f>
        <v>0</v>
      </c>
      <c r="P7" s="39"/>
    </row>
    <row r="8" customFormat="false" ht="12.75" hidden="false" customHeight="false" outlineLevel="0" collapsed="false">
      <c r="C8" s="0" t="s">
        <v>55</v>
      </c>
      <c r="E8" s="2" t="n">
        <f aca="false">E6-E7</f>
        <v>857142.857142857</v>
      </c>
      <c r="F8" s="2" t="n">
        <f aca="false">F6-F7</f>
        <v>714285.714285714</v>
      </c>
      <c r="G8" s="2" t="n">
        <f aca="false">G6-G7</f>
        <v>571428.571428571</v>
      </c>
      <c r="H8" s="2" t="n">
        <f aca="false">H6-H7</f>
        <v>428571.428571429</v>
      </c>
      <c r="I8" s="2" t="n">
        <f aca="false">I6-I7</f>
        <v>285714.285714286</v>
      </c>
      <c r="J8" s="2" t="n">
        <f aca="false">J6-J7</f>
        <v>142857.142857143</v>
      </c>
      <c r="K8" s="2" t="n">
        <f aca="false">K6-K7</f>
        <v>0</v>
      </c>
      <c r="L8" s="2" t="n">
        <f aca="false">L6-L7</f>
        <v>0</v>
      </c>
      <c r="M8" s="2" t="n">
        <f aca="false">M6-M7</f>
        <v>0</v>
      </c>
      <c r="N8" s="2" t="n">
        <f aca="false">N6-N7</f>
        <v>0</v>
      </c>
      <c r="O8" s="2" t="n">
        <f aca="false">O6-O7</f>
        <v>0</v>
      </c>
      <c r="P8" s="2"/>
    </row>
    <row r="9" s="15" customFormat="true" ht="12.75" hidden="false" customHeight="false" outlineLevel="0" collapsed="false">
      <c r="A9" s="44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12.75" hidden="false" customHeight="false" outlineLevel="0" collapsed="false"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12.75" hidden="false" customHeight="false" outlineLevel="0" collapsed="false">
      <c r="C11" s="0" t="s">
        <v>56</v>
      </c>
      <c r="E11" s="26" t="n">
        <f aca="false">E7</f>
        <v>142857.142857143</v>
      </c>
      <c r="F11" s="26" t="n">
        <f aca="false">E11+F7</f>
        <v>285714.285714286</v>
      </c>
      <c r="G11" s="26" t="n">
        <f aca="false">F11+G7</f>
        <v>428571.428571429</v>
      </c>
      <c r="H11" s="26" t="n">
        <f aca="false">G11+H7</f>
        <v>571428.571428571</v>
      </c>
      <c r="I11" s="26" t="n">
        <f aca="false">H11+I7</f>
        <v>714285.714285714</v>
      </c>
      <c r="J11" s="26" t="n">
        <f aca="false">I11+J7</f>
        <v>857142.857142857</v>
      </c>
      <c r="K11" s="26" t="n">
        <f aca="false">J11+K7</f>
        <v>1000000</v>
      </c>
      <c r="L11" s="26"/>
      <c r="M11" s="26" t="n">
        <f aca="false">M7</f>
        <v>0</v>
      </c>
      <c r="N11" s="26" t="n">
        <f aca="false">N7</f>
        <v>0</v>
      </c>
      <c r="O11" s="26" t="n">
        <f aca="false">O7</f>
        <v>0</v>
      </c>
      <c r="P11" s="26" t="n">
        <f aca="false">P7</f>
        <v>0</v>
      </c>
    </row>
    <row r="12" customFormat="false" ht="12.75" hidden="false" customHeight="false" outlineLevel="0" collapsed="false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2.75" hidden="false" customHeight="false" outlineLevel="0" collapsed="false"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2.75" hidden="false" customHeight="false" outlineLevel="0" collapsed="false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12.75" hidden="false" customHeight="false" outlineLevel="0" collapsed="false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2.75" hidden="false" customHeight="false" outlineLevel="0" collapsed="false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2.75" hidden="false" customHeight="false" outlineLevel="0" collapsed="false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2.75" hidden="false" customHeight="false" outlineLevel="0" collapsed="false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&amp;L(c) Steven Saltman&amp;RFebruary 2002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5.41"/>
    <col collapsed="false" customWidth="true" hidden="false" outlineLevel="0" max="2" min="2" style="0" width="11.55"/>
    <col collapsed="false" customWidth="true" hidden="false" outlineLevel="0" max="3" min="3" style="0" width="28.38"/>
    <col collapsed="false" customWidth="true" hidden="false" outlineLevel="0" max="4" min="4" style="1" width="7.55"/>
    <col collapsed="false" customWidth="true" hidden="false" outlineLevel="0" max="5" min="5" style="2" width="12.27"/>
    <col collapsed="false" customWidth="true" hidden="false" outlineLevel="0" max="8" min="6" style="2" width="12.83"/>
    <col collapsed="false" customWidth="true" hidden="false" outlineLevel="0" max="9" min="9" style="2" width="13.27"/>
    <col collapsed="false" customWidth="true" hidden="false" outlineLevel="0" max="10" min="10" style="2" width="12.83"/>
    <col collapsed="false" customWidth="true" hidden="false" outlineLevel="0" max="12" min="11" style="2" width="13.27"/>
    <col collapsed="false" customWidth="true" hidden="false" outlineLevel="0" max="14" min="13" style="0" width="13.27"/>
    <col collapsed="false" customWidth="true" hidden="false" outlineLevel="0" max="15" min="15" style="0" width="12.55"/>
    <col collapsed="false" customWidth="true" hidden="false" outlineLevel="0" max="16" min="16" style="0" width="13.27"/>
  </cols>
  <sheetData>
    <row r="1" customFormat="false" ht="12.75" hidden="false" customHeight="false" outlineLevel="0" collapsed="false">
      <c r="B1" s="0" t="str">
        <f aca="false">Income!B1</f>
        <v>My Lemonade Business (copyright Steven Saltman 2002)</v>
      </c>
    </row>
    <row r="2" customFormat="false" ht="13.5" hidden="false" customHeight="false" outlineLevel="0" collapsed="false">
      <c r="B2" s="0" t="s">
        <v>57</v>
      </c>
      <c r="E2" s="45" t="n">
        <v>37316</v>
      </c>
      <c r="F2" s="45" t="n">
        <v>37347</v>
      </c>
      <c r="G2" s="45" t="n">
        <v>37377</v>
      </c>
      <c r="H2" s="45" t="n">
        <v>37408</v>
      </c>
      <c r="I2" s="45" t="n">
        <v>37438</v>
      </c>
      <c r="J2" s="45" t="n">
        <v>37469</v>
      </c>
      <c r="K2" s="45" t="n">
        <v>37500</v>
      </c>
      <c r="L2" s="45" t="n">
        <v>37530</v>
      </c>
      <c r="M2" s="45" t="n">
        <v>37561</v>
      </c>
      <c r="N2" s="45" t="n">
        <v>37591</v>
      </c>
      <c r="O2" s="45" t="n">
        <v>37622</v>
      </c>
      <c r="P2" s="45" t="n">
        <v>37653</v>
      </c>
    </row>
    <row r="3" customFormat="false" ht="12.75" hidden="false" customHeight="false" outlineLevel="0" collapsed="false">
      <c r="B3" s="4"/>
      <c r="E3" s="46" t="s">
        <v>58</v>
      </c>
      <c r="M3" s="2"/>
      <c r="N3" s="2"/>
      <c r="O3" s="2"/>
      <c r="P3" s="2"/>
    </row>
    <row r="4" customFormat="false" ht="12.75" hidden="false" customHeight="false" outlineLevel="0" collapsed="false">
      <c r="B4" s="4" t="s">
        <v>8</v>
      </c>
      <c r="C4" s="0" t="s">
        <v>59</v>
      </c>
      <c r="D4" s="14"/>
      <c r="E4" s="27" t="n">
        <v>1000</v>
      </c>
      <c r="F4" s="17" t="n">
        <f aca="false">E4</f>
        <v>1000</v>
      </c>
      <c r="G4" s="17" t="n">
        <f aca="false">F4</f>
        <v>1000</v>
      </c>
      <c r="H4" s="17" t="n">
        <f aca="false">G4</f>
        <v>1000</v>
      </c>
      <c r="I4" s="17" t="n">
        <f aca="false">H4</f>
        <v>1000</v>
      </c>
      <c r="J4" s="17" t="n">
        <f aca="false">I4</f>
        <v>1000</v>
      </c>
      <c r="K4" s="17" t="n">
        <f aca="false">J4</f>
        <v>1000</v>
      </c>
      <c r="L4" s="17" t="n">
        <f aca="false">K4</f>
        <v>1000</v>
      </c>
      <c r="M4" s="17" t="n">
        <f aca="false">L4</f>
        <v>1000</v>
      </c>
      <c r="N4" s="17" t="n">
        <f aca="false">M4</f>
        <v>1000</v>
      </c>
      <c r="O4" s="17" t="n">
        <f aca="false">N4</f>
        <v>1000</v>
      </c>
      <c r="P4" s="17" t="n">
        <f aca="false">O4</f>
        <v>1000</v>
      </c>
    </row>
    <row r="5" customFormat="false" ht="12.75" hidden="false" customHeight="false" outlineLevel="0" collapsed="false">
      <c r="A5" s="0" t="s">
        <v>60</v>
      </c>
      <c r="C5" s="0" t="s">
        <v>61</v>
      </c>
      <c r="E5" s="2" t="n">
        <f aca="false">SUM(E4:E4)</f>
        <v>1000</v>
      </c>
      <c r="F5" s="2" t="n">
        <f aca="false">SUM(F4:F4)</f>
        <v>1000</v>
      </c>
      <c r="G5" s="2" t="n">
        <f aca="false">SUM(G4:G4)</f>
        <v>1000</v>
      </c>
      <c r="H5" s="2" t="n">
        <f aca="false">SUM(H4:H4)</f>
        <v>1000</v>
      </c>
      <c r="I5" s="2" t="n">
        <f aca="false">SUM(I4:I4)</f>
        <v>1000</v>
      </c>
      <c r="J5" s="2" t="n">
        <f aca="false">SUM(J4:J4)</f>
        <v>1000</v>
      </c>
      <c r="K5" s="2" t="n">
        <f aca="false">SUM(K4:K4)</f>
        <v>1000</v>
      </c>
      <c r="L5" s="2" t="n">
        <f aca="false">SUM(L4:L4)</f>
        <v>1000</v>
      </c>
      <c r="M5" s="2" t="n">
        <f aca="false">SUM(M4:M4)</f>
        <v>1000</v>
      </c>
      <c r="N5" s="2" t="n">
        <f aca="false">SUM(N4:N4)</f>
        <v>1000</v>
      </c>
      <c r="O5" s="2" t="n">
        <f aca="false">SUM(O4:O4)</f>
        <v>1000</v>
      </c>
      <c r="P5" s="2" t="n">
        <f aca="false">SUM(P4:P4)</f>
        <v>1000</v>
      </c>
    </row>
    <row r="6" customFormat="false" ht="12.75" hidden="false" customHeight="false" outlineLevel="0" collapsed="false">
      <c r="B6" s="4"/>
      <c r="M6" s="2"/>
      <c r="N6" s="2"/>
      <c r="O6" s="2"/>
      <c r="P6" s="2"/>
    </row>
    <row r="7" customFormat="false" ht="12.75" hidden="false" customHeight="false" outlineLevel="0" collapsed="false">
      <c r="B7" s="4" t="s">
        <v>13</v>
      </c>
      <c r="C7" s="0" t="s">
        <v>14</v>
      </c>
      <c r="E7" s="6" t="n">
        <v>500</v>
      </c>
      <c r="F7" s="7" t="n">
        <f aca="false">E7</f>
        <v>500</v>
      </c>
      <c r="G7" s="7" t="n">
        <f aca="false">F7</f>
        <v>500</v>
      </c>
      <c r="H7" s="7" t="n">
        <f aca="false">G7</f>
        <v>500</v>
      </c>
      <c r="I7" s="7" t="n">
        <f aca="false">H7</f>
        <v>500</v>
      </c>
      <c r="J7" s="7" t="n">
        <f aca="false">I7</f>
        <v>500</v>
      </c>
      <c r="K7" s="7" t="n">
        <f aca="false">J7</f>
        <v>500</v>
      </c>
      <c r="L7" s="7" t="n">
        <f aca="false">K7</f>
        <v>500</v>
      </c>
      <c r="M7" s="7" t="n">
        <f aca="false">L7</f>
        <v>500</v>
      </c>
      <c r="N7" s="7" t="n">
        <f aca="false">M7</f>
        <v>500</v>
      </c>
      <c r="O7" s="7" t="n">
        <f aca="false">N7</f>
        <v>500</v>
      </c>
      <c r="P7" s="7" t="n">
        <f aca="false">O7</f>
        <v>500</v>
      </c>
    </row>
    <row r="8" customFormat="false" ht="12.75" hidden="false" customHeight="false" outlineLevel="0" collapsed="false">
      <c r="B8" s="4"/>
      <c r="C8" s="0" t="s">
        <v>15</v>
      </c>
      <c r="E8" s="27" t="n">
        <v>250</v>
      </c>
      <c r="F8" s="22" t="n">
        <f aca="false">E8</f>
        <v>250</v>
      </c>
      <c r="G8" s="22" t="n">
        <f aca="false">F8</f>
        <v>250</v>
      </c>
      <c r="H8" s="22" t="n">
        <f aca="false">G8</f>
        <v>250</v>
      </c>
      <c r="I8" s="22" t="n">
        <f aca="false">H8</f>
        <v>250</v>
      </c>
      <c r="J8" s="22" t="n">
        <f aca="false">I8</f>
        <v>250</v>
      </c>
      <c r="K8" s="22" t="n">
        <f aca="false">J8</f>
        <v>250</v>
      </c>
      <c r="L8" s="22" t="n">
        <f aca="false">K8</f>
        <v>250</v>
      </c>
      <c r="M8" s="22" t="n">
        <f aca="false">L8</f>
        <v>250</v>
      </c>
      <c r="N8" s="22" t="n">
        <f aca="false">M8</f>
        <v>250</v>
      </c>
      <c r="O8" s="22" t="n">
        <f aca="false">N8</f>
        <v>250</v>
      </c>
      <c r="P8" s="22" t="n">
        <f aca="false">O8</f>
        <v>250</v>
      </c>
    </row>
    <row r="9" customFormat="false" ht="12.75" hidden="false" customHeight="false" outlineLevel="0" collapsed="false">
      <c r="A9" s="0" t="s">
        <v>62</v>
      </c>
      <c r="B9" s="4"/>
      <c r="C9" s="0" t="s">
        <v>11</v>
      </c>
      <c r="E9" s="2" t="n">
        <f aca="false">SUM(E7:E8)</f>
        <v>750</v>
      </c>
      <c r="F9" s="2" t="n">
        <f aca="false">SUM(F7:F8)</f>
        <v>750</v>
      </c>
      <c r="G9" s="2" t="n">
        <f aca="false">SUM(G7:G8)</f>
        <v>750</v>
      </c>
      <c r="H9" s="2" t="n">
        <f aca="false">SUM(H7:H8)</f>
        <v>750</v>
      </c>
      <c r="I9" s="2" t="n">
        <f aca="false">SUM(I7:I8)</f>
        <v>750</v>
      </c>
      <c r="J9" s="2" t="n">
        <f aca="false">SUM(J7:J8)</f>
        <v>750</v>
      </c>
      <c r="K9" s="2" t="n">
        <f aca="false">SUM(K7:K8)</f>
        <v>750</v>
      </c>
      <c r="L9" s="2" t="n">
        <f aca="false">SUM(L7:L8)</f>
        <v>750</v>
      </c>
      <c r="M9" s="2" t="n">
        <f aca="false">SUM(M7:M8)</f>
        <v>750</v>
      </c>
      <c r="N9" s="2" t="n">
        <f aca="false">SUM(N7:N8)</f>
        <v>750</v>
      </c>
      <c r="O9" s="2" t="n">
        <f aca="false">SUM(O7:O8)</f>
        <v>750</v>
      </c>
      <c r="P9" s="2" t="n">
        <f aca="false">SUM(P7:P8)</f>
        <v>750</v>
      </c>
    </row>
    <row r="10" customFormat="false" ht="12.75" hidden="false" customHeight="false" outlineLevel="0" collapsed="false">
      <c r="B10" s="4"/>
      <c r="M10" s="2"/>
      <c r="N10" s="2"/>
      <c r="O10" s="2"/>
      <c r="P10" s="2"/>
    </row>
    <row r="11" s="15" customFormat="true" ht="12.75" hidden="false" customHeight="false" outlineLevel="0" collapsed="false">
      <c r="A11" s="15" t="s">
        <v>63</v>
      </c>
      <c r="B11" s="44" t="s">
        <v>16</v>
      </c>
      <c r="D11" s="1"/>
      <c r="E11" s="26" t="n">
        <f aca="false">E5-E9</f>
        <v>250</v>
      </c>
      <c r="F11" s="26" t="n">
        <f aca="false">F5-F9</f>
        <v>250</v>
      </c>
      <c r="G11" s="26" t="n">
        <f aca="false">G5-G9</f>
        <v>250</v>
      </c>
      <c r="H11" s="26" t="n">
        <f aca="false">H5-H9</f>
        <v>250</v>
      </c>
      <c r="I11" s="26" t="n">
        <f aca="false">I5-I9</f>
        <v>250</v>
      </c>
      <c r="J11" s="26" t="n">
        <f aca="false">J5-J9</f>
        <v>250</v>
      </c>
      <c r="K11" s="26" t="n">
        <f aca="false">K5-K9</f>
        <v>250</v>
      </c>
      <c r="L11" s="26" t="n">
        <f aca="false">L5-L9</f>
        <v>250</v>
      </c>
      <c r="M11" s="26" t="n">
        <f aca="false">M5-M9</f>
        <v>250</v>
      </c>
      <c r="N11" s="26" t="n">
        <f aca="false">N5-N9</f>
        <v>250</v>
      </c>
      <c r="O11" s="26" t="n">
        <f aca="false">O5-O9</f>
        <v>250</v>
      </c>
      <c r="P11" s="26" t="n">
        <f aca="false">P5-P9</f>
        <v>250</v>
      </c>
    </row>
    <row r="12" customFormat="false" ht="12.75" hidden="false" customHeight="false" outlineLevel="0" collapsed="false">
      <c r="B12" s="4"/>
    </row>
    <row r="13" customFormat="false" ht="12.75" hidden="false" customHeight="false" outlineLevel="0" collapsed="false">
      <c r="A13" s="0" t="s">
        <v>64</v>
      </c>
      <c r="B13" s="4" t="s">
        <v>18</v>
      </c>
      <c r="C13" s="0" t="s">
        <v>65</v>
      </c>
      <c r="E13" s="6" t="n">
        <v>25</v>
      </c>
      <c r="F13" s="7" t="n">
        <f aca="false">E13</f>
        <v>25</v>
      </c>
      <c r="G13" s="7" t="n">
        <f aca="false">F13</f>
        <v>25</v>
      </c>
      <c r="H13" s="7" t="n">
        <f aca="false">G13</f>
        <v>25</v>
      </c>
      <c r="I13" s="7" t="n">
        <f aca="false">H13</f>
        <v>25</v>
      </c>
      <c r="J13" s="7" t="n">
        <f aca="false">I13</f>
        <v>25</v>
      </c>
      <c r="K13" s="7" t="n">
        <f aca="false">J13</f>
        <v>25</v>
      </c>
      <c r="L13" s="7" t="n">
        <f aca="false">K13</f>
        <v>25</v>
      </c>
      <c r="M13" s="7" t="n">
        <f aca="false">L13</f>
        <v>25</v>
      </c>
      <c r="N13" s="7" t="n">
        <f aca="false">M13</f>
        <v>25</v>
      </c>
      <c r="O13" s="7" t="n">
        <f aca="false">N13</f>
        <v>25</v>
      </c>
      <c r="P13" s="7" t="n">
        <f aca="false">O13</f>
        <v>25</v>
      </c>
    </row>
    <row r="14" customFormat="false" ht="12.75" hidden="false" customHeight="false" outlineLevel="0" collapsed="false">
      <c r="B14" s="4"/>
      <c r="M14" s="2"/>
      <c r="N14" s="2"/>
      <c r="O14" s="2"/>
      <c r="P14" s="2"/>
    </row>
    <row r="15" customFormat="false" ht="13.5" hidden="false" customHeight="false" outlineLevel="0" collapsed="false">
      <c r="A15" s="0" t="s">
        <v>66</v>
      </c>
      <c r="B15" s="28" t="s">
        <v>27</v>
      </c>
      <c r="C15" s="29"/>
      <c r="D15" s="30"/>
      <c r="E15" s="31" t="n">
        <f aca="false">E11-E13</f>
        <v>225</v>
      </c>
      <c r="F15" s="31" t="n">
        <f aca="false">F11-F13</f>
        <v>225</v>
      </c>
      <c r="G15" s="31" t="n">
        <f aca="false">G11-G13</f>
        <v>225</v>
      </c>
      <c r="H15" s="31" t="n">
        <f aca="false">H11-H13</f>
        <v>225</v>
      </c>
      <c r="I15" s="31" t="n">
        <f aca="false">I11-I13</f>
        <v>225</v>
      </c>
      <c r="J15" s="31" t="n">
        <f aca="false">J11-J13</f>
        <v>225</v>
      </c>
      <c r="K15" s="31" t="n">
        <f aca="false">K11-K13</f>
        <v>225</v>
      </c>
      <c r="L15" s="31" t="n">
        <f aca="false">L11-L13</f>
        <v>225</v>
      </c>
      <c r="M15" s="31" t="n">
        <f aca="false">M11-M13</f>
        <v>225</v>
      </c>
      <c r="N15" s="31" t="n">
        <f aca="false">N11-N13</f>
        <v>225</v>
      </c>
      <c r="O15" s="31" t="n">
        <f aca="false">O11-O13</f>
        <v>225</v>
      </c>
      <c r="P15" s="31" t="n">
        <f aca="false">P11-P13</f>
        <v>225</v>
      </c>
    </row>
    <row r="16" s="19" customFormat="true" ht="13.5" hidden="false" customHeight="false" outlineLevel="0" collapsed="false">
      <c r="B16" s="18" t="s">
        <v>12</v>
      </c>
      <c r="D16" s="20"/>
      <c r="E16" s="21" t="n">
        <f aca="false">E15*12</f>
        <v>2700</v>
      </c>
      <c r="F16" s="21" t="n">
        <f aca="false">F15*12</f>
        <v>2700</v>
      </c>
      <c r="G16" s="21" t="n">
        <f aca="false">G15*12</f>
        <v>2700</v>
      </c>
      <c r="H16" s="21" t="n">
        <f aca="false">H15*12</f>
        <v>2700</v>
      </c>
      <c r="I16" s="21" t="n">
        <f aca="false">I15*12</f>
        <v>2700</v>
      </c>
      <c r="J16" s="21" t="n">
        <f aca="false">J15*12</f>
        <v>2700</v>
      </c>
      <c r="K16" s="21" t="n">
        <f aca="false">K15*12</f>
        <v>2700</v>
      </c>
      <c r="L16" s="21" t="n">
        <f aca="false">L15*12</f>
        <v>2700</v>
      </c>
      <c r="M16" s="21" t="n">
        <f aca="false">M15*12</f>
        <v>2700</v>
      </c>
      <c r="N16" s="21" t="n">
        <f aca="false">N15*12</f>
        <v>2700</v>
      </c>
      <c r="O16" s="21" t="n">
        <f aca="false">O15*12</f>
        <v>2700</v>
      </c>
      <c r="P16" s="21" t="n">
        <f aca="false">P15*12</f>
        <v>2700</v>
      </c>
    </row>
    <row r="17" customFormat="false" ht="12.75" hidden="false" customHeight="false" outlineLevel="0" collapsed="false"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customFormat="false" ht="12.75" hidden="false" customHeight="false" outlineLevel="0" collapsed="false">
      <c r="B18" s="32"/>
    </row>
    <row r="19" customFormat="false" ht="12.75" hidden="false" customHeight="false" outlineLevel="0" collapsed="false">
      <c r="B19" s="4"/>
      <c r="C19" s="1"/>
    </row>
    <row r="20" customFormat="false" ht="12.75" hidden="false" customHeight="false" outlineLevel="0" collapsed="false">
      <c r="C2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&amp;L(c) Steven Saltman&amp;RFebruary 2002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84"/>
    <col collapsed="false" customWidth="true" hidden="false" outlineLevel="0" max="2" min="2" style="0" width="13.55"/>
    <col collapsed="false" customWidth="true" hidden="false" outlineLevel="0" max="3" min="3" style="0" width="3.41"/>
    <col collapsed="false" customWidth="true" hidden="false" outlineLevel="0" max="5" min="4" style="0" width="3.7"/>
    <col collapsed="false" customWidth="true" hidden="false" outlineLevel="0" max="7" min="7" style="0" width="12.27"/>
    <col collapsed="false" customWidth="true" hidden="false" outlineLevel="0" max="8" min="8" style="0" width="4.13"/>
    <col collapsed="false" customWidth="true" hidden="false" outlineLevel="0" max="9" min="9" style="0" width="4.84"/>
  </cols>
  <sheetData>
    <row r="1" customFormat="false" ht="12.75" hidden="false" customHeight="false" outlineLevel="0" collapsed="false">
      <c r="B1" s="0" t="str">
        <f aca="false">Income!B1</f>
        <v>My Lemonade Business (copyright Steven Saltman 2002)</v>
      </c>
    </row>
    <row r="3" customFormat="false" ht="12.75" hidden="false" customHeight="false" outlineLevel="0" collapsed="false">
      <c r="A3" s="4" t="s">
        <v>67</v>
      </c>
      <c r="B3" s="4"/>
      <c r="C3" s="4"/>
      <c r="D3" s="4" t="s">
        <v>68</v>
      </c>
      <c r="E3" s="4"/>
      <c r="F3" s="4"/>
      <c r="G3" s="4"/>
      <c r="H3" s="4" t="s">
        <v>69</v>
      </c>
      <c r="I3" s="4"/>
      <c r="J3" s="4"/>
      <c r="K3" s="4"/>
    </row>
    <row r="4" customFormat="false" ht="12.75" hidden="false" customHeight="false" outlineLevel="0" collapsed="false">
      <c r="E4" s="47" t="s">
        <v>49</v>
      </c>
      <c r="I4" s="47" t="s">
        <v>31</v>
      </c>
    </row>
    <row r="5" customFormat="false" ht="12.75" hidden="false" customHeight="false" outlineLevel="0" collapsed="false">
      <c r="B5" s="47" t="s">
        <v>8</v>
      </c>
      <c r="E5" s="47"/>
      <c r="F5" s="0" t="s">
        <v>70</v>
      </c>
      <c r="I5" s="47"/>
      <c r="J5" s="0" t="s">
        <v>71</v>
      </c>
    </row>
    <row r="6" customFormat="false" ht="12.75" hidden="false" customHeight="false" outlineLevel="0" collapsed="false">
      <c r="B6" s="47"/>
      <c r="E6" s="47"/>
      <c r="F6" s="0" t="s">
        <v>72</v>
      </c>
      <c r="I6" s="47"/>
      <c r="J6" s="0" t="s">
        <v>33</v>
      </c>
    </row>
    <row r="7" customFormat="false" ht="12.75" hidden="false" customHeight="false" outlineLevel="0" collapsed="false">
      <c r="B7" s="47" t="s">
        <v>73</v>
      </c>
      <c r="E7" s="47"/>
      <c r="I7" s="47"/>
      <c r="J7" s="0" t="s">
        <v>74</v>
      </c>
    </row>
    <row r="8" customFormat="false" ht="12.75" hidden="false" customHeight="false" outlineLevel="0" collapsed="false">
      <c r="B8" s="47"/>
      <c r="E8" s="47" t="s">
        <v>75</v>
      </c>
      <c r="I8" s="47"/>
    </row>
    <row r="9" customFormat="false" ht="12.75" hidden="false" customHeight="false" outlineLevel="0" collapsed="false">
      <c r="B9" s="47" t="s">
        <v>50</v>
      </c>
      <c r="E9" s="47"/>
      <c r="F9" s="0" t="s">
        <v>76</v>
      </c>
      <c r="I9" s="47"/>
      <c r="J9" s="0" t="s">
        <v>77</v>
      </c>
    </row>
    <row r="10" customFormat="false" ht="12.75" hidden="false" customHeight="false" outlineLevel="0" collapsed="false">
      <c r="B10" s="47"/>
      <c r="E10" s="47"/>
      <c r="F10" s="0" t="s">
        <v>78</v>
      </c>
      <c r="I10" s="47"/>
      <c r="J10" s="0" t="s">
        <v>79</v>
      </c>
    </row>
    <row r="11" customFormat="false" ht="12.75" hidden="false" customHeight="false" outlineLevel="0" collapsed="false">
      <c r="B11" s="47" t="s">
        <v>70</v>
      </c>
      <c r="E11" s="47"/>
      <c r="I11" s="47"/>
      <c r="J11" s="0" t="s">
        <v>80</v>
      </c>
    </row>
    <row r="12" customFormat="false" ht="12.75" hidden="false" customHeight="false" outlineLevel="0" collapsed="false">
      <c r="E12" s="47" t="s">
        <v>52</v>
      </c>
      <c r="I12" s="47"/>
      <c r="J12" s="0" t="s">
        <v>81</v>
      </c>
    </row>
    <row r="13" customFormat="false" ht="12.75" hidden="false" customHeight="false" outlineLevel="0" collapsed="false">
      <c r="E13" s="47"/>
      <c r="F13" s="0" t="s">
        <v>82</v>
      </c>
      <c r="I13" s="47"/>
    </row>
    <row r="14" customFormat="false" ht="12.75" hidden="false" customHeight="false" outlineLevel="0" collapsed="false">
      <c r="E14" s="47"/>
      <c r="F14" s="0" t="s">
        <v>83</v>
      </c>
      <c r="I14" s="47" t="s">
        <v>40</v>
      </c>
    </row>
    <row r="15" customFormat="false" ht="12.75" hidden="false" customHeight="false" outlineLevel="0" collapsed="false">
      <c r="E15" s="47"/>
      <c r="F15" s="0" t="s">
        <v>84</v>
      </c>
      <c r="I15" s="47"/>
      <c r="J15" s="0" t="s">
        <v>85</v>
      </c>
    </row>
    <row r="16" customFormat="false" ht="12.75" hidden="false" customHeight="false" outlineLevel="0" collapsed="false">
      <c r="E16" s="47"/>
      <c r="F16" s="0" t="s">
        <v>86</v>
      </c>
      <c r="I16" s="47"/>
      <c r="J16" s="0" t="s">
        <v>87</v>
      </c>
    </row>
    <row r="17" customFormat="false" ht="12.75" hidden="false" customHeight="false" outlineLevel="0" collapsed="false">
      <c r="E17" s="47"/>
      <c r="F17" s="0" t="s">
        <v>88</v>
      </c>
      <c r="I17" s="47"/>
    </row>
    <row r="18" customFormat="false" ht="12.75" hidden="false" customHeight="false" outlineLevel="0" collapsed="false">
      <c r="E18" s="47"/>
      <c r="I18" s="47"/>
      <c r="J18" s="0" t="s">
        <v>89</v>
      </c>
    </row>
    <row r="19" customFormat="false" ht="12.75" hidden="false" customHeight="false" outlineLevel="0" collapsed="false">
      <c r="E19" s="47" t="s">
        <v>53</v>
      </c>
      <c r="I19" s="47"/>
      <c r="J19" s="0" t="s">
        <v>90</v>
      </c>
    </row>
    <row r="20" customFormat="false" ht="12.75" hidden="false" customHeight="false" outlineLevel="0" collapsed="false">
      <c r="I20" s="47"/>
    </row>
    <row r="21" customFormat="false" ht="12.75" hidden="false" customHeight="false" outlineLevel="0" collapsed="false">
      <c r="I21" s="47" t="s">
        <v>44</v>
      </c>
    </row>
    <row r="22" customFormat="false" ht="12.75" hidden="false" customHeight="false" outlineLevel="0" collapsed="false">
      <c r="J22" s="0" t="s">
        <v>91</v>
      </c>
    </row>
    <row r="23" customFormat="false" ht="12.75" hidden="false" customHeight="false" outlineLevel="0" collapsed="false">
      <c r="J23" s="0" t="s">
        <v>92</v>
      </c>
    </row>
    <row r="24" customFormat="false" ht="12.75" hidden="false" customHeight="false" outlineLevel="0" collapsed="false">
      <c r="J24" s="0" t="s">
        <v>46</v>
      </c>
    </row>
    <row r="25" customFormat="false" ht="12.75" hidden="false" customHeight="false" outlineLevel="0" collapsed="false">
      <c r="J25" s="0" t="s">
        <v>93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2001-03-19T16:51:39Z</dcterms:created>
  <dc:creator>Steven Saltman</dc:creator>
  <dc:description/>
  <dc:language>en-US</dc:language>
  <cp:lastModifiedBy>Steven Saltman</cp:lastModifiedBy>
  <cp:lastPrinted>2002-02-14T21:10:22Z</cp:lastPrinted>
  <dcterms:modified xsi:type="dcterms:W3CDTF">2003-07-18T18:02:24Z</dcterms:modified>
  <cp:revision>0</cp:revision>
  <dc:subject/>
  <dc:title>Basic Financial Model</dc:title>
</cp:coreProperties>
</file>