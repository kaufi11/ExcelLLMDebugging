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60CE99F1-58E4-4606-BB38-A5A459E648A3}" xr6:coauthVersionLast="47" xr6:coauthVersionMax="47" xr10:uidLastSave="{00000000-0000-0000-0000-000000000000}"/>
  <bookViews>
    <workbookView xWindow="-120" yWindow="-120" windowWidth="29040" windowHeight="15720" xr2:uid="{BDB89114-AC11-43A6-95A0-7672C31F64B7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 s="1"/>
  <c r="E71" i="1" s="1"/>
  <c r="F73" i="1" s="1"/>
  <c r="F74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H98" i="1"/>
  <c r="J99" i="1"/>
  <c r="J100" i="1"/>
  <c r="H103" i="1"/>
  <c r="H104" i="1"/>
  <c r="J105" i="1" s="1"/>
  <c r="J106" i="1" s="1"/>
  <c r="D108" i="1"/>
  <c r="J110" i="1"/>
  <c r="J111" i="1" s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<sst xmlns="http://schemas.openxmlformats.org/spreadsheetml/2006/main" count="131" uniqueCount="91">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</sst>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2202-F2F4-4CF0-B0C6-04DD35CD256F}">
  <sheetPr>
    <pageSetUpPr fitToPage="1"/>
  </sheetPr>
  <dimension ref="A1:L111"/>
  <sheetViews>
    <sheetView tabSelected="1" topLeftCell="A47" workbookViewId="0">
      <selection activeCell="G5" sqref="G5"/>
    </sheetView>
  </sheetViews>
  <sheetFormatPr baseColWidth="10" defaultRowHeight="12.75" x14ac:dyDescent="0.2"/>
  <cols>
    <col min="1" max="1" width="10.140625" bestFit="1" customWidth="1"/>
    <col min="2" max="2" width="9.140625" customWidth="1"/>
    <col min="3" max="3" width="10.140625" bestFit="1" customWidth="1"/>
    <col min="4" max="256" width="9.140625" customWidth="1"/>
  </cols>
  <sheetData>
    <row r="1" spans="1:2" x14ac:dyDescent="0.2">
      <c r="A1" t="s">
        <v>90</v>
      </c>
    </row>
    <row r="2" spans="1:2" x14ac:dyDescent="0.2">
      <c r="A2" t="s">
        <v>0</v>
      </c>
    </row>
    <row r="3" spans="1:2" x14ac:dyDescent="0.2">
      <c r="A3" t="s">
        <v>21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16</v>
      </c>
    </row>
    <row r="7" spans="1:2" x14ac:dyDescent="0.2">
      <c r="A7" t="s">
        <v>3</v>
      </c>
    </row>
    <row r="8" spans="1:2" x14ac:dyDescent="0.2">
      <c r="A8" t="s">
        <v>4</v>
      </c>
      <c r="B8" t="s">
        <v>8</v>
      </c>
    </row>
    <row r="9" spans="1:2" x14ac:dyDescent="0.2">
      <c r="A9" t="s">
        <v>5</v>
      </c>
      <c r="B9" t="s">
        <v>17</v>
      </c>
    </row>
    <row r="10" spans="1:2" x14ac:dyDescent="0.2">
      <c r="A10" t="s">
        <v>6</v>
      </c>
      <c r="B10" t="s">
        <v>7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12</v>
      </c>
      <c r="B13" t="s">
        <v>75</v>
      </c>
    </row>
    <row r="14" spans="1:2" x14ac:dyDescent="0.2">
      <c r="B14" t="s">
        <v>13</v>
      </c>
    </row>
    <row r="15" spans="1:2" x14ac:dyDescent="0.2">
      <c r="A15" t="s">
        <v>15</v>
      </c>
      <c r="B15" t="s">
        <v>18</v>
      </c>
    </row>
    <row r="17" spans="1:9" x14ac:dyDescent="0.2">
      <c r="A17" t="s">
        <v>19</v>
      </c>
    </row>
    <row r="18" spans="1:9" x14ac:dyDescent="0.2">
      <c r="A18" t="s">
        <v>20</v>
      </c>
    </row>
    <row r="20" spans="1:9" x14ac:dyDescent="0.2">
      <c r="A20" t="s">
        <v>22</v>
      </c>
      <c r="B20" t="s">
        <v>89</v>
      </c>
    </row>
    <row r="21" spans="1:9" x14ac:dyDescent="0.2">
      <c r="A21" t="s">
        <v>23</v>
      </c>
    </row>
    <row r="22" spans="1:9" x14ac:dyDescent="0.2">
      <c r="C22" t="s">
        <v>25</v>
      </c>
      <c r="D22" t="s">
        <v>26</v>
      </c>
    </row>
    <row r="23" spans="1:9" x14ac:dyDescent="0.2">
      <c r="A23" s="1">
        <v>38322</v>
      </c>
      <c r="B23" t="s">
        <v>24</v>
      </c>
      <c r="C23">
        <v>1000</v>
      </c>
      <c r="D23">
        <v>8</v>
      </c>
    </row>
    <row r="24" spans="1:9" x14ac:dyDescent="0.2">
      <c r="A24" s="1">
        <v>38326</v>
      </c>
      <c r="B24" t="s">
        <v>27</v>
      </c>
      <c r="C24">
        <v>3000</v>
      </c>
      <c r="D24">
        <v>7.8</v>
      </c>
    </row>
    <row r="25" spans="1:9" x14ac:dyDescent="0.2">
      <c r="A25" s="1">
        <v>38339</v>
      </c>
      <c r="B25" t="s">
        <v>27</v>
      </c>
      <c r="C25">
        <v>4000</v>
      </c>
      <c r="D25">
        <v>8.15</v>
      </c>
    </row>
    <row r="26" spans="1:9" x14ac:dyDescent="0.2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">
      <c r="I27">
        <f>2500*8.05</f>
        <v>20125</v>
      </c>
    </row>
    <row r="28" spans="1:9" x14ac:dyDescent="0.2">
      <c r="A28" t="s">
        <v>28</v>
      </c>
      <c r="C28" s="1">
        <v>38352</v>
      </c>
      <c r="D28" t="s">
        <v>29</v>
      </c>
    </row>
    <row r="29" spans="1:9" x14ac:dyDescent="0.2">
      <c r="A29" t="s">
        <v>30</v>
      </c>
      <c r="C29" t="s">
        <v>31</v>
      </c>
    </row>
    <row r="31" spans="1:9" x14ac:dyDescent="0.2">
      <c r="A31" t="s">
        <v>41</v>
      </c>
    </row>
    <row r="32" spans="1:9" x14ac:dyDescent="0.2">
      <c r="C32" t="s">
        <v>32</v>
      </c>
      <c r="D32" t="s">
        <v>34</v>
      </c>
      <c r="E32" t="s">
        <v>35</v>
      </c>
    </row>
    <row r="33" spans="1:11" x14ac:dyDescent="0.2">
      <c r="C33" t="s">
        <v>33</v>
      </c>
      <c r="D33" t="s">
        <v>37</v>
      </c>
      <c r="E33" t="s">
        <v>36</v>
      </c>
    </row>
    <row r="34" spans="1:11" x14ac:dyDescent="0.2">
      <c r="C34" s="1">
        <v>38352</v>
      </c>
      <c r="D34" s="3">
        <v>38352</v>
      </c>
      <c r="E34" s="2">
        <v>38322</v>
      </c>
    </row>
    <row r="35" spans="1:11" x14ac:dyDescent="0.2">
      <c r="A35" t="s">
        <v>38</v>
      </c>
      <c r="C35" s="4"/>
      <c r="D35" s="4"/>
      <c r="E35" s="4"/>
    </row>
    <row r="36" spans="1:11" x14ac:dyDescent="0.2">
      <c r="A36" t="s">
        <v>39</v>
      </c>
      <c r="C36" s="4"/>
      <c r="D36" s="4"/>
      <c r="E36" s="4"/>
    </row>
    <row r="37" spans="1:11" x14ac:dyDescent="0.2">
      <c r="A37" t="s">
        <v>40</v>
      </c>
      <c r="C37" s="4"/>
      <c r="D37" s="4"/>
      <c r="E37" s="4"/>
    </row>
    <row r="40" spans="1:11" x14ac:dyDescent="0.2">
      <c r="A40" t="s">
        <v>42</v>
      </c>
    </row>
    <row r="41" spans="1:11" x14ac:dyDescent="0.2">
      <c r="A41" t="s">
        <v>21</v>
      </c>
    </row>
    <row r="42" spans="1:11" x14ac:dyDescent="0.2">
      <c r="A42" t="s">
        <v>59</v>
      </c>
      <c r="B42" t="s">
        <v>43</v>
      </c>
      <c r="D42">
        <v>55000</v>
      </c>
    </row>
    <row r="43" spans="1:11" x14ac:dyDescent="0.2">
      <c r="B43" t="s">
        <v>44</v>
      </c>
      <c r="E43">
        <v>55000</v>
      </c>
    </row>
    <row r="44" spans="1:11" x14ac:dyDescent="0.2">
      <c r="A44" t="s">
        <v>5</v>
      </c>
      <c r="B44" t="s">
        <v>45</v>
      </c>
      <c r="D44">
        <v>1500</v>
      </c>
    </row>
    <row r="45" spans="1:11" x14ac:dyDescent="0.2">
      <c r="B45" t="s">
        <v>46</v>
      </c>
      <c r="E45">
        <v>1500</v>
      </c>
    </row>
    <row r="46" spans="1:11" x14ac:dyDescent="0.2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">
      <c r="B47" t="s">
        <v>48</v>
      </c>
      <c r="E47">
        <f>53500*0.02</f>
        <v>1070</v>
      </c>
      <c r="F47" t="s">
        <v>51</v>
      </c>
    </row>
    <row r="48" spans="1:11" x14ac:dyDescent="0.2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">
      <c r="A49" t="s">
        <v>53</v>
      </c>
      <c r="B49" t="s">
        <v>54</v>
      </c>
      <c r="D49">
        <v>55000</v>
      </c>
    </row>
    <row r="50" spans="1:11" x14ac:dyDescent="0.2">
      <c r="B50" t="s">
        <v>55</v>
      </c>
      <c r="D50">
        <v>54000</v>
      </c>
    </row>
    <row r="51" spans="1:11" x14ac:dyDescent="0.2">
      <c r="B51" t="s">
        <v>63</v>
      </c>
      <c r="E51">
        <v>109000</v>
      </c>
      <c r="K51">
        <v>8000</v>
      </c>
    </row>
    <row r="52" spans="1:11" x14ac:dyDescent="0.2">
      <c r="A52" t="s">
        <v>11</v>
      </c>
      <c r="B52" t="s">
        <v>56</v>
      </c>
      <c r="D52">
        <v>1700</v>
      </c>
      <c r="K52">
        <v>23400</v>
      </c>
    </row>
    <row r="53" spans="1:11" x14ac:dyDescent="0.2">
      <c r="B53" t="s">
        <v>57</v>
      </c>
      <c r="E53">
        <v>1700</v>
      </c>
      <c r="K53">
        <v>12225</v>
      </c>
    </row>
    <row r="54" spans="1:11" x14ac:dyDescent="0.2">
      <c r="A54" t="s">
        <v>12</v>
      </c>
      <c r="B54" t="s">
        <v>58</v>
      </c>
      <c r="D54">
        <v>5200</v>
      </c>
    </row>
    <row r="55" spans="1:11" x14ac:dyDescent="0.2">
      <c r="B55" t="s">
        <v>49</v>
      </c>
      <c r="E55">
        <v>5200</v>
      </c>
    </row>
    <row r="56" spans="1:11" x14ac:dyDescent="0.2">
      <c r="A56">
        <v>2</v>
      </c>
    </row>
    <row r="57" spans="1:11" x14ac:dyDescent="0.2">
      <c r="A57" t="s">
        <v>60</v>
      </c>
    </row>
    <row r="58" spans="1:11" x14ac:dyDescent="0.2">
      <c r="A58" t="s">
        <v>61</v>
      </c>
    </row>
    <row r="59" spans="1:11" x14ac:dyDescent="0.2">
      <c r="A59" t="s">
        <v>62</v>
      </c>
    </row>
    <row r="60" spans="1:11" x14ac:dyDescent="0.2">
      <c r="A60" t="s">
        <v>63</v>
      </c>
      <c r="F60">
        <v>109000</v>
      </c>
    </row>
    <row r="61" spans="1:11" x14ac:dyDescent="0.2">
      <c r="A61" t="s">
        <v>64</v>
      </c>
      <c r="F61">
        <v>1700</v>
      </c>
    </row>
    <row r="62" spans="1:11" x14ac:dyDescent="0.2">
      <c r="A62" t="s">
        <v>65</v>
      </c>
      <c r="F62" s="5">
        <f>F60-F61</f>
        <v>107300</v>
      </c>
    </row>
    <row r="63" spans="1:11" x14ac:dyDescent="0.2">
      <c r="A63" t="s">
        <v>34</v>
      </c>
    </row>
    <row r="64" spans="1:11" x14ac:dyDescent="0.2">
      <c r="A64" t="s">
        <v>66</v>
      </c>
      <c r="E64">
        <v>15000</v>
      </c>
    </row>
    <row r="65" spans="1:6" x14ac:dyDescent="0.2">
      <c r="A65" t="s">
        <v>43</v>
      </c>
      <c r="D65">
        <v>55000</v>
      </c>
    </row>
    <row r="66" spans="1:6" x14ac:dyDescent="0.2">
      <c r="A66" t="s">
        <v>67</v>
      </c>
      <c r="C66">
        <v>1500</v>
      </c>
    </row>
    <row r="67" spans="1:6" x14ac:dyDescent="0.2">
      <c r="A67" t="s">
        <v>68</v>
      </c>
      <c r="C67">
        <v>1070</v>
      </c>
      <c r="D67">
        <f>SUM(C66:C67)</f>
        <v>2570</v>
      </c>
    </row>
    <row r="68" spans="1:6" x14ac:dyDescent="0.2">
      <c r="A68" t="s">
        <v>69</v>
      </c>
      <c r="D68" s="5">
        <f>D65-D67</f>
        <v>52430</v>
      </c>
    </row>
    <row r="69" spans="1:6" x14ac:dyDescent="0.2">
      <c r="A69" t="s">
        <v>70</v>
      </c>
      <c r="D69">
        <v>5200</v>
      </c>
    </row>
    <row r="70" spans="1:6" x14ac:dyDescent="0.2">
      <c r="A70" t="s">
        <v>71</v>
      </c>
      <c r="D70" s="5"/>
      <c r="E70">
        <f>D68+D69</f>
        <v>57630</v>
      </c>
    </row>
    <row r="71" spans="1:6" x14ac:dyDescent="0.2">
      <c r="A71" t="s">
        <v>72</v>
      </c>
      <c r="E71" s="5">
        <f>SUM(E64:E70)</f>
        <v>72630</v>
      </c>
    </row>
    <row r="72" spans="1:6" x14ac:dyDescent="0.2">
      <c r="A72" t="s">
        <v>73</v>
      </c>
      <c r="E72">
        <v>12500</v>
      </c>
    </row>
    <row r="73" spans="1:6" x14ac:dyDescent="0.2">
      <c r="A73" t="s">
        <v>34</v>
      </c>
      <c r="E73" s="5"/>
      <c r="F73" s="6">
        <f>E71-E72</f>
        <v>60130</v>
      </c>
    </row>
    <row r="74" spans="1:6" x14ac:dyDescent="0.2">
      <c r="A74" t="s">
        <v>74</v>
      </c>
      <c r="E74" s="6"/>
      <c r="F74" s="5">
        <f>F62-F73</f>
        <v>47170</v>
      </c>
    </row>
    <row r="76" spans="1:6" x14ac:dyDescent="0.2">
      <c r="A76" t="s">
        <v>76</v>
      </c>
    </row>
    <row r="78" spans="1:6" x14ac:dyDescent="0.2">
      <c r="C78" t="s">
        <v>32</v>
      </c>
      <c r="D78" t="s">
        <v>34</v>
      </c>
      <c r="E78" t="s">
        <v>35</v>
      </c>
      <c r="F78" t="s">
        <v>88</v>
      </c>
    </row>
    <row r="79" spans="1:6" x14ac:dyDescent="0.2">
      <c r="C79" t="s">
        <v>33</v>
      </c>
      <c r="D79" t="s">
        <v>37</v>
      </c>
      <c r="E79" t="s">
        <v>36</v>
      </c>
    </row>
    <row r="80" spans="1:6" x14ac:dyDescent="0.2">
      <c r="C80" s="1">
        <v>38352</v>
      </c>
      <c r="D80" s="3">
        <v>38352</v>
      </c>
      <c r="E80" s="2">
        <v>38322</v>
      </c>
    </row>
    <row r="81" spans="1:12" x14ac:dyDescent="0.2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">
      <c r="C87" t="s">
        <v>25</v>
      </c>
      <c r="D87" t="s">
        <v>26</v>
      </c>
      <c r="E87" t="s">
        <v>77</v>
      </c>
    </row>
    <row r="88" spans="1:12" x14ac:dyDescent="0.2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">
      <c r="A90" s="1">
        <v>38339</v>
      </c>
      <c r="B90" t="s">
        <v>27</v>
      </c>
      <c r="C90">
        <v>4000</v>
      </c>
      <c r="D90">
        <v>8.15</v>
      </c>
      <c r="E90">
        <f>C90*D90</f>
        <v>32600</v>
      </c>
    </row>
    <row r="91" spans="1:12" x14ac:dyDescent="0.2">
      <c r="A91" s="1">
        <v>38345</v>
      </c>
      <c r="B91" t="s">
        <v>27</v>
      </c>
      <c r="C91">
        <v>2000</v>
      </c>
      <c r="D91">
        <v>8.25</v>
      </c>
      <c r="E91">
        <f>2</f>
        <v>2</v>
      </c>
      <c r="L91">
        <v>28525</v>
      </c>
    </row>
    <row r="92" spans="1:12" x14ac:dyDescent="0.2">
      <c r="A92" t="s">
        <v>78</v>
      </c>
      <c r="C92" s="5">
        <f>SUM(C88:C91)</f>
        <v>10000</v>
      </c>
      <c r="E92" s="5">
        <f>SUM(E88:E91)</f>
        <v>64002</v>
      </c>
      <c r="L92">
        <v>8000</v>
      </c>
    </row>
    <row r="93" spans="1:12" x14ac:dyDescent="0.2">
      <c r="A93" t="s">
        <v>28</v>
      </c>
      <c r="C93" s="1">
        <v>38352</v>
      </c>
      <c r="D93" t="s">
        <v>29</v>
      </c>
      <c r="L93">
        <v>23400</v>
      </c>
    </row>
    <row r="94" spans="1:12" x14ac:dyDescent="0.2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">
      <c r="A96" t="s">
        <v>38</v>
      </c>
      <c r="B96" t="s">
        <v>79</v>
      </c>
      <c r="J96">
        <v>80500</v>
      </c>
    </row>
    <row r="97" spans="1:10" x14ac:dyDescent="0.2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">
      <c r="H99" s="5"/>
      <c r="J99" s="9">
        <f>SUM(H97:H98)</f>
        <v>20575</v>
      </c>
    </row>
    <row r="100" spans="1:10" x14ac:dyDescent="0.2">
      <c r="B100" t="s">
        <v>34</v>
      </c>
      <c r="J100" s="8">
        <f>J96-J99</f>
        <v>59925</v>
      </c>
    </row>
    <row r="102" spans="1:10" x14ac:dyDescent="0.2">
      <c r="A102" t="s">
        <v>39</v>
      </c>
      <c r="B102" t="s">
        <v>79</v>
      </c>
      <c r="J102">
        <v>80500</v>
      </c>
    </row>
    <row r="103" spans="1:10" x14ac:dyDescent="0.2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">
      <c r="H105" s="5"/>
      <c r="J105" s="9">
        <f>SUM(H103:H104)</f>
        <v>19700</v>
      </c>
    </row>
    <row r="106" spans="1:10" x14ac:dyDescent="0.2">
      <c r="B106" t="s">
        <v>34</v>
      </c>
      <c r="J106" s="8">
        <f>J102-J105</f>
        <v>60800</v>
      </c>
    </row>
    <row r="108" spans="1:10" x14ac:dyDescent="0.2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">
      <c r="B109" t="s">
        <v>79</v>
      </c>
      <c r="J109">
        <v>80500</v>
      </c>
    </row>
    <row r="110" spans="1:10" x14ac:dyDescent="0.2">
      <c r="B110" t="s">
        <v>80</v>
      </c>
      <c r="D110" t="s">
        <v>86</v>
      </c>
      <c r="J110" s="10">
        <f>8.05*2500</f>
        <v>20125</v>
      </c>
    </row>
    <row r="111" spans="1:10" x14ac:dyDescent="0.2">
      <c r="B111" t="s">
        <v>34</v>
      </c>
      <c r="J111" s="8">
        <f>J109-J110</f>
        <v>60375</v>
      </c>
    </row>
  </sheetData>
  <phoneticPr fontId="0" type="noConversion"/>
  <pageMargins left="0.78740157499999996" right="0.78740157499999996" top="0.984251969" bottom="0.984251969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2445-D5AE-4369-A734-E8EA1E933CA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160C-5A59-4654-8AA1-51554C755F4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Kaufmann Timon</cp:lastModifiedBy>
  <cp:lastPrinted>2002-07-28T00:47:15Z</cp:lastPrinted>
  <dcterms:created xsi:type="dcterms:W3CDTF">2002-07-27T23:06:43Z</dcterms:created>
  <dcterms:modified xsi:type="dcterms:W3CDTF">2026-02-03T12:50:08Z</dcterms:modified>
</cp:coreProperties>
</file>