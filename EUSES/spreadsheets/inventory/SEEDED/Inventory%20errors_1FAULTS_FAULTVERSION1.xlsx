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36F24E8-C1C0-49C2-B245-47D73A054A7C}" xr6:coauthVersionLast="47" xr6:coauthVersionMax="47" xr10:uidLastSave="{00000000-0000-0000-0000-000000000000}"/>
  <bookViews>
    <workbookView xWindow="-120" yWindow="-120" windowWidth="29040" windowHeight="15720" xr2:uid="{17CE28B1-9338-4C6E-99A2-41772AAF6EE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 s="1"/>
  <c r="F12" i="3" s="1"/>
  <c r="G14" i="3" s="1"/>
  <c r="G15" i="3" s="1"/>
  <c r="G17" i="3" s="1"/>
  <c r="F35" i="3" s="1"/>
  <c r="G36" i="3" s="1"/>
  <c r="G37" i="3" s="1"/>
  <c r="E31" i="3"/>
  <c r="B13" i="3"/>
  <c r="B23" i="3" s="1"/>
  <c r="C26" i="3" s="1"/>
  <c r="C31" i="3"/>
  <c r="B12" i="3"/>
  <c r="C14" i="3" s="1"/>
  <c r="C15" i="3" s="1"/>
  <c r="C17" i="3" s="1"/>
  <c r="B35" i="3" s="1"/>
  <c r="C36" i="3" s="1"/>
  <c r="F23" i="3"/>
  <c r="G26" i="3"/>
  <c r="D23" i="3"/>
  <c r="E26" i="3" s="1"/>
  <c r="F33" i="2"/>
  <c r="G29" i="2"/>
  <c r="G34" i="2"/>
  <c r="G35" i="2"/>
  <c r="E29" i="2"/>
  <c r="C29" i="2"/>
  <c r="F21" i="2"/>
  <c r="G24" i="2"/>
  <c r="D21" i="2"/>
  <c r="E24" i="2" s="1"/>
  <c r="B21" i="2"/>
  <c r="C24" i="2"/>
  <c r="G29" i="1"/>
  <c r="F21" i="1"/>
  <c r="G24" i="1"/>
  <c r="E29" i="1"/>
  <c r="D21" i="1"/>
  <c r="E24" i="1" s="1"/>
  <c r="C29" i="1"/>
  <c r="B21" i="1"/>
  <c r="C24" i="1" s="1"/>
  <c r="B11" i="2"/>
  <c r="D11" i="2"/>
  <c r="F8" i="2"/>
  <c r="F10" i="2"/>
  <c r="G12" i="2"/>
  <c r="G13" i="2"/>
  <c r="G15" i="2"/>
  <c r="D8" i="2"/>
  <c r="D10" i="2"/>
  <c r="E12" i="2" s="1"/>
  <c r="E13" i="2" s="1"/>
  <c r="E15" i="2" s="1"/>
  <c r="D33" i="2" s="1"/>
  <c r="E34" i="2" s="1"/>
  <c r="E35" i="2" s="1"/>
  <c r="B10" i="2"/>
  <c r="C12" i="2"/>
  <c r="C13" i="2"/>
  <c r="C15" i="2" s="1"/>
  <c r="B33" i="2" s="1"/>
  <c r="C34" i="2" s="1"/>
  <c r="F8" i="1"/>
  <c r="F10" i="1" s="1"/>
  <c r="G12" i="1" s="1"/>
  <c r="G13" i="1" s="1"/>
  <c r="G15" i="1" s="1"/>
  <c r="F33" i="1" s="1"/>
  <c r="G34" i="1" s="1"/>
  <c r="G35" i="1" s="1"/>
  <c r="D8" i="1"/>
  <c r="D10" i="1" s="1"/>
  <c r="E12" i="1" s="1"/>
  <c r="E13" i="1" s="1"/>
  <c r="E15" i="1" s="1"/>
  <c r="D33" i="1" s="1"/>
  <c r="E34" i="1" s="1"/>
  <c r="E35" i="1" s="1"/>
  <c r="B10" i="1"/>
  <c r="C12" i="1" s="1"/>
  <c r="C13" i="1" s="1"/>
  <c r="C15" i="1" s="1"/>
  <c r="B33" i="1" s="1"/>
  <c r="C34" i="1" s="1"/>
  <c r="C35" i="1" s="1"/>
  <c r="C35" i="2" l="1"/>
  <c r="C37" i="3"/>
  <c r="D10" i="3"/>
  <c r="D12" i="3" s="1"/>
  <c r="E14" i="3" s="1"/>
  <c r="E15" i="3" s="1"/>
  <c r="E17" i="3" s="1"/>
  <c r="D35" i="3" s="1"/>
  <c r="E36" i="3" s="1"/>
  <c r="E37" i="3" s="1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<sst xmlns="http://schemas.openxmlformats.org/spreadsheetml/2006/main" count="91" uniqueCount="37">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</sst>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3E30-A8F1-44EF-A806-EE1EC9AA31BF}">
  <dimension ref="A1:G36"/>
  <sheetViews>
    <sheetView tabSelected="1" workbookViewId="0">
      <selection activeCell="E4" sqref="E4"/>
    </sheetView>
  </sheetViews>
  <sheetFormatPr baseColWidth="10" defaultRowHeight="12.75" x14ac:dyDescent="0.2"/>
  <cols>
    <col min="1" max="1" width="27.285156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27</v>
      </c>
    </row>
    <row r="3" spans="1:7" x14ac:dyDescent="0.2">
      <c r="A3" s="7" t="s">
        <v>28</v>
      </c>
    </row>
    <row r="4" spans="1:7" x14ac:dyDescent="0.2">
      <c r="A4" s="7" t="s">
        <v>29</v>
      </c>
      <c r="E4" t="s">
        <v>36</v>
      </c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.5" thickBot="1" x14ac:dyDescent="0.25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4E11-2E35-4CD0-B3E2-3847A4DF9738}">
  <dimension ref="A1:G36"/>
  <sheetViews>
    <sheetView workbookViewId="0">
      <selection sqref="A1:G36"/>
    </sheetView>
  </sheetViews>
  <sheetFormatPr baseColWidth="10" defaultRowHeight="12.75" x14ac:dyDescent="0.2"/>
  <cols>
    <col min="1" max="1" width="28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30</v>
      </c>
    </row>
    <row r="3" spans="1:7" x14ac:dyDescent="0.2">
      <c r="A3" s="7" t="s">
        <v>31</v>
      </c>
    </row>
    <row r="4" spans="1:7" x14ac:dyDescent="0.2">
      <c r="A4" s="7"/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196800</v>
      </c>
      <c r="E8" s="3"/>
      <c r="F8" s="3">
        <f>D11</f>
        <v>122200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377000</v>
      </c>
      <c r="E10" s="3"/>
      <c r="F10" s="3">
        <f>F8+F9</f>
        <v>289400</v>
      </c>
      <c r="G10" s="3"/>
    </row>
    <row r="11" spans="1:7" x14ac:dyDescent="0.2">
      <c r="A11" t="s">
        <v>6</v>
      </c>
      <c r="B11" s="5">
        <f>179800+17000</f>
        <v>196800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188200</v>
      </c>
      <c r="D12" s="3"/>
      <c r="E12" s="5">
        <f>D10-D11</f>
        <v>254800</v>
      </c>
      <c r="F12" s="3"/>
      <c r="G12" s="5">
        <f>F10-F11</f>
        <v>85430</v>
      </c>
    </row>
    <row r="13" spans="1:7" x14ac:dyDescent="0.2">
      <c r="A13" t="s">
        <v>8</v>
      </c>
      <c r="B13" s="3"/>
      <c r="C13" s="3">
        <f>C6-C12</f>
        <v>251800</v>
      </c>
      <c r="D13" s="3"/>
      <c r="E13" s="3">
        <f>E6-E12</f>
        <v>255200</v>
      </c>
      <c r="F13" s="3"/>
      <c r="G13" s="3">
        <f>G6-G12</f>
        <v>374570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191800</v>
      </c>
      <c r="D15" s="3"/>
      <c r="E15" s="4">
        <f>E13-E14</f>
        <v>169270</v>
      </c>
      <c r="F15" s="3"/>
      <c r="G15" s="4">
        <f>G13-G14</f>
        <v>294510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196800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796800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191800</v>
      </c>
      <c r="C33" s="3"/>
      <c r="D33" s="3">
        <f>E15</f>
        <v>169270</v>
      </c>
      <c r="E33" s="3"/>
      <c r="F33" s="3">
        <f>G15</f>
        <v>294510</v>
      </c>
      <c r="G33" s="3"/>
    </row>
    <row r="34" spans="1:7" x14ac:dyDescent="0.2">
      <c r="A34" t="s">
        <v>26</v>
      </c>
      <c r="B34" s="3"/>
      <c r="C34" s="3">
        <f>SUM(B32:B33)</f>
        <v>321600</v>
      </c>
      <c r="D34" s="3"/>
      <c r="E34" s="3">
        <f>SUM(D32:D33)</f>
        <v>274000</v>
      </c>
      <c r="F34" s="3"/>
      <c r="G34" s="3">
        <f>SUM(F32:F33)</f>
        <v>361000</v>
      </c>
    </row>
    <row r="35" spans="1:7" ht="13.5" thickBot="1" x14ac:dyDescent="0.25">
      <c r="A35" t="s">
        <v>25</v>
      </c>
      <c r="B35" s="3"/>
      <c r="C35" s="4">
        <f>SUM(C29:C34)</f>
        <v>796600</v>
      </c>
      <c r="D35" s="3"/>
      <c r="E35" s="4">
        <f>SUM(E29:E34)</f>
        <v>749000</v>
      </c>
      <c r="F35" s="3"/>
      <c r="G35" s="4">
        <f>SUM(G29:G34)</f>
        <v>836000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ACE8-A2A4-4E97-B28D-845D68641CE9}">
  <dimension ref="A1:G38"/>
  <sheetViews>
    <sheetView workbookViewId="0">
      <selection activeCell="A4" sqref="A4"/>
    </sheetView>
  </sheetViews>
  <sheetFormatPr baseColWidth="10" defaultRowHeight="12.75" x14ac:dyDescent="0.2"/>
  <cols>
    <col min="1" max="1" width="21.57031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32</v>
      </c>
    </row>
    <row r="3" spans="1:7" x14ac:dyDescent="0.2">
      <c r="A3" s="7" t="s">
        <v>35</v>
      </c>
    </row>
    <row r="4" spans="1:7" x14ac:dyDescent="0.2">
      <c r="A4" s="7" t="s">
        <v>33</v>
      </c>
    </row>
    <row r="5" spans="1:7" x14ac:dyDescent="0.2">
      <c r="A5" s="7" t="s">
        <v>34</v>
      </c>
    </row>
    <row r="6" spans="1:7" x14ac:dyDescent="0.2">
      <c r="A6" s="7"/>
    </row>
    <row r="7" spans="1:7" ht="15.75" x14ac:dyDescent="0.25">
      <c r="C7" s="6">
        <v>2001</v>
      </c>
      <c r="D7" s="6"/>
      <c r="E7" s="6">
        <v>2002</v>
      </c>
      <c r="F7" s="6"/>
      <c r="G7" s="6">
        <v>2003</v>
      </c>
    </row>
    <row r="8" spans="1:7" x14ac:dyDescent="0.2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">
      <c r="A9" t="s">
        <v>2</v>
      </c>
      <c r="B9" s="3"/>
      <c r="C9" s="3"/>
      <c r="D9" s="3"/>
      <c r="E9" s="3"/>
      <c r="F9" s="3"/>
      <c r="G9" s="3"/>
    </row>
    <row r="10" spans="1:7" x14ac:dyDescent="0.2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">
      <c r="A12" t="s">
        <v>5</v>
      </c>
      <c r="B12" s="3">
        <f>B10-B11</f>
        <v>-55000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">
      <c r="A14" t="s">
        <v>7</v>
      </c>
      <c r="B14" s="3"/>
      <c r="C14" s="5">
        <f>B12-B13</f>
        <v>-251800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">
      <c r="A15" t="s">
        <v>8</v>
      </c>
      <c r="B15" s="3"/>
      <c r="C15" s="3">
        <f>C8-C14</f>
        <v>691800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.5" thickBot="1" x14ac:dyDescent="0.25">
      <c r="A17" t="s">
        <v>10</v>
      </c>
      <c r="B17" s="3"/>
      <c r="C17" s="4">
        <f>C15-C16</f>
        <v>631800</v>
      </c>
      <c r="D17" s="3"/>
      <c r="E17" s="4">
        <f>E15-E16</f>
        <v>169270</v>
      </c>
      <c r="F17" s="3"/>
      <c r="G17" s="4">
        <f>G15-G16</f>
        <v>294510</v>
      </c>
    </row>
    <row r="18" spans="1:7" ht="13.5" thickTop="1" x14ac:dyDescent="0.2"/>
    <row r="20" spans="1:7" x14ac:dyDescent="0.2">
      <c r="A20" s="1" t="s">
        <v>11</v>
      </c>
    </row>
    <row r="21" spans="1:7" x14ac:dyDescent="0.2">
      <c r="A21" s="1" t="s">
        <v>14</v>
      </c>
    </row>
    <row r="22" spans="1:7" x14ac:dyDescent="0.2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.5" thickBot="1" x14ac:dyDescent="0.25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.5" thickTop="1" x14ac:dyDescent="0.2">
      <c r="B27" s="3"/>
      <c r="C27" s="3"/>
      <c r="D27" s="3"/>
      <c r="E27" s="3"/>
      <c r="F27" s="3"/>
      <c r="G27" s="3"/>
    </row>
    <row r="28" spans="1:7" x14ac:dyDescent="0.2">
      <c r="A28" t="s">
        <v>18</v>
      </c>
      <c r="B28" s="3"/>
      <c r="C28" s="3"/>
      <c r="D28" s="3"/>
      <c r="E28" s="3"/>
      <c r="F28" s="3"/>
      <c r="G28" s="3"/>
    </row>
    <row r="29" spans="1:7" x14ac:dyDescent="0.2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">
      <c r="B32" s="3"/>
      <c r="C32" s="3"/>
      <c r="D32" s="3"/>
      <c r="E32" s="3"/>
      <c r="F32" s="3"/>
      <c r="G32" s="3"/>
    </row>
    <row r="33" spans="1:7" x14ac:dyDescent="0.2">
      <c r="A33" t="s">
        <v>22</v>
      </c>
      <c r="B33" s="3"/>
      <c r="C33" s="3"/>
      <c r="D33" s="3"/>
      <c r="E33" s="3"/>
      <c r="F33" s="3"/>
      <c r="G33" s="3"/>
    </row>
    <row r="34" spans="1:7" x14ac:dyDescent="0.2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">
      <c r="A35" t="s">
        <v>24</v>
      </c>
      <c r="B35" s="3">
        <f>C17</f>
        <v>631800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">
      <c r="A36" t="s">
        <v>26</v>
      </c>
      <c r="B36" s="3"/>
      <c r="C36" s="3">
        <f>SUM(B34:B35)</f>
        <v>761600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.5" thickBot="1" x14ac:dyDescent="0.25">
      <c r="A37" t="s">
        <v>25</v>
      </c>
      <c r="B37" s="3"/>
      <c r="C37" s="4">
        <f>SUM(C31:C36)</f>
        <v>1236600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.5" thickTop="1" x14ac:dyDescent="0.2"/>
  </sheetData>
  <phoneticPr fontId="3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Kaufmann Timon</cp:lastModifiedBy>
  <cp:lastPrinted>2003-10-15T20:10:06Z</cp:lastPrinted>
  <dcterms:created xsi:type="dcterms:W3CDTF">2003-10-15T19:25:02Z</dcterms:created>
  <dcterms:modified xsi:type="dcterms:W3CDTF">2026-02-03T12:50:56Z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