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1003" sheetId="2" state="visible" r:id="rId3"/>
    <sheet name="1043" sheetId="3" state="visible" r:id="rId4"/>
    <sheet name="1166" sheetId="4" state="visible" r:id="rId5"/>
    <sheet name="1198" sheetId="5" state="visible" r:id="rId6"/>
    <sheet name="1856" sheetId="6" state="visible" r:id="rId7"/>
  </sheets>
  <externalReferences>
    <externalReference r:id="rId8"/>
    <externalReference r:id="rId9"/>
  </externalReferences>
  <definedNames>
    <definedName function="false" hidden="false" localSheetId="0" name="_xlnm.Print_Area" vbProcedure="false">Summary!$A$1:$I$65</definedName>
    <definedName function="false" hidden="false" name="CarryForward" vbProcedure="false">[2]Summary!$C$6</definedName>
    <definedName function="false" hidden="false" name="Central_allocations" vbProcedure="false">[2]Summary!$C$32</definedName>
    <definedName function="false" hidden="false" name="Excel_BuiltIn_Print_Area" vbProcedure="false">'[2]#REF!'!$A$1:$H$75</definedName>
    <definedName function="false" hidden="false" name="ExpByFunction" vbProcedure="false">[2]Summary!$C$45</definedName>
    <definedName function="false" hidden="false" name="ExpByObject" vbProcedure="false">[2]Summary!$C$60</definedName>
    <definedName function="false" hidden="false" name="Revenues" vbProcedure="false">[2]Summary!$A$29:$AMJ$29</definedName>
    <definedName function="false" hidden="false" name="solver_opt" vbProcedure="false">[2]Summary!$O$3599</definedName>
    <definedName function="false" hidden="false" localSheetId="0" name="CarryForward" vbProcedure="false">Summary!$C$6</definedName>
    <definedName function="false" hidden="false" localSheetId="0" name="Central_allocations" vbProcedure="false">Summary!$C$17</definedName>
    <definedName function="false" hidden="false" localSheetId="0" name="ExpByFunction" vbProcedure="false">Summary!$C$30</definedName>
    <definedName function="false" hidden="false" localSheetId="0" name="ExpByObject" vbProcedure="false">Summary!$C$45</definedName>
    <definedName function="false" hidden="false" localSheetId="0" name="Revenues" vbProcedure="false">Summary!$14:$14</definedName>
    <definedName function="false" hidden="false" localSheetId="0" name="solver_opt" vbProcedure="false">#REF!</definedName>
    <definedName function="false" hidden="false" localSheetId="1" name="CarryForward" vbProcedure="false">'[1].xls]Summary'!$C$6</definedName>
    <definedName function="false" hidden="false" localSheetId="1" name="Central_allocations" vbProcedure="false">'[1].xls]Summary'!$C$32</definedName>
    <definedName function="false" hidden="false" localSheetId="1" name="Excel_BuiltIn_Print_Area" vbProcedure="false">'[1]#REF!'!$A$1:$H$75</definedName>
    <definedName function="false" hidden="false" localSheetId="1" name="ExpByFunction" vbProcedure="false">'[1].xls]Summary'!$C$45</definedName>
    <definedName function="false" hidden="false" localSheetId="1" name="ExpByObject" vbProcedure="false">'[1].xls]Summary'!$C$60</definedName>
    <definedName function="false" hidden="false" localSheetId="1" name="Revenues" vbProcedure="false">'[1].xls]Summary'!$A$29:$AMJ$29</definedName>
    <definedName function="false" hidden="false" localSheetId="1" name="solver_opt" vbProcedure="false">'[1].xls]Summary'!$O$3599</definedName>
    <definedName function="false" hidden="false" localSheetId="2" name="CarryForward" vbProcedure="false">'[1].xls]Summary'!$C$6</definedName>
    <definedName function="false" hidden="false" localSheetId="2" name="Central_allocations" vbProcedure="false">'[1].xls]Summary'!$C$32</definedName>
    <definedName function="false" hidden="false" localSheetId="2" name="Excel_BuiltIn_Print_Area" vbProcedure="false">'[1]#REF!'!$A$1:$H$75</definedName>
    <definedName function="false" hidden="false" localSheetId="2" name="ExpByFunction" vbProcedure="false">'[1].xls]Summary'!$C$45</definedName>
    <definedName function="false" hidden="false" localSheetId="2" name="ExpByObject" vbProcedure="false">'[1].xls]Summary'!$C$60</definedName>
    <definedName function="false" hidden="false" localSheetId="2" name="Revenues" vbProcedure="false">'[1].xls]Summary'!$A$29:$AMJ$29</definedName>
    <definedName function="false" hidden="false" localSheetId="2" name="solver_opt" vbProcedure="false">'[1].xls]Summary'!$O$3599</definedName>
    <definedName function="false" hidden="false" localSheetId="3" name="CarryForward" vbProcedure="false">'[1].xls]Summary'!$C$6</definedName>
    <definedName function="false" hidden="false" localSheetId="3" name="Central_allocations" vbProcedure="false">'[1].xls]Summary'!$C$32</definedName>
    <definedName function="false" hidden="false" localSheetId="3" name="Excel_BuiltIn_Print_Area" vbProcedure="false">'[1]#REF!'!$A$1:$H$75</definedName>
    <definedName function="false" hidden="false" localSheetId="3" name="ExpByFunction" vbProcedure="false">'[1].xls]Summary'!$C$45</definedName>
    <definedName function="false" hidden="false" localSheetId="3" name="ExpByObject" vbProcedure="false">'[1].xls]Summary'!$C$60</definedName>
    <definedName function="false" hidden="false" localSheetId="3" name="Revenues" vbProcedure="false">'[1].xls]Summary'!$A$29:$AMJ$29</definedName>
    <definedName function="false" hidden="false" localSheetId="3" name="solver_opt" vbProcedure="false">'[1].xls]Summary'!$O$3599</definedName>
    <definedName function="false" hidden="false" localSheetId="4" name="CarryForward" vbProcedure="false">'[1].xls]Summary'!$C$6</definedName>
    <definedName function="false" hidden="false" localSheetId="4" name="Central_allocations" vbProcedure="false">'[1].xls]Summary'!$C$32</definedName>
    <definedName function="false" hidden="false" localSheetId="4" name="Excel_BuiltIn_Print_Area" vbProcedure="false">'[1]#REF!'!$A$1:$H$75</definedName>
    <definedName function="false" hidden="false" localSheetId="4" name="ExpByFunction" vbProcedure="false">'[1].xls]Summary'!$C$45</definedName>
    <definedName function="false" hidden="false" localSheetId="4" name="ExpByObject" vbProcedure="false">'[1].xls]Summary'!$C$60</definedName>
    <definedName function="false" hidden="false" localSheetId="4" name="Revenues" vbProcedure="false">'[1].xls]Summary'!$A$29:$AMJ$29</definedName>
    <definedName function="false" hidden="false" localSheetId="4" name="solver_opt" vbProcedure="false">'[1].xls]Summary'!$O$3599</definedName>
    <definedName function="false" hidden="false" localSheetId="5" name="CarryForward" vbProcedure="false">'[1].xls]Summary'!$C$6</definedName>
    <definedName function="false" hidden="false" localSheetId="5" name="Central_allocations" vbProcedure="false">'[1].xls]Summary'!$C$32</definedName>
    <definedName function="false" hidden="false" localSheetId="5" name="Excel_BuiltIn_Print_Area" vbProcedure="false">'[1]#REF!'!$A$1:$H$75</definedName>
    <definedName function="false" hidden="false" localSheetId="5" name="ExpByFunction" vbProcedure="false">'[1].xls]Summary'!$C$45</definedName>
    <definedName function="false" hidden="false" localSheetId="5" name="ExpByObject" vbProcedure="false">'[1].xls]Summary'!$C$60</definedName>
    <definedName function="false" hidden="false" localSheetId="5" name="Revenues" vbProcedure="false">'[1].xls]Summary'!$A$29:$AMJ$29</definedName>
    <definedName function="false" hidden="false" localSheetId="5" name="solver_opt" vbProcedure="false">'[1].xls]Summary'!$O$3599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<sst xmlns="http://schemas.openxmlformats.org/spreadsheetml/2006/main" count="512" uniqueCount="100">
  <si>
    <t xml:space="preserve">RRC: TFAC</t>
  </si>
  <si>
    <t xml:space="preserve">Fiscal Pages</t>
  </si>
  <si>
    <t xml:space="preserve">SUMMARY:  Current Non-Sponsored Funds</t>
  </si>
  <si>
    <t xml:space="preserve">Actual</t>
  </si>
  <si>
    <t xml:space="preserve">Period 14</t>
  </si>
  <si>
    <t xml:space="preserve">Projected</t>
  </si>
  <si>
    <t xml:space="preserve">Budget</t>
  </si>
  <si>
    <t xml:space="preserve"> </t>
  </si>
  <si>
    <t xml:space="preserve">               Excluding Multi Year accounts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</si>
  <si>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</si>
  <si>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</si>
  <si>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</si>
  <si>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</si>
  <si>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</si>
  <si>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</si>
  <si>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RESOURCES</t>
  </si>
  <si>
    <t xml:space="preserve">a</t>
  </si>
  <si>
    <t xml:space="preserve">Carry Forward</t>
  </si>
  <si>
    <t xml:space="preserve">Current Revenue - Total Revenue by Fund </t>
  </si>
  <si>
    <t xml:space="preserve">1003 UMT-GENERAL OPERATIONS &amp; MAINT</t>
  </si>
  <si>
    <t xml:space="preserve">1043 UMT-INDIRECT COST RECOVERY</t>
  </si>
  <si>
    <t xml:space="preserve">1166 UMT-FACILITIES MANAGEMENT</t>
  </si>
  <si>
    <t xml:space="preserve">1198 UMT-OTHER UNRESTRICTED</t>
  </si>
  <si>
    <t xml:space="preserve">1856 UMT-NS/U OF MN FOUNDATION</t>
  </si>
  <si>
    <t xml:space="preserve">b</t>
  </si>
  <si>
    <t xml:space="preserve">Total Revenues</t>
  </si>
  <si>
    <t xml:space="preserve">Transfers</t>
  </si>
  <si>
    <t xml:space="preserve">Central Allocations</t>
  </si>
  <si>
    <t xml:space="preserve">Central Allocations Out</t>
  </si>
  <si>
    <t xml:space="preserve">Mandatory Transfers In</t>
  </si>
  <si>
    <t xml:space="preserve">Mandatory Transfers Out</t>
  </si>
  <si>
    <t xml:space="preserve">Non-Mandatory Transfers In</t>
  </si>
  <si>
    <t xml:space="preserve">Non-Mandatory Transfers Out</t>
  </si>
  <si>
    <t xml:space="preserve">NM Transfer Out for Equipment Reserve</t>
  </si>
  <si>
    <t xml:space="preserve">c</t>
  </si>
  <si>
    <t xml:space="preserve">Net Transfers</t>
  </si>
  <si>
    <t xml:space="preserve">d</t>
  </si>
  <si>
    <t xml:space="preserve">TOTAL NET RESOURCES (a+b+c)</t>
  </si>
  <si>
    <t xml:space="preserve">EXPENDITURES  </t>
  </si>
  <si>
    <t xml:space="preserve">Expenditures by Function Type</t>
  </si>
  <si>
    <t xml:space="preserve">Instruction</t>
  </si>
  <si>
    <t xml:space="preserve">Research</t>
  </si>
  <si>
    <t xml:space="preserve">Public Service</t>
  </si>
  <si>
    <t xml:space="preserve">Academic Support</t>
  </si>
  <si>
    <t xml:space="preserve">Student Services</t>
  </si>
  <si>
    <t xml:space="preserve">Institutional Support</t>
  </si>
  <si>
    <t xml:space="preserve">Operation &amp; Maint. of Plant</t>
  </si>
  <si>
    <t xml:space="preserve">Scholarships &amp; Fellowships</t>
  </si>
  <si>
    <t xml:space="preserve">Auxiliary Enterprises</t>
  </si>
  <si>
    <t xml:space="preserve">Hospital</t>
  </si>
  <si>
    <t xml:space="preserve">Income Accounts</t>
  </si>
  <si>
    <t xml:space="preserve">Independant Operations</t>
  </si>
  <si>
    <t xml:space="preserve">TOTAL EXPENDITURES</t>
  </si>
  <si>
    <t xml:space="preserve">Expenditures by Object Class</t>
  </si>
  <si>
    <t xml:space="preserve">Salaries</t>
  </si>
  <si>
    <t xml:space="preserve">Fringe Benefits</t>
  </si>
  <si>
    <t xml:space="preserve">Student Aid</t>
  </si>
  <si>
    <t xml:space="preserve">Consultant/Purchased Person.</t>
  </si>
  <si>
    <t xml:space="preserve">Communications</t>
  </si>
  <si>
    <t xml:space="preserve">Supplies, Serv, &amp; Misc. Exp.</t>
  </si>
  <si>
    <t xml:space="preserve">Materials for Resale</t>
  </si>
  <si>
    <t xml:space="preserve">Equipment &amp; Other Capital Assets</t>
  </si>
  <si>
    <t xml:space="preserve">Rents,  &amp; Leases</t>
  </si>
  <si>
    <t xml:space="preserve">Repairs, Maintenance &amp; Supplies</t>
  </si>
  <si>
    <t xml:space="preserve">Utilities</t>
  </si>
  <si>
    <t xml:space="preserve">Plant Activity</t>
  </si>
  <si>
    <t xml:space="preserve">Hospital Patient care, Services &amp; Supplies</t>
  </si>
  <si>
    <t xml:space="preserve">Loan Activity</t>
  </si>
  <si>
    <t xml:space="preserve">ICR/Subcontracts/Participants</t>
  </si>
  <si>
    <t xml:space="preserve">University Assessments</t>
  </si>
  <si>
    <t xml:space="preserve">e</t>
  </si>
  <si>
    <t xml:space="preserve">ENDING BALANCE   (d -e)</t>
  </si>
  <si>
    <t xml:space="preserve">Report Date:</t>
  </si>
  <si>
    <t xml:space="preserve">TFAC -- Fund:1003</t>
  </si>
  <si>
    <t xml:space="preserve">Current Non Sponsored Fund</t>
  </si>
  <si>
    <t xml:space="preserve">Excluding Multi Year accounts</t>
  </si>
  <si>
    <t xml:space="preserve">1999-2000</t>
  </si>
  <si>
    <t xml:space="preserve">Revenues by Revenue Class</t>
  </si>
  <si>
    <t xml:space="preserve">Tuition</t>
  </si>
  <si>
    <t xml:space="preserve">Appropriations (other than O &amp; M)</t>
  </si>
  <si>
    <t xml:space="preserve">Grants &amp; Contracts</t>
  </si>
  <si>
    <t xml:space="preserve">Student Course &amp; Lab Fees</t>
  </si>
  <si>
    <t xml:space="preserve">Indirect Cost Recovery</t>
  </si>
  <si>
    <t xml:space="preserve">External &amp; Educational Sales</t>
  </si>
  <si>
    <t xml:space="preserve">Internal Sales</t>
  </si>
  <si>
    <t xml:space="preserve">Gifts &amp; Bequests</t>
  </si>
  <si>
    <t xml:space="preserve">Endowment Income</t>
  </si>
  <si>
    <t xml:space="preserve">Investment Income</t>
  </si>
  <si>
    <t xml:space="preserve">Hospital &amp; Hosp. Clinic Sales &amp; Services </t>
  </si>
  <si>
    <t xml:space="preserve">Private Practice</t>
  </si>
  <si>
    <t xml:space="preserve">Gains/Losses/Adj. to Market Value, Net</t>
  </si>
  <si>
    <t xml:space="preserve">Loan Activities</t>
  </si>
  <si>
    <t xml:space="preserve">Plant Activities</t>
  </si>
  <si>
    <t xml:space="preserve">Other Revenues</t>
  </si>
  <si>
    <t xml:space="preserve">Central Allocations </t>
  </si>
  <si>
    <t xml:space="preserve">ENDING BALANCE   (d - e)</t>
  </si>
  <si>
    <t xml:space="preserve">TFAC -- Fund:1043</t>
  </si>
  <si>
    <t xml:space="preserve">TFAC -- Fund:1166</t>
  </si>
  <si>
    <t xml:space="preserve">TFAC -- Fund:1198</t>
  </si>
  <si>
    <t xml:space="preserve">TFAC -- Fund:1856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</si>
</sst>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_);[RED]&quot;($&quot;#,##0\)"/>
    <numFmt numFmtId="166" formatCode="0"/>
    <numFmt numFmtId="167" formatCode="@"/>
    <numFmt numFmtId="168" formatCode="[$-409]m/d/yy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0"/>
    </font>
    <font>
      <b val="true"/>
      <sz val="18"/>
      <name val="Arial"/>
      <family val="2"/>
    </font>
    <font>
      <sz val="18"/>
      <name val="Arial"/>
      <family val="2"/>
    </font>
    <font>
      <b val="true"/>
      <sz val="10"/>
      <name val="Arial"/>
      <family val="2"/>
    </font>
    <font>
      <b val="true"/>
      <sz val="10"/>
      <name val="Arial"/>
      <family val="0"/>
    </font>
    <font>
      <b val="true"/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 style="thin"/>
      <right style="thin"/>
      <top style="thick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8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rcTAUD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C:/WINNT/Profiles/steff007/Temporary%20Internet%20Files/Content.IE5/0WNIIARK/CXXX(1)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C:/WINNT/Profiles/steff007/Temporary%20Internet%20Files/Content.IE5/0WNIIARK/CXXX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1000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.xls]Summary"/>
      <sheetName val=".xls]1000"/>
    </sheetNames>
    <sheetDataSet>
      <sheetData sheetId="0"/>
      <sheetData sheetId="1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14" activeCellId="0" sqref="I14"/>
    </sheetView>
  </sheetViews>
  <sheetFormatPr defaultColWidth="11.5625" defaultRowHeight="12.75" zeroHeight="false" outlineLevelRow="0" outlineLevelCol="0"/>
  <cols>
    <col collapsed="false" customWidth="true" hidden="false" outlineLevel="0" max="1" min="1" style="1" width="1.85"/>
    <col collapsed="false" customWidth="true" hidden="false" outlineLevel="0" max="2" min="2" style="1" width="0.99"/>
    <col collapsed="false" customWidth="true" hidden="false" outlineLevel="0" max="3" min="3" style="1" width="39.37"/>
    <col collapsed="false" customWidth="true" hidden="true" outlineLevel="0" max="4" min="4" style="1" width="13.69"/>
    <col collapsed="false" customWidth="true" hidden="false" outlineLevel="0" max="6" min="5" style="2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false" hidden="false" outlineLevel="0" max="257" min="10" style="2" width="11.55"/>
  </cols>
  <sheetData>
    <row r="1" customFormat="false" ht="24" hidden="false" customHeight="true" outlineLevel="0" collapsed="false">
      <c r="A1" s="4" t="s">
        <v>0</v>
      </c>
      <c r="B1" s="3"/>
      <c r="C1" s="5"/>
      <c r="E1" s="1"/>
      <c r="F1" s="6" t="s">
        <v>1</v>
      </c>
    </row>
    <row r="2" customFormat="false" ht="12.75" hidden="false" customHeight="false" outlineLevel="0" collapsed="false">
      <c r="A2" s="3"/>
      <c r="B2" s="3"/>
      <c r="C2" s="3"/>
      <c r="D2" s="7"/>
      <c r="E2" s="7"/>
      <c r="F2" s="7"/>
      <c r="G2" s="7"/>
    </row>
    <row r="3" customFormat="false" ht="12.75" hidden="false" customHeight="false" outlineLevel="0" collapsed="false">
      <c r="A3" s="8" t="s">
        <v>2</v>
      </c>
      <c r="B3" s="3"/>
      <c r="C3" s="3"/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  <c r="J3" s="9" t="s">
        <v>7</v>
      </c>
    </row>
    <row r="4" customFormat="false" ht="13.5" hidden="false" customHeight="false" outlineLevel="0" collapsed="false">
      <c r="A4" s="10"/>
      <c r="B4" s="10"/>
      <c r="C4" s="11" t="s">
        <v>8</v>
      </c>
      <c r="D4" s="12" t="s">
        <v>9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</row>
    <row r="5" customFormat="false" ht="13.5" hidden="false" customHeight="false" outlineLevel="0" collapsed="false">
      <c r="A5" s="14" t="s">
        <v>15</v>
      </c>
      <c r="B5" s="15"/>
      <c r="C5" s="16"/>
      <c r="D5" s="17"/>
    </row>
    <row r="6" customFormat="false" ht="12.75" hidden="false" customHeight="false" outlineLevel="0" collapsed="false">
      <c r="A6" s="3" t="s">
        <v>16</v>
      </c>
      <c r="B6" s="8" t="s">
        <v>17</v>
      </c>
      <c r="C6" s="3"/>
      <c r="D6" s="3" t="n">
        <f aca="false">SUM('1003':'1856'!D6:D6)</f>
        <v>21373681.54</v>
      </c>
      <c r="E6" s="3" t="n">
        <f aca="false">SUM('1003':'1856'!E6:E6)</f>
        <v>29147375.63</v>
      </c>
      <c r="F6" s="3" t="n">
        <f aca="false">SUM('1003':'1856'!F6:F6)</f>
        <v>25814385.07</v>
      </c>
      <c r="G6" s="3" t="n">
        <f aca="false">SUM('1003':'1856'!G6:G6)</f>
        <v>14914175.05</v>
      </c>
      <c r="H6" s="18" t="n">
        <f aca="false">SUM('1003':'1856'!H6:H6)</f>
        <v>20496234.78</v>
      </c>
      <c r="I6" s="18" t="n">
        <f aca="false">SUM('1003':'1856'!I6:I6)</f>
        <v>23394374.78</v>
      </c>
    </row>
    <row r="7" customFormat="false" ht="12.75" hidden="false" customHeight="false" outlineLevel="0" collapsed="false">
      <c r="A7" s="3"/>
      <c r="B7" s="3"/>
      <c r="C7" s="3"/>
      <c r="D7" s="3"/>
      <c r="E7" s="19"/>
      <c r="F7" s="19"/>
      <c r="H7" s="20"/>
      <c r="I7" s="20"/>
    </row>
    <row r="8" customFormat="false" ht="12.75" hidden="false" customHeight="false" outlineLevel="0" collapsed="false">
      <c r="A8" s="3"/>
      <c r="B8" s="8" t="s">
        <v>18</v>
      </c>
      <c r="C8" s="3"/>
      <c r="D8" s="3"/>
      <c r="E8" s="21"/>
      <c r="F8" s="21"/>
      <c r="G8" s="19"/>
      <c r="H8" s="20"/>
      <c r="I8" s="20"/>
    </row>
    <row r="9" customFormat="false" ht="12.75" hidden="false" customHeight="false" outlineLevel="0" collapsed="false">
      <c r="A9" s="3"/>
      <c r="B9" s="8"/>
      <c r="C9" s="22" t="s">
        <v>19</v>
      </c>
      <c r="D9" s="3" t="n">
        <f aca="false">'1003'!D25</f>
        <v>54634.09</v>
      </c>
      <c r="E9" s="21" t="n">
        <f aca="false">'1003'!E25</f>
        <v>78451.09</v>
      </c>
      <c r="F9" s="21" t="n">
        <f aca="false">'1003'!F25</f>
        <v>44454.2</v>
      </c>
      <c r="G9" s="19" t="n">
        <f aca="false">'1003'!G25</f>
        <v>44916.68</v>
      </c>
      <c r="H9" s="20" t="n">
        <f aca="false">'1003'!H25</f>
        <v>22000</v>
      </c>
      <c r="I9" s="20" t="n">
        <f aca="false">+'1003'!I25</f>
        <v>0</v>
      </c>
    </row>
    <row r="10" customFormat="false" ht="12.75" hidden="false" customHeight="false" outlineLevel="0" collapsed="false">
      <c r="A10" s="3"/>
      <c r="B10" s="8"/>
      <c r="C10" s="22" t="s">
        <v>20</v>
      </c>
      <c r="D10" s="3" t="n">
        <f aca="false">'1043'!D25</f>
        <v>17149795</v>
      </c>
      <c r="E10" s="21" t="n">
        <f aca="false">'1043'!E25</f>
        <v>18149795</v>
      </c>
      <c r="F10" s="21" t="n">
        <f aca="false">'1043'!F25</f>
        <v>20517114</v>
      </c>
      <c r="G10" s="19" t="n">
        <f aca="false">'1043'!G25</f>
        <v>22073880</v>
      </c>
      <c r="H10" s="20" t="n">
        <f aca="false">'1043'!H25</f>
        <v>22073880</v>
      </c>
      <c r="I10" s="20" t="n">
        <f aca="false">+'1043'!I25</f>
        <v>0</v>
      </c>
    </row>
    <row r="11" customFormat="false" ht="12.75" hidden="false" customHeight="false" outlineLevel="0" collapsed="false">
      <c r="A11" s="3"/>
      <c r="B11" s="8"/>
      <c r="C11" s="22" t="s">
        <v>21</v>
      </c>
      <c r="D11" s="3" t="n">
        <f aca="false">'1166'!D25</f>
        <v>45228806.36</v>
      </c>
      <c r="E11" s="21" t="n">
        <f aca="false">'1166'!E25</f>
        <v>48127280.49</v>
      </c>
      <c r="F11" s="21" t="n">
        <f aca="false">'1166'!F25</f>
        <v>52007805.73</v>
      </c>
      <c r="G11" s="19" t="n">
        <f aca="false">'1166'!G25</f>
        <v>64581217.66</v>
      </c>
      <c r="H11" s="20" t="n">
        <f aca="false">'1166'!H25</f>
        <v>71502464</v>
      </c>
      <c r="I11" s="20" t="n">
        <f aca="false">+'1166'!I25</f>
        <v>0</v>
      </c>
    </row>
    <row r="12" customFormat="false" ht="12.75" hidden="false" customHeight="false" outlineLevel="0" collapsed="false">
      <c r="A12" s="3"/>
      <c r="B12" s="8"/>
      <c r="C12" s="22" t="s">
        <v>22</v>
      </c>
      <c r="D12" s="3" t="n">
        <f aca="false">'1198'!D25</f>
        <v>2295561.02</v>
      </c>
      <c r="E12" s="21" t="n">
        <f aca="false">'1198'!E25</f>
        <v>2413816.67</v>
      </c>
      <c r="F12" s="21" t="n">
        <f aca="false">'1198'!F25</f>
        <v>2700375.02</v>
      </c>
      <c r="G12" s="19" t="n">
        <f aca="false">'1198'!G25</f>
        <v>2906794.04</v>
      </c>
      <c r="H12" s="20" t="n">
        <f aca="false">'1198'!H25</f>
        <v>0</v>
      </c>
      <c r="I12" s="20" t="n">
        <f aca="false">+'1198'!I25</f>
        <v>0</v>
      </c>
    </row>
    <row r="13" customFormat="false" ht="12.75" hidden="false" customHeight="false" outlineLevel="0" collapsed="false">
      <c r="A13" s="3"/>
      <c r="B13" s="8"/>
      <c r="C13" s="22" t="s">
        <v>23</v>
      </c>
      <c r="D13" s="3" t="n">
        <f aca="false">'1856'!D25</f>
        <v>5543.16</v>
      </c>
      <c r="E13" s="21" t="n">
        <f aca="false">'1856'!E25</f>
        <v>5013.73</v>
      </c>
      <c r="F13" s="21" t="n">
        <f aca="false">'1856'!F25</f>
        <v>2200</v>
      </c>
      <c r="G13" s="19" t="n">
        <f aca="false">'1856'!G25</f>
        <v>13150</v>
      </c>
      <c r="H13" s="20" t="n">
        <f aca="false">'1856'!H25</f>
        <v>16</v>
      </c>
      <c r="I13" s="20" t="n">
        <f aca="false">+'1856'!I25</f>
        <v>0</v>
      </c>
    </row>
    <row r="14" customFormat="false" ht="12.75" hidden="false" customHeight="false" outlineLevel="0" collapsed="false">
      <c r="A14" s="3" t="s">
        <v>24</v>
      </c>
      <c r="B14" s="3"/>
      <c r="C14" s="8" t="s">
        <v>25</v>
      </c>
      <c r="D14" s="23" t="n">
        <f aca="false">SUM(D9:D13)</f>
        <v>64734339.63</v>
      </c>
      <c r="E14" s="23" t="n">
        <f aca="false">SUM(E9:E13)</f>
        <v>68774356.98</v>
      </c>
      <c r="F14" s="23" t="n">
        <f aca="false">SUM(F9:F13)</f>
        <v>75271948.95</v>
      </c>
      <c r="G14" s="23" t="n">
        <f aca="false">SUM(G9:G13)</f>
        <v>89619958.38</v>
      </c>
      <c r="H14" s="18" t="n">
        <f aca="false">SUM(H9:H13)</f>
        <v>93598360</v>
      </c>
      <c r="I14" s="18" t="n">
        <f aca="false">SUM(I9:I13)</f>
        <v>0</v>
      </c>
    </row>
    <row r="15" customFormat="false" ht="12.75" hidden="false" customHeight="false" outlineLevel="0" collapsed="false">
      <c r="A15" s="3"/>
      <c r="B15" s="3"/>
      <c r="C15" s="3"/>
      <c r="D15" s="3"/>
      <c r="E15" s="21"/>
      <c r="F15" s="21"/>
      <c r="G15" s="19"/>
      <c r="H15" s="20"/>
      <c r="I15" s="20"/>
    </row>
    <row r="16" s="24" customFormat="true" ht="12.75" hidden="false" customHeight="false" outlineLevel="0" collapsed="false">
      <c r="A16" s="3"/>
      <c r="B16" s="8" t="s">
        <v>26</v>
      </c>
      <c r="C16" s="3"/>
      <c r="D16" s="3"/>
      <c r="E16" s="21"/>
      <c r="F16" s="21"/>
      <c r="G16" s="19"/>
      <c r="H16" s="20"/>
      <c r="I16" s="20"/>
      <c r="J16" s="2"/>
    </row>
    <row r="17" s="24" customFormat="true" ht="12.75" hidden="false" customHeight="false" outlineLevel="0" collapsed="false">
      <c r="A17" s="3"/>
      <c r="B17" s="8"/>
      <c r="C17" s="3" t="s">
        <v>27</v>
      </c>
      <c r="D17" s="19" t="n">
        <f aca="false">SUM('1003':'1856'!D28:D28)</f>
        <v>102320067</v>
      </c>
      <c r="E17" s="19" t="n">
        <f aca="false">SUM('1003':'1856'!E28:E28)</f>
        <v>109637763</v>
      </c>
      <c r="F17" s="19" t="n">
        <f aca="false">SUM('1003':'1856'!F28:F28)</f>
        <v>109269980</v>
      </c>
      <c r="G17" s="19" t="n">
        <f aca="false">SUM('1003':'1856'!G28:G28)</f>
        <v>114983732</v>
      </c>
      <c r="H17" s="20" t="n">
        <f aca="false">SUM('1003':'1856'!H28:H28)</f>
        <v>110542968</v>
      </c>
      <c r="I17" s="20" t="n">
        <f aca="false">SUM('1003':'1856'!I28:I28)</f>
        <v>0</v>
      </c>
      <c r="J17" s="2"/>
    </row>
    <row r="18" s="24" customFormat="true" ht="12.75" hidden="false" customHeight="false" outlineLevel="0" collapsed="false">
      <c r="A18" s="3"/>
      <c r="B18" s="8"/>
      <c r="C18" s="3" t="s">
        <v>28</v>
      </c>
      <c r="D18" s="19" t="n">
        <f aca="false">SUM('1003':'1856'!D29:D29)</f>
        <v>-17149795</v>
      </c>
      <c r="E18" s="19" t="n">
        <f aca="false">SUM('1003':'1856'!E29:E29)</f>
        <v>-18149795</v>
      </c>
      <c r="F18" s="19" t="n">
        <f aca="false">SUM('1003':'1856'!F29:F29)</f>
        <v>-20517114</v>
      </c>
      <c r="G18" s="19" t="n">
        <f aca="false">SUM('1003':'1856'!G29:G29)</f>
        <v>-22073880</v>
      </c>
      <c r="H18" s="20" t="n">
        <f aca="false">SUM('1003':'1856'!H29:H29)</f>
        <v>-22073880</v>
      </c>
      <c r="I18" s="20" t="n">
        <f aca="false">SUM('1003':'1856'!I29:I29)</f>
        <v>0</v>
      </c>
      <c r="J18" s="2"/>
    </row>
    <row r="19" customFormat="false" ht="12.75" hidden="false" customHeight="false" outlineLevel="0" collapsed="false">
      <c r="A19" s="3"/>
      <c r="B19" s="3"/>
      <c r="C19" s="3" t="s">
        <v>29</v>
      </c>
      <c r="D19" s="19" t="n">
        <f aca="false">SUM('1003':'1856'!D30:D30)</f>
        <v>0</v>
      </c>
      <c r="E19" s="19" t="n">
        <f aca="false">SUM('1003':'1856'!E30:E30)</f>
        <v>0</v>
      </c>
      <c r="F19" s="19" t="n">
        <f aca="false">SUM('1003':'1856'!F30:F30)</f>
        <v>0</v>
      </c>
      <c r="G19" s="19" t="n">
        <f aca="false">SUM('1003':'1856'!G30:G30)</f>
        <v>0</v>
      </c>
      <c r="H19" s="20" t="n">
        <f aca="false">SUM('1003':'1856'!H30:H30)</f>
        <v>0</v>
      </c>
      <c r="I19" s="20" t="n">
        <f aca="false">SUM('1003':'1856'!I30:I30)</f>
        <v>0</v>
      </c>
      <c r="J19" s="24"/>
    </row>
    <row r="20" customFormat="false" ht="12.75" hidden="false" customHeight="false" outlineLevel="0" collapsed="false">
      <c r="A20" s="3"/>
      <c r="B20" s="3"/>
      <c r="C20" s="3" t="s">
        <v>30</v>
      </c>
      <c r="D20" s="19" t="n">
        <f aca="false">SUM('1003':'1856'!D31:D31)</f>
        <v>0</v>
      </c>
      <c r="E20" s="19" t="n">
        <f aca="false">SUM('1003':'1856'!E31:E31)</f>
        <v>0</v>
      </c>
      <c r="F20" s="19" t="n">
        <f aca="false">SUM('1003':'1856'!F31:F31)</f>
        <v>0</v>
      </c>
      <c r="G20" s="19" t="n">
        <f aca="false">SUM('1003':'1856'!G31:G31)</f>
        <v>0</v>
      </c>
      <c r="H20" s="20" t="n">
        <f aca="false">SUM('1003':'1856'!H31:H31)</f>
        <v>0</v>
      </c>
      <c r="I20" s="20" t="n">
        <f aca="false">SUM('1003':'1856'!I31:I31)</f>
        <v>0</v>
      </c>
    </row>
    <row r="21" customFormat="false" ht="12.75" hidden="false" customHeight="false" outlineLevel="0" collapsed="false">
      <c r="A21" s="3"/>
      <c r="B21" s="3"/>
      <c r="C21" s="3" t="s">
        <v>31</v>
      </c>
      <c r="D21" s="19" t="n">
        <f aca="false">SUM('1003':'1856'!D32:D32)</f>
        <v>60297336.21</v>
      </c>
      <c r="E21" s="19" t="n">
        <f aca="false">SUM('1003':'1856'!E32:E32)</f>
        <v>66814903.32</v>
      </c>
      <c r="F21" s="19" t="n">
        <f aca="false">SUM('1003':'1856'!F32:F32)</f>
        <v>111291705.46</v>
      </c>
      <c r="G21" s="19" t="n">
        <f aca="false">SUM('1003':'1856'!G32:G32)</f>
        <v>74080643.61</v>
      </c>
      <c r="H21" s="20" t="n">
        <f aca="false">SUM('1003':'1856'!H32:H32)</f>
        <v>11335913</v>
      </c>
      <c r="I21" s="20" t="n">
        <f aca="false">SUM('1003':'1856'!I32:I32)</f>
        <v>0</v>
      </c>
    </row>
    <row r="22" customFormat="false" ht="12.75" hidden="false" customHeight="false" outlineLevel="0" collapsed="false">
      <c r="A22" s="19"/>
      <c r="B22" s="19"/>
      <c r="C22" s="19" t="s">
        <v>32</v>
      </c>
      <c r="D22" s="19" t="n">
        <f aca="false">SUM('1003':'1856'!D33:D33)</f>
        <v>-64867729.53</v>
      </c>
      <c r="E22" s="19" t="n">
        <f aca="false">SUM('1003':'1856'!E33:E33)</f>
        <v>-77996639.43</v>
      </c>
      <c r="F22" s="19" t="n">
        <f aca="false">SUM('1003':'1856'!F33:F33)</f>
        <v>-133491666.26</v>
      </c>
      <c r="G22" s="19" t="n">
        <f aca="false">SUM('1003':'1856'!G33:G33)</f>
        <v>-85529152.42</v>
      </c>
      <c r="H22" s="20" t="n">
        <f aca="false">SUM('1003':'1856'!H33:H33)</f>
        <v>-13589205</v>
      </c>
      <c r="I22" s="20" t="n">
        <f aca="false">SUM('1003':'1856'!I33:I33)</f>
        <v>0</v>
      </c>
    </row>
    <row r="23" customFormat="false" ht="12.75" hidden="false" customHeight="false" outlineLevel="0" collapsed="false">
      <c r="A23" s="19"/>
      <c r="B23" s="19"/>
      <c r="C23" s="19" t="s">
        <v>33</v>
      </c>
      <c r="D23" s="25" t="n">
        <f aca="false">SUM('1003':'1856'!D34:D34)</f>
        <v>0</v>
      </c>
      <c r="E23" s="25" t="n">
        <f aca="false">SUM('1003':'1856'!E34:E34)</f>
        <v>0</v>
      </c>
      <c r="F23" s="25" t="n">
        <f aca="false">SUM('1003':'1856'!F34:F34)</f>
        <v>0</v>
      </c>
      <c r="G23" s="25" t="n">
        <f aca="false">SUM('1003':'1856'!G34:G34)</f>
        <v>0</v>
      </c>
      <c r="H23" s="26" t="n">
        <f aca="false">SUM('1003':'1856'!H34:H34)</f>
        <v>0</v>
      </c>
      <c r="I23" s="26" t="n">
        <f aca="false">SUM('1003':'1856'!I34:I34)</f>
        <v>0</v>
      </c>
    </row>
    <row r="24" customFormat="false" ht="12.75" hidden="false" customHeight="false" outlineLevel="0" collapsed="false">
      <c r="A24" s="3" t="s">
        <v>34</v>
      </c>
      <c r="B24" s="3"/>
      <c r="C24" s="8" t="s">
        <v>35</v>
      </c>
      <c r="D24" s="19" t="n">
        <f aca="false">SUM(D17:D23)</f>
        <v>80599878.68</v>
      </c>
      <c r="E24" s="19" t="n">
        <f aca="false">SUM(E17:E23)</f>
        <v>80306231.89</v>
      </c>
      <c r="F24" s="19" t="n">
        <f aca="false">SUM(F17:F23)</f>
        <v>66552905.2</v>
      </c>
      <c r="G24" s="23" t="n">
        <f aca="false">SUM(G17:G23)</f>
        <v>81461343.19</v>
      </c>
      <c r="H24" s="18" t="n">
        <f aca="false">SUM(H17:H23)</f>
        <v>86215796</v>
      </c>
      <c r="I24" s="18" t="n">
        <f aca="false">SUM(I17:I23)</f>
        <v>0</v>
      </c>
    </row>
    <row r="25" customFormat="false" ht="13.5" hidden="false" customHeight="false" outlineLevel="0" collapsed="false">
      <c r="A25" s="3"/>
      <c r="B25" s="3"/>
      <c r="C25" s="3"/>
      <c r="D25" s="27"/>
      <c r="E25" s="27"/>
      <c r="F25" s="28"/>
      <c r="G25" s="27"/>
      <c r="H25" s="29"/>
      <c r="I25" s="29"/>
    </row>
    <row r="26" customFormat="false" ht="13.5" hidden="false" customHeight="false" outlineLevel="0" collapsed="false">
      <c r="A26" s="30" t="s">
        <v>36</v>
      </c>
      <c r="B26" s="31" t="s">
        <v>37</v>
      </c>
      <c r="C26" s="30"/>
      <c r="D26" s="30" t="n">
        <f aca="false">+D24+D14+D6</f>
        <v>166707899.85</v>
      </c>
      <c r="E26" s="21" t="n">
        <f aca="false">+E24+E14+E6</f>
        <v>178227964.5</v>
      </c>
      <c r="F26" s="21" t="n">
        <f aca="false">+F24+F14+F6</f>
        <v>167639239.22</v>
      </c>
      <c r="G26" s="32" t="n">
        <f aca="false">+G24+G14+G6</f>
        <v>185995476.62</v>
      </c>
      <c r="H26" s="33" t="n">
        <f aca="false">+H24+H14+H6</f>
        <v>200310390.78</v>
      </c>
      <c r="I26" s="33" t="n">
        <f aca="false">+I24+I14+I6</f>
        <v>23394374.78</v>
      </c>
    </row>
    <row r="27" customFormat="false" ht="13.5" hidden="false" customHeight="false" outlineLevel="0" collapsed="false">
      <c r="A27" s="34"/>
      <c r="B27" s="34"/>
      <c r="C27" s="34"/>
      <c r="D27" s="34"/>
      <c r="E27" s="34"/>
      <c r="F27" s="35"/>
      <c r="G27" s="35"/>
      <c r="H27" s="36"/>
      <c r="I27" s="36"/>
    </row>
    <row r="28" customFormat="false" ht="12.75" hidden="false" customHeight="false" outlineLevel="0" collapsed="false">
      <c r="A28" s="37" t="s">
        <v>38</v>
      </c>
      <c r="B28" s="25"/>
      <c r="C28" s="38"/>
      <c r="D28" s="19"/>
      <c r="E28" s="21"/>
      <c r="F28" s="21"/>
      <c r="G28" s="39"/>
      <c r="H28" s="40"/>
      <c r="I28" s="40"/>
    </row>
    <row r="29" customFormat="false" ht="12.75" hidden="false" customHeight="false" outlineLevel="0" collapsed="false">
      <c r="A29" s="3"/>
      <c r="B29" s="8" t="s">
        <v>39</v>
      </c>
      <c r="C29" s="8"/>
      <c r="D29" s="3"/>
      <c r="E29" s="21"/>
      <c r="F29" s="21"/>
      <c r="G29" s="19"/>
      <c r="H29" s="20"/>
      <c r="I29" s="20"/>
    </row>
    <row r="30" customFormat="false" ht="12.75" hidden="false" customHeight="false" outlineLevel="0" collapsed="false">
      <c r="A30" s="3"/>
      <c r="B30" s="3"/>
      <c r="C30" s="3" t="s">
        <v>40</v>
      </c>
      <c r="D30" s="19" t="n">
        <f aca="false">SUM('1003':'1856'!D41:D41)</f>
        <v>0</v>
      </c>
      <c r="E30" s="19" t="n">
        <f aca="false">SUM('1003':'1856'!E41:E41)</f>
        <v>0</v>
      </c>
      <c r="F30" s="19" t="n">
        <f aca="false">SUM('1003':'1856'!F41:F41)</f>
        <v>0</v>
      </c>
      <c r="G30" s="19" t="n">
        <f aca="false">SUM('1003':'1856'!G41:G41)</f>
        <v>0</v>
      </c>
      <c r="H30" s="20" t="n">
        <f aca="false">SUM('1003':'1856'!H41:H41)</f>
        <v>0</v>
      </c>
      <c r="I30" s="20" t="n">
        <f aca="false">SUM('1003':'1856'!I41:I41)</f>
        <v>0</v>
      </c>
    </row>
    <row r="31" customFormat="false" ht="12.75" hidden="false" customHeight="false" outlineLevel="0" collapsed="false">
      <c r="A31" s="3"/>
      <c r="B31" s="3"/>
      <c r="C31" s="3" t="s">
        <v>41</v>
      </c>
      <c r="D31" s="19" t="n">
        <f aca="false">SUM('1003':'1856'!D42:D42)</f>
        <v>0</v>
      </c>
      <c r="E31" s="19" t="n">
        <f aca="false">SUM('1003':'1856'!E42:E42)</f>
        <v>0</v>
      </c>
      <c r="F31" s="19" t="n">
        <f aca="false">SUM('1003':'1856'!F42:F42)</f>
        <v>0</v>
      </c>
      <c r="G31" s="19" t="n">
        <f aca="false">SUM('1003':'1856'!G42:G42)</f>
        <v>0</v>
      </c>
      <c r="H31" s="20" t="n">
        <f aca="false">SUM('1003':'1856'!H42:H42)</f>
        <v>0</v>
      </c>
      <c r="I31" s="20" t="n">
        <f aca="false">SUM('1003':'1856'!I42:I42)</f>
        <v>0</v>
      </c>
    </row>
    <row r="32" customFormat="false" ht="12.75" hidden="false" customHeight="false" outlineLevel="0" collapsed="false">
      <c r="A32" s="3"/>
      <c r="B32" s="3"/>
      <c r="C32" s="3" t="s">
        <v>42</v>
      </c>
      <c r="D32" s="19" t="n">
        <f aca="false">SUM('1003':'1856'!D43:D43)</f>
        <v>0</v>
      </c>
      <c r="E32" s="19" t="n">
        <f aca="false">SUM('1003':'1856'!E43:E43)</f>
        <v>0</v>
      </c>
      <c r="F32" s="19" t="n">
        <f aca="false">SUM('1003':'1856'!F43:F43)</f>
        <v>24.38</v>
      </c>
      <c r="G32" s="19" t="n">
        <f aca="false">SUM('1003':'1856'!G43:G43)</f>
        <v>7062.79</v>
      </c>
      <c r="H32" s="20" t="n">
        <f aca="false">SUM('1003':'1856'!H43:H43)</f>
        <v>0</v>
      </c>
      <c r="I32" s="20" t="n">
        <f aca="false">SUM('1003':'1856'!I43:I43)</f>
        <v>0</v>
      </c>
    </row>
    <row r="33" customFormat="false" ht="12.75" hidden="false" customHeight="false" outlineLevel="0" collapsed="false">
      <c r="A33" s="3"/>
      <c r="B33" s="3"/>
      <c r="C33" s="3" t="s">
        <v>43</v>
      </c>
      <c r="D33" s="19" t="n">
        <f aca="false">SUM('1003':'1856'!D44:D44)</f>
        <v>80</v>
      </c>
      <c r="E33" s="19" t="n">
        <f aca="false">SUM('1003':'1856'!E44:E44)</f>
        <v>88</v>
      </c>
      <c r="F33" s="19" t="n">
        <f aca="false">SUM('1003':'1856'!F44:F44)</f>
        <v>3653.7</v>
      </c>
      <c r="G33" s="19" t="n">
        <f aca="false">SUM('1003':'1856'!G44:G44)</f>
        <v>0</v>
      </c>
      <c r="H33" s="20" t="n">
        <f aca="false">SUM('1003':'1856'!H44:H44)</f>
        <v>0</v>
      </c>
      <c r="I33" s="20" t="n">
        <f aca="false">SUM('1003':'1856'!I44:I44)</f>
        <v>0</v>
      </c>
    </row>
    <row r="34" customFormat="false" ht="12.75" hidden="false" customHeight="false" outlineLevel="0" collapsed="false">
      <c r="A34" s="3"/>
      <c r="B34" s="3"/>
      <c r="C34" s="3" t="s">
        <v>44</v>
      </c>
      <c r="D34" s="19" t="n">
        <f aca="false">SUM('1003':'1856'!D45:D45)</f>
        <v>0</v>
      </c>
      <c r="E34" s="19" t="n">
        <f aca="false">SUM('1003':'1856'!E45:E45)</f>
        <v>0</v>
      </c>
      <c r="F34" s="19" t="n">
        <f aca="false">SUM('1003':'1856'!F45:F45)</f>
        <v>0</v>
      </c>
      <c r="G34" s="19" t="n">
        <f aca="false">SUM('1003':'1856'!G45:G45)</f>
        <v>0</v>
      </c>
      <c r="H34" s="20" t="n">
        <f aca="false">SUM('1003':'1856'!H45:H45)</f>
        <v>0</v>
      </c>
      <c r="I34" s="20" t="n">
        <f aca="false">SUM('1003':'1856'!I45:I45)</f>
        <v>0</v>
      </c>
    </row>
    <row r="35" customFormat="false" ht="12.75" hidden="false" customHeight="false" outlineLevel="0" collapsed="false">
      <c r="A35" s="3"/>
      <c r="B35" s="3"/>
      <c r="C35" s="3" t="s">
        <v>45</v>
      </c>
      <c r="D35" s="19" t="n">
        <f aca="false">SUM('1003':'1856'!D46:D46)</f>
        <v>385681.67</v>
      </c>
      <c r="E35" s="19" t="n">
        <f aca="false">SUM('1003':'1856'!E46:E46)</f>
        <v>375804.41</v>
      </c>
      <c r="F35" s="19" t="n">
        <f aca="false">SUM('1003':'1856'!F46:F46)</f>
        <v>398583.8</v>
      </c>
      <c r="G35" s="19" t="n">
        <f aca="false">SUM('1003':'1856'!G46:G46)</f>
        <v>373227.04</v>
      </c>
      <c r="H35" s="20" t="n">
        <f aca="false">SUM('1003':'1856'!H46:H46)</f>
        <v>0</v>
      </c>
      <c r="I35" s="20" t="n">
        <f aca="false">SUM('1003':'1856'!I46:I46)</f>
        <v>0</v>
      </c>
    </row>
    <row r="36" customFormat="false" ht="12.75" hidden="false" customHeight="false" outlineLevel="0" collapsed="false">
      <c r="A36" s="3"/>
      <c r="B36" s="3"/>
      <c r="C36" s="3" t="s">
        <v>46</v>
      </c>
      <c r="D36" s="19" t="n">
        <f aca="false">SUM('1003':'1856'!D47:D47)</f>
        <v>137174762.55</v>
      </c>
      <c r="E36" s="19" t="n">
        <f aca="false">SUM('1003':'1856'!E47:E47)</f>
        <v>152037687.02</v>
      </c>
      <c r="F36" s="19" t="n">
        <f aca="false">SUM('1003':'1856'!F47:F47)</f>
        <v>152322802.29</v>
      </c>
      <c r="G36" s="19" t="n">
        <f aca="false">SUM('1003':'1856'!G47:G47)</f>
        <v>165118952.01</v>
      </c>
      <c r="H36" s="20" t="n">
        <f aca="false">SUM('1003':'1856'!H47:H47)</f>
        <v>176916016</v>
      </c>
      <c r="I36" s="20" t="n">
        <f aca="false">SUM('1003':'1856'!I47:I47)</f>
        <v>0</v>
      </c>
    </row>
    <row r="37" customFormat="false" ht="13.15" hidden="false" customHeight="true" outlineLevel="0" collapsed="false">
      <c r="A37" s="3"/>
      <c r="B37" s="3"/>
      <c r="C37" s="3" t="s">
        <v>47</v>
      </c>
      <c r="D37" s="19" t="n">
        <f aca="false">SUM('1003':'1856'!D48:D48)</f>
        <v>0</v>
      </c>
      <c r="E37" s="19" t="n">
        <f aca="false">SUM('1003':'1856'!E48:E48)</f>
        <v>0</v>
      </c>
      <c r="F37" s="19" t="n">
        <f aca="false">SUM('1003':'1856'!F48:F48)</f>
        <v>0</v>
      </c>
      <c r="G37" s="19" t="n">
        <f aca="false">SUM('1003':'1856'!G48:G48)</f>
        <v>0</v>
      </c>
      <c r="H37" s="20" t="n">
        <f aca="false">SUM('1003':'1856'!H48:H48)</f>
        <v>0</v>
      </c>
      <c r="I37" s="20" t="n">
        <f aca="false">SUM('1003':'1856'!I48:I48)</f>
        <v>0</v>
      </c>
    </row>
    <row r="38" customFormat="false" ht="12.75" hidden="false" customHeight="false" outlineLevel="0" collapsed="false">
      <c r="A38" s="3"/>
      <c r="B38" s="3"/>
      <c r="C38" s="3" t="s">
        <v>48</v>
      </c>
      <c r="D38" s="19" t="n">
        <f aca="false">SUM('1003':'1856'!D49:D49)</f>
        <v>0</v>
      </c>
      <c r="E38" s="19" t="n">
        <f aca="false">SUM('1003':'1856'!E49:E49)</f>
        <v>0</v>
      </c>
      <c r="F38" s="19" t="n">
        <f aca="false">SUM('1003':'1856'!F49:F49)</f>
        <v>0</v>
      </c>
      <c r="G38" s="19" t="n">
        <f aca="false">SUM('1003':'1856'!G49:G49)</f>
        <v>0</v>
      </c>
      <c r="H38" s="20" t="n">
        <f aca="false">SUM('1003':'1856'!H49:H49)</f>
        <v>0</v>
      </c>
      <c r="I38" s="20" t="n">
        <f aca="false">SUM('1003':'1856'!I49:I49)</f>
        <v>0</v>
      </c>
    </row>
    <row r="39" customFormat="false" ht="12.75" hidden="false" customHeight="false" outlineLevel="0" collapsed="false">
      <c r="A39" s="3"/>
      <c r="B39" s="3"/>
      <c r="C39" s="3" t="s">
        <v>49</v>
      </c>
      <c r="D39" s="19" t="n">
        <f aca="false">SUM('1003':'1856'!D50:D50)</f>
        <v>0</v>
      </c>
      <c r="E39" s="19" t="n">
        <f aca="false">SUM('1003':'1856'!E50:E50)</f>
        <v>0</v>
      </c>
      <c r="F39" s="19" t="n">
        <f aca="false">SUM('1003':'1856'!F50:F50)</f>
        <v>0</v>
      </c>
      <c r="G39" s="19" t="n">
        <f aca="false">SUM('1003':'1856'!G50:G50)</f>
        <v>0</v>
      </c>
      <c r="H39" s="20" t="n">
        <f aca="false">SUM('1003':'1856'!H50:H50)</f>
        <v>0</v>
      </c>
      <c r="I39" s="20" t="n">
        <f aca="false">SUM('1003':'1856'!I50:I50)</f>
        <v>0</v>
      </c>
    </row>
    <row r="40" customFormat="false" ht="12.75" hidden="false" customHeight="false" outlineLevel="0" collapsed="false">
      <c r="A40" s="3"/>
      <c r="B40" s="3"/>
      <c r="C40" s="3" t="s">
        <v>50</v>
      </c>
      <c r="D40" s="19" t="n">
        <f aca="false">SUM('1003':'1856'!D51:D51)</f>
        <v>0</v>
      </c>
      <c r="E40" s="19" t="n">
        <f aca="false">SUM('1003':'1856'!E51:E51)</f>
        <v>0</v>
      </c>
      <c r="F40" s="19" t="n">
        <f aca="false">SUM('1003':'1856'!F51:F51)</f>
        <v>0</v>
      </c>
      <c r="G40" s="19" t="n">
        <f aca="false">SUM('1003':'1856'!G51:G51)</f>
        <v>0</v>
      </c>
      <c r="H40" s="20" t="n">
        <f aca="false">SUM('1003':'1856'!H51:H51)</f>
        <v>0</v>
      </c>
      <c r="I40" s="20" t="n">
        <f aca="false">SUM('1003':'1856'!I51:I51)</f>
        <v>0</v>
      </c>
    </row>
    <row r="41" customFormat="false" ht="12.75" hidden="false" customHeight="false" outlineLevel="0" collapsed="false">
      <c r="A41" s="3"/>
      <c r="B41" s="3"/>
      <c r="C41" s="3" t="s">
        <v>51</v>
      </c>
      <c r="D41" s="25" t="n">
        <f aca="false">SUM('1003':'1856'!D52:D52)</f>
        <v>0</v>
      </c>
      <c r="E41" s="25" t="n">
        <f aca="false">SUM('1003':'1856'!E52:E52)</f>
        <v>0</v>
      </c>
      <c r="F41" s="25" t="n">
        <f aca="false">SUM('1003':'1856'!F52:F52)</f>
        <v>0</v>
      </c>
      <c r="G41" s="25" t="n">
        <f aca="false">SUM('1003':'1856'!G52:G52)</f>
        <v>0</v>
      </c>
      <c r="H41" s="26" t="n">
        <f aca="false">SUM('1003':'1856'!H52:H52)</f>
        <v>0</v>
      </c>
      <c r="I41" s="26" t="n">
        <f aca="false">SUM('1003':'1856'!I52:I52)</f>
        <v>0</v>
      </c>
    </row>
    <row r="42" customFormat="false" ht="12.75" hidden="false" customHeight="false" outlineLevel="0" collapsed="false">
      <c r="A42" s="3"/>
      <c r="B42" s="3"/>
      <c r="C42" s="8" t="s">
        <v>52</v>
      </c>
      <c r="D42" s="3" t="n">
        <f aca="false">SUM(D30:D41)</f>
        <v>137560524.22</v>
      </c>
      <c r="E42" s="3" t="n">
        <f aca="false">SUM(E30:E41)</f>
        <v>152413579.43</v>
      </c>
      <c r="F42" s="3" t="n">
        <f aca="false">SUM(F30:F41)</f>
        <v>152725064.17</v>
      </c>
      <c r="G42" s="23" t="n">
        <f aca="false">SUM(G30:G41)</f>
        <v>165499241.84</v>
      </c>
      <c r="H42" s="18" t="n">
        <f aca="false">SUM(H30:H41)</f>
        <v>176916016</v>
      </c>
      <c r="I42" s="18" t="n">
        <f aca="false">SUM(I30:I41)</f>
        <v>0</v>
      </c>
    </row>
    <row r="43" customFormat="false" ht="12.75" hidden="false" customHeight="false" outlineLevel="0" collapsed="false">
      <c r="A43" s="3"/>
      <c r="B43" s="25"/>
      <c r="C43" s="25"/>
      <c r="D43" s="25"/>
      <c r="E43" s="41"/>
      <c r="F43" s="41"/>
      <c r="G43" s="25"/>
      <c r="H43" s="26"/>
      <c r="I43" s="26"/>
    </row>
    <row r="44" customFormat="false" ht="12.75" hidden="false" customHeight="false" outlineLevel="0" collapsed="false">
      <c r="A44" s="3"/>
      <c r="B44" s="8" t="s">
        <v>53</v>
      </c>
      <c r="C44" s="8"/>
      <c r="D44" s="3"/>
      <c r="E44" s="21"/>
      <c r="F44" s="21"/>
      <c r="G44" s="23"/>
      <c r="H44" s="18"/>
      <c r="I44" s="18"/>
    </row>
    <row r="45" customFormat="false" ht="12.75" hidden="false" customHeight="false" outlineLevel="0" collapsed="false">
      <c r="A45" s="3"/>
      <c r="B45" s="3"/>
      <c r="C45" s="19" t="s">
        <v>54</v>
      </c>
      <c r="D45" s="19" t="n">
        <f aca="false">SUM('1003':'1856'!D56:D56)</f>
        <v>40052397.01</v>
      </c>
      <c r="E45" s="19" t="n">
        <f aca="false">SUM('1003':'1856'!E56:E56)</f>
        <v>46136456.1</v>
      </c>
      <c r="F45" s="19" t="n">
        <f aca="false">SUM('1003':'1856'!F56:F56)</f>
        <v>46618816.71</v>
      </c>
      <c r="G45" s="19" t="n">
        <f aca="false">SUM('1003':'1856'!G56:G56)</f>
        <v>48468373.58</v>
      </c>
      <c r="H45" s="20" t="n">
        <f aca="false">SUM('1003':'1856'!H56:H56)</f>
        <v>40736207</v>
      </c>
      <c r="I45" s="20" t="n">
        <f aca="false">SUM('1003':'1856'!I56:I56)</f>
        <v>0</v>
      </c>
    </row>
    <row r="46" customFormat="false" ht="12.75" hidden="false" customHeight="false" outlineLevel="0" collapsed="false">
      <c r="A46" s="3"/>
      <c r="B46" s="3"/>
      <c r="C46" s="3" t="s">
        <v>55</v>
      </c>
      <c r="D46" s="19" t="n">
        <f aca="false">SUM('1003':'1856'!D57:D57)</f>
        <v>13603739.97</v>
      </c>
      <c r="E46" s="19" t="n">
        <f aca="false">SUM('1003':'1856'!E57:E57)</f>
        <v>16505864.48</v>
      </c>
      <c r="F46" s="19" t="n">
        <f aca="false">SUM('1003':'1856'!F57:F57)</f>
        <v>17529565.9</v>
      </c>
      <c r="G46" s="19" t="n">
        <f aca="false">SUM('1003':'1856'!G57:G57)</f>
        <v>18602670.01</v>
      </c>
      <c r="H46" s="20" t="n">
        <f aca="false">SUM('1003':'1856'!H57:H57)</f>
        <v>15203919</v>
      </c>
      <c r="I46" s="20" t="n">
        <f aca="false">SUM('1003':'1856'!I57:I57)</f>
        <v>0</v>
      </c>
    </row>
    <row r="47" customFormat="false" ht="12.75" hidden="false" customHeight="false" outlineLevel="0" collapsed="false">
      <c r="A47" s="3"/>
      <c r="B47" s="3"/>
      <c r="C47" s="3" t="s">
        <v>56</v>
      </c>
      <c r="D47" s="19" t="n">
        <f aca="false">SUM('1003':'1856'!D58:D58)</f>
        <v>0</v>
      </c>
      <c r="E47" s="19" t="n">
        <f aca="false">SUM('1003':'1856'!E58:E58)</f>
        <v>0</v>
      </c>
      <c r="F47" s="19" t="n">
        <f aca="false">SUM('1003':'1856'!F58:F58)</f>
        <v>0</v>
      </c>
      <c r="G47" s="19" t="n">
        <f aca="false">SUM('1003':'1856'!G58:G58)</f>
        <v>0</v>
      </c>
      <c r="H47" s="20" t="n">
        <f aca="false">SUM('1003':'1856'!H58:H58)</f>
        <v>0</v>
      </c>
      <c r="I47" s="20" t="n">
        <f aca="false">SUM('1003':'1856'!I58:I58)</f>
        <v>0</v>
      </c>
    </row>
    <row r="48" customFormat="false" ht="12.75" hidden="false" customHeight="false" outlineLevel="0" collapsed="false">
      <c r="A48" s="3"/>
      <c r="B48" s="3"/>
      <c r="C48" s="3" t="s">
        <v>57</v>
      </c>
      <c r="D48" s="19" t="n">
        <f aca="false">SUM('1003':'1856'!D59:D59)</f>
        <v>1185924.59</v>
      </c>
      <c r="E48" s="19" t="n">
        <f aca="false">SUM('1003':'1856'!E59:E59)</f>
        <v>779383.77</v>
      </c>
      <c r="F48" s="19" t="n">
        <f aca="false">SUM('1003':'1856'!F59:F59)</f>
        <v>638487.7</v>
      </c>
      <c r="G48" s="19" t="n">
        <f aca="false">SUM('1003':'1856'!G59:G59)</f>
        <v>1563523.37</v>
      </c>
      <c r="H48" s="20" t="n">
        <f aca="false">SUM('1003':'1856'!H59:H59)</f>
        <v>659571</v>
      </c>
      <c r="I48" s="20" t="n">
        <f aca="false">SUM('1003':'1856'!I59:I59)</f>
        <v>0</v>
      </c>
    </row>
    <row r="49" s="24" customFormat="true" ht="12.75" hidden="false" customHeight="false" outlineLevel="0" collapsed="false">
      <c r="A49" s="3"/>
      <c r="B49" s="3"/>
      <c r="C49" s="3" t="s">
        <v>58</v>
      </c>
      <c r="D49" s="19" t="n">
        <f aca="false">SUM('1003':'1856'!D60:D60)</f>
        <v>439973.45</v>
      </c>
      <c r="E49" s="19" t="n">
        <f aca="false">SUM('1003':'1856'!E60:E60)</f>
        <v>454506.98</v>
      </c>
      <c r="F49" s="19" t="n">
        <f aca="false">SUM('1003':'1856'!F60:F60)</f>
        <v>571265.2</v>
      </c>
      <c r="G49" s="19" t="n">
        <f aca="false">SUM('1003':'1856'!G60:G60)</f>
        <v>400897.96</v>
      </c>
      <c r="H49" s="20" t="n">
        <f aca="false">SUM('1003':'1856'!H60:H60)</f>
        <v>401996</v>
      </c>
      <c r="I49" s="20" t="n">
        <f aca="false">SUM('1003':'1856'!I60:I60)</f>
        <v>0</v>
      </c>
      <c r="J49" s="2"/>
    </row>
    <row r="50" customFormat="false" ht="12.75" hidden="false" customHeight="false" outlineLevel="0" collapsed="false">
      <c r="A50" s="3"/>
      <c r="B50" s="3"/>
      <c r="C50" s="3" t="s">
        <v>59</v>
      </c>
      <c r="D50" s="19" t="n">
        <f aca="false">SUM('1003':'1856'!D61:D61)</f>
        <v>8585796.35</v>
      </c>
      <c r="E50" s="19" t="n">
        <f aca="false">SUM('1003':'1856'!E61:E61)</f>
        <v>9687872.23</v>
      </c>
      <c r="F50" s="19" t="n">
        <f aca="false">SUM('1003':'1856'!F61:F61)</f>
        <v>9438399.31</v>
      </c>
      <c r="G50" s="19" t="n">
        <f aca="false">SUM('1003':'1856'!G61:G61)</f>
        <v>8790078.46</v>
      </c>
      <c r="H50" s="20" t="n">
        <f aca="false">SUM('1003':'1856'!H61:H61)</f>
        <v>8421975</v>
      </c>
      <c r="I50" s="20" t="n">
        <f aca="false">SUM('1003':'1856'!I61:I61)</f>
        <v>0</v>
      </c>
      <c r="J50" s="24"/>
    </row>
    <row r="51" customFormat="false" ht="12.75" hidden="false" customHeight="false" outlineLevel="0" collapsed="false">
      <c r="A51" s="3"/>
      <c r="B51" s="3"/>
      <c r="C51" s="3" t="s">
        <v>60</v>
      </c>
      <c r="D51" s="19" t="n">
        <f aca="false">SUM('1003':'1856'!D62:D62)</f>
        <v>106103.67</v>
      </c>
      <c r="E51" s="19" t="n">
        <f aca="false">SUM('1003':'1856'!E62:E62)</f>
        <v>176022.24</v>
      </c>
      <c r="F51" s="19" t="n">
        <f aca="false">SUM('1003':'1856'!F62:F62)</f>
        <v>212241.2</v>
      </c>
      <c r="G51" s="19" t="n">
        <f aca="false">SUM('1003':'1856'!G62:G62)</f>
        <v>286129.95</v>
      </c>
      <c r="H51" s="20" t="n">
        <f aca="false">SUM('1003':'1856'!H62:H62)</f>
        <v>250759</v>
      </c>
      <c r="I51" s="20" t="n">
        <f aca="false">SUM('1003':'1856'!I62:I62)</f>
        <v>0</v>
      </c>
    </row>
    <row r="52" customFormat="false" ht="12.75" hidden="false" customHeight="false" outlineLevel="0" collapsed="false">
      <c r="A52" s="3"/>
      <c r="B52" s="3"/>
      <c r="C52" s="3" t="s">
        <v>61</v>
      </c>
      <c r="D52" s="19" t="n">
        <f aca="false">SUM('1003':'1856'!D63:D63)</f>
        <v>675398.79</v>
      </c>
      <c r="E52" s="19" t="n">
        <f aca="false">SUM('1003':'1856'!E63:E63)</f>
        <v>228770.87</v>
      </c>
      <c r="F52" s="19" t="n">
        <f aca="false">SUM('1003':'1856'!F63:F63)</f>
        <v>415615.55</v>
      </c>
      <c r="G52" s="19" t="n">
        <f aca="false">SUM('1003':'1856'!G63:G63)</f>
        <v>609008.77</v>
      </c>
      <c r="H52" s="20" t="n">
        <f aca="false">SUM('1003':'1856'!H63:H63)</f>
        <v>431436</v>
      </c>
      <c r="I52" s="20" t="n">
        <f aca="false">SUM('1003':'1856'!I63:I63)</f>
        <v>0</v>
      </c>
    </row>
    <row r="53" customFormat="false" ht="12.75" hidden="false" customHeight="false" outlineLevel="0" collapsed="false">
      <c r="A53" s="3"/>
      <c r="B53" s="3"/>
      <c r="C53" s="3" t="s">
        <v>62</v>
      </c>
      <c r="D53" s="19" t="n">
        <f aca="false">SUM('1003':'1856'!D64:D64)</f>
        <v>1313175.17</v>
      </c>
      <c r="E53" s="19" t="n">
        <f aca="false">SUM('1003':'1856'!E64:E64)</f>
        <v>1504684.12</v>
      </c>
      <c r="F53" s="19" t="n">
        <f aca="false">SUM('1003':'1856'!F64:F64)</f>
        <v>1508280.44</v>
      </c>
      <c r="G53" s="19" t="n">
        <f aca="false">SUM('1003':'1856'!G64:G64)</f>
        <v>1403647.96</v>
      </c>
      <c r="H53" s="20" t="n">
        <f aca="false">SUM('1003':'1856'!H64:H64)</f>
        <v>1258664</v>
      </c>
      <c r="I53" s="20" t="n">
        <f aca="false">SUM('1003':'1856'!I64:I64)</f>
        <v>0</v>
      </c>
    </row>
    <row r="54" customFormat="false" ht="12.75" hidden="false" customHeight="false" outlineLevel="0" collapsed="false">
      <c r="A54" s="3"/>
      <c r="B54" s="3"/>
      <c r="C54" s="3" t="s">
        <v>63</v>
      </c>
      <c r="D54" s="19" t="n">
        <f aca="false">SUM('1003':'1856'!D65:D65)</f>
        <v>-2673959.26</v>
      </c>
      <c r="E54" s="19" t="n">
        <f aca="false">SUM('1003':'1856'!E65:E65)</f>
        <v>-7668031.49</v>
      </c>
      <c r="F54" s="19" t="n">
        <f aca="false">SUM('1003':'1856'!F65:F65)</f>
        <v>-6433190.05</v>
      </c>
      <c r="G54" s="19" t="n">
        <f aca="false">SUM('1003':'1856'!G65:G65)</f>
        <v>-9055415.49</v>
      </c>
      <c r="H54" s="20" t="n">
        <f aca="false">SUM('1003':'1856'!H65:H65)</f>
        <v>-9566500</v>
      </c>
      <c r="I54" s="20" t="n">
        <f aca="false">SUM('1003':'1856'!I65:I65)</f>
        <v>0</v>
      </c>
    </row>
    <row r="55" customFormat="false" ht="12.75" hidden="false" customHeight="false" outlineLevel="0" collapsed="false">
      <c r="A55" s="3"/>
      <c r="B55" s="3"/>
      <c r="C55" s="3" t="s">
        <v>64</v>
      </c>
      <c r="D55" s="19" t="n">
        <f aca="false">SUM('1003':'1856'!D66:D66)</f>
        <v>74054987.88</v>
      </c>
      <c r="E55" s="19" t="n">
        <f aca="false">SUM('1003':'1856'!E66:E66)</f>
        <v>84135795.03</v>
      </c>
      <c r="F55" s="19" t="n">
        <f aca="false">SUM('1003':'1856'!F66:F66)</f>
        <v>81687376.55</v>
      </c>
      <c r="G55" s="19" t="n">
        <f aca="false">SUM('1003':'1856'!G66:G66)</f>
        <v>93866500.18</v>
      </c>
      <c r="H55" s="20" t="n">
        <f aca="false">SUM('1003':'1856'!H66:H66)</f>
        <v>118677775</v>
      </c>
      <c r="I55" s="20" t="n">
        <f aca="false">SUM('1003':'1856'!I66:I66)</f>
        <v>0</v>
      </c>
    </row>
    <row r="56" customFormat="false" ht="12.75" hidden="false" customHeight="false" outlineLevel="0" collapsed="false">
      <c r="A56" s="3"/>
      <c r="B56" s="3"/>
      <c r="C56" s="3" t="s">
        <v>65</v>
      </c>
      <c r="D56" s="19" t="n">
        <f aca="false">SUM('1003':'1856'!D67:D67)</f>
        <v>0</v>
      </c>
      <c r="E56" s="19" t="n">
        <f aca="false">SUM('1003':'1856'!E67:E67)</f>
        <v>0</v>
      </c>
      <c r="F56" s="19" t="n">
        <f aca="false">SUM('1003':'1856'!F67:F67)</f>
        <v>0</v>
      </c>
      <c r="G56" s="19" t="n">
        <f aca="false">SUM('1003':'1856'!G67:G67)</f>
        <v>0</v>
      </c>
      <c r="H56" s="20" t="n">
        <f aca="false">SUM('1003':'1856'!H67:H67)</f>
        <v>0</v>
      </c>
      <c r="I56" s="20" t="n">
        <f aca="false">SUM('1003':'1856'!I67:I67)</f>
        <v>0</v>
      </c>
    </row>
    <row r="57" customFormat="false" ht="12.75" hidden="false" customHeight="false" outlineLevel="0" collapsed="false">
      <c r="A57" s="3"/>
      <c r="B57" s="3"/>
      <c r="C57" s="3" t="s">
        <v>66</v>
      </c>
      <c r="D57" s="19" t="n">
        <f aca="false">SUM('1003':'1856'!D68:D68)</f>
        <v>0</v>
      </c>
      <c r="E57" s="19" t="n">
        <f aca="false">SUM('1003':'1856'!E68:E68)</f>
        <v>0</v>
      </c>
      <c r="F57" s="19" t="n">
        <f aca="false">SUM('1003':'1856'!F68:F68)</f>
        <v>0</v>
      </c>
      <c r="G57" s="19" t="n">
        <f aca="false">SUM('1003':'1856'!G68:G68)</f>
        <v>0</v>
      </c>
      <c r="H57" s="20" t="n">
        <f aca="false">SUM('1003':'1856'!H68:H68)</f>
        <v>0</v>
      </c>
      <c r="I57" s="20" t="n">
        <f aca="false">SUM('1003':'1856'!I68:I68)</f>
        <v>0</v>
      </c>
    </row>
    <row r="58" customFormat="false" ht="12.75" hidden="false" customHeight="false" outlineLevel="0" collapsed="false">
      <c r="A58" s="3"/>
      <c r="B58" s="3"/>
      <c r="C58" s="3" t="s">
        <v>67</v>
      </c>
      <c r="D58" s="19" t="n">
        <f aca="false">SUM('1003':'1856'!D69:D69)</f>
        <v>0</v>
      </c>
      <c r="E58" s="19" t="n">
        <f aca="false">SUM('1003':'1856'!E69:E69)</f>
        <v>0</v>
      </c>
      <c r="F58" s="19" t="n">
        <f aca="false">SUM('1003':'1856'!F69:F69)</f>
        <v>0</v>
      </c>
      <c r="G58" s="19" t="n">
        <f aca="false">SUM('1003':'1856'!G69:G69)</f>
        <v>0</v>
      </c>
      <c r="H58" s="20" t="n">
        <f aca="false">SUM('1003':'1856'!H69:H69)</f>
        <v>0</v>
      </c>
      <c r="I58" s="20" t="n">
        <f aca="false">SUM('1003':'1856'!I69:I69)</f>
        <v>0</v>
      </c>
    </row>
    <row r="59" customFormat="false" ht="12.75" hidden="false" customHeight="false" outlineLevel="0" collapsed="false">
      <c r="A59" s="3"/>
      <c r="B59" s="3"/>
      <c r="C59" s="3" t="s">
        <v>68</v>
      </c>
      <c r="D59" s="19" t="n">
        <f aca="false">SUM('1003':'1856'!D70:D70)</f>
        <v>0</v>
      </c>
      <c r="E59" s="19" t="n">
        <f aca="false">SUM('1003':'1856'!E70:E70)</f>
        <v>0</v>
      </c>
      <c r="F59" s="19" t="n">
        <f aca="false">SUM('1003':'1856'!F70:F70)</f>
        <v>0</v>
      </c>
      <c r="G59" s="19" t="n">
        <f aca="false">SUM('1003':'1856'!G70:G70)</f>
        <v>0</v>
      </c>
      <c r="H59" s="20" t="n">
        <f aca="false">SUM('1003':'1856'!H70:H70)</f>
        <v>0</v>
      </c>
      <c r="I59" s="20" t="n">
        <f aca="false">SUM('1003':'1856'!I70:I70)</f>
        <v>0</v>
      </c>
    </row>
    <row r="60" customFormat="false" ht="12.75" hidden="false" customHeight="false" outlineLevel="0" collapsed="false">
      <c r="A60" s="3"/>
      <c r="B60" s="3"/>
      <c r="C60" s="3" t="s">
        <v>69</v>
      </c>
      <c r="D60" s="25" t="n">
        <f aca="false">SUM('1003':'1856'!D71:D71)</f>
        <v>216986.6</v>
      </c>
      <c r="E60" s="25" t="n">
        <f aca="false">SUM('1003':'1856'!E71:E71)</f>
        <v>472255.1</v>
      </c>
      <c r="F60" s="25" t="n">
        <f aca="false">SUM('1003':'1856'!F71:F71)</f>
        <v>538205.66</v>
      </c>
      <c r="G60" s="25" t="n">
        <f aca="false">SUM('1003':'1856'!G71:G71)</f>
        <v>563827.09</v>
      </c>
      <c r="H60" s="26" t="n">
        <f aca="false">SUM('1003':'1856'!H71:H71)</f>
        <v>440214</v>
      </c>
      <c r="I60" s="26" t="n">
        <f aca="false">SUM('1003':'1856'!I71:I71)</f>
        <v>0</v>
      </c>
    </row>
    <row r="61" customFormat="false" ht="12.75" hidden="false" customHeight="false" outlineLevel="0" collapsed="false">
      <c r="A61" s="30" t="s">
        <v>70</v>
      </c>
      <c r="B61" s="30"/>
      <c r="C61" s="31" t="s">
        <v>52</v>
      </c>
      <c r="D61" s="21" t="n">
        <f aca="false">SUM(D45:D60)</f>
        <v>137560524.22</v>
      </c>
      <c r="E61" s="21" t="n">
        <f aca="false">SUM(E45:E60)</f>
        <v>152413579.43</v>
      </c>
      <c r="F61" s="21" t="n">
        <f aca="false">SUM(F45:F60)</f>
        <v>152725064.17</v>
      </c>
      <c r="G61" s="21" t="n">
        <f aca="false">SUM(G45:G60)</f>
        <v>165499241.84</v>
      </c>
      <c r="H61" s="42" t="n">
        <f aca="false">SUM(H45:H60)</f>
        <v>176916016</v>
      </c>
      <c r="I61" s="42" t="n">
        <f aca="false">SUM(I45:I60)</f>
        <v>0</v>
      </c>
    </row>
    <row r="62" customFormat="false" ht="13.5" hidden="false" customHeight="false" outlineLevel="0" collapsed="false">
      <c r="A62" s="3"/>
      <c r="B62" s="3"/>
      <c r="C62" s="3"/>
      <c r="D62" s="27"/>
      <c r="E62" s="28"/>
      <c r="F62" s="28"/>
      <c r="G62" s="27"/>
      <c r="H62" s="29"/>
      <c r="I62" s="29"/>
    </row>
    <row r="63" customFormat="false" ht="13.5" hidden="false" customHeight="false" outlineLevel="0" collapsed="false">
      <c r="A63" s="43" t="s">
        <v>71</v>
      </c>
      <c r="B63" s="44"/>
      <c r="C63" s="16"/>
      <c r="D63" s="3" t="n">
        <f aca="false">+D26-D61</f>
        <v>29147375.63</v>
      </c>
      <c r="E63" s="21" t="n">
        <f aca="false">+E26-E61</f>
        <v>25814385.07</v>
      </c>
      <c r="F63" s="21" t="n">
        <f aca="false">+F26-F61</f>
        <v>14914175.05</v>
      </c>
      <c r="G63" s="21" t="n">
        <f aca="false">+G26-G61</f>
        <v>20496234.78</v>
      </c>
      <c r="H63" s="45" t="n">
        <f aca="false">+H26-H61</f>
        <v>23394374.78</v>
      </c>
      <c r="I63" s="45" t="n">
        <f aca="false">+I26-I61</f>
        <v>23394374.78</v>
      </c>
    </row>
    <row r="64" customFormat="false" ht="12.75" hidden="false" customHeight="false" outlineLevel="0" collapsed="false">
      <c r="A64" s="3"/>
      <c r="B64" s="3"/>
      <c r="C64" s="3" t="s">
        <v>7</v>
      </c>
      <c r="D64" s="3"/>
    </row>
    <row r="65" customFormat="false" ht="12.75" hidden="false" customHeight="false" outlineLevel="0" collapsed="false">
      <c r="A65" s="3"/>
      <c r="B65" s="3"/>
      <c r="C65" s="3"/>
      <c r="E65" s="46" t="s">
        <v>72</v>
      </c>
      <c r="F65" s="47" t="n">
        <v>37886</v>
      </c>
    </row>
    <row r="75" customFormat="false" ht="12.75" hidden="false" customHeight="false" outlineLevel="0" collapsed="false">
      <c r="G75" s="30"/>
      <c r="H75" s="30"/>
      <c r="I75" s="30"/>
    </row>
    <row r="77" customFormat="false" ht="12.75" hidden="false" customHeight="false" outlineLevel="0" collapsed="false">
      <c r="G77" s="30"/>
      <c r="H77" s="30"/>
      <c r="I77" s="30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73" activeCellId="0" sqref="I73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73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9183762.44999997</v>
      </c>
      <c r="E6" s="3" t="n">
        <f aca="false">+F6+E72-E25-E35</f>
        <v>18387551.17</v>
      </c>
      <c r="F6" s="3" t="n">
        <f aca="false">+G6+F72-F25-F35</f>
        <v>26982018.07</v>
      </c>
      <c r="G6" s="3" t="n">
        <v>21451645.94</v>
      </c>
      <c r="H6" s="18" t="n">
        <f aca="false">G6+G25+G35-G53</f>
        <v>19543849.02</v>
      </c>
      <c r="I6" s="18" t="n">
        <f aca="false">H6+H25+H35-H53</f>
        <v>19543849.02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0</v>
      </c>
      <c r="E13" s="19" t="n">
        <v>0</v>
      </c>
      <c r="F13" s="19" t="n">
        <v>0</v>
      </c>
      <c r="G13" s="19" t="n">
        <v>0</v>
      </c>
      <c r="H13" s="20" t="n">
        <v>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23225.6</v>
      </c>
      <c r="E14" s="19" t="n">
        <v>47132.09</v>
      </c>
      <c r="F14" s="19" t="n">
        <v>26257.77</v>
      </c>
      <c r="G14" s="19" t="n">
        <v>46194.68</v>
      </c>
      <c r="H14" s="20" t="n">
        <v>22000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0.35</v>
      </c>
      <c r="E15" s="19" t="n">
        <v>31319</v>
      </c>
      <c r="F15" s="19" t="n">
        <v>18196.43</v>
      </c>
      <c r="G15" s="19" t="n">
        <v>-1278</v>
      </c>
      <c r="H15" s="20" t="n">
        <v>0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50</v>
      </c>
      <c r="E16" s="19" t="n">
        <v>0</v>
      </c>
      <c r="F16" s="19" t="n">
        <v>0</v>
      </c>
      <c r="G16" s="19" t="n">
        <v>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31358.14</v>
      </c>
      <c r="E18" s="19" t="n">
        <v>0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54634.09</v>
      </c>
      <c r="E25" s="3" t="n">
        <f aca="false">SUM(E9:E24)</f>
        <v>78451.09</v>
      </c>
      <c r="F25" s="3" t="n">
        <f aca="false">SUM(F9:F24)</f>
        <v>44454.2</v>
      </c>
      <c r="G25" s="23" t="n">
        <f aca="false">SUM(G9:G24)</f>
        <v>44916.68</v>
      </c>
      <c r="H25" s="18" t="n">
        <f aca="false">SUM(H9:H24)</f>
        <v>22000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85170272</v>
      </c>
      <c r="E28" s="19" t="n">
        <v>91487968</v>
      </c>
      <c r="F28" s="19" t="n">
        <v>88752866</v>
      </c>
      <c r="G28" s="52" t="n">
        <v>92909852</v>
      </c>
      <c r="H28" s="20" t="n">
        <v>88469088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0</v>
      </c>
      <c r="E29" s="19" t="n">
        <v>0</v>
      </c>
      <c r="F29" s="19" t="n">
        <v>0</v>
      </c>
      <c r="G29" s="52" t="n">
        <v>0</v>
      </c>
      <c r="H29" s="20" t="n">
        <v>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23128004.46</v>
      </c>
      <c r="E32" s="19" t="n">
        <v>17167204.25</v>
      </c>
      <c r="F32" s="19" t="n">
        <v>17070036.93</v>
      </c>
      <c r="G32" s="52" t="n">
        <v>23721569.75</v>
      </c>
      <c r="H32" s="20" t="n">
        <v>11335913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-24127835.09</v>
      </c>
      <c r="E33" s="19" t="n">
        <v>-24262759.29</v>
      </c>
      <c r="F33" s="19" t="n">
        <v>-30206308</v>
      </c>
      <c r="G33" s="52" t="n">
        <v>-27822037.4</v>
      </c>
      <c r="H33" s="20" t="n">
        <v>-3542301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84170441.37</v>
      </c>
      <c r="E35" s="19" t="n">
        <f aca="false">SUM(E28:E34)</f>
        <v>84392412.96</v>
      </c>
      <c r="F35" s="19" t="n">
        <f aca="false">SUM(F28:F34)</f>
        <v>75616594.93</v>
      </c>
      <c r="G35" s="19" t="n">
        <f aca="false">SUM(G28:G34)</f>
        <v>88809384.35</v>
      </c>
      <c r="H35" s="20" t="n">
        <f aca="false">SUM(H28:H34)</f>
        <v>96262700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93408837.91</v>
      </c>
      <c r="E37" s="30" t="n">
        <f aca="false">+E35+E25+E6</f>
        <v>102858415.22</v>
      </c>
      <c r="F37" s="30" t="n">
        <f aca="false">+F35+F25+F6</f>
        <v>102643067.2</v>
      </c>
      <c r="G37" s="32" t="n">
        <f aca="false">+G35+G25+G6</f>
        <v>110305946.97</v>
      </c>
      <c r="H37" s="42" t="n">
        <f aca="false">+H35+H25+H6</f>
        <v>115828549.02</v>
      </c>
      <c r="I37" s="42" t="n">
        <f aca="false">+I35+I25+I6</f>
        <v>19543849.02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0</v>
      </c>
      <c r="G43" s="19" t="n">
        <v>0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0</v>
      </c>
      <c r="E44" s="19" t="n">
        <v>0</v>
      </c>
      <c r="F44" s="19" t="n">
        <v>0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385681.67</v>
      </c>
      <c r="E46" s="19" t="n">
        <v>375804.41</v>
      </c>
      <c r="F46" s="19" t="n">
        <v>398583.8</v>
      </c>
      <c r="G46" s="19" t="n">
        <v>373227.04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74635605.07</v>
      </c>
      <c r="E47" s="19" t="n">
        <v>75500592.74</v>
      </c>
      <c r="F47" s="19" t="n">
        <v>80792837.46</v>
      </c>
      <c r="G47" s="19" t="n">
        <v>90388870.91</v>
      </c>
      <c r="H47" s="20" t="n">
        <v>96284700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75021286.74</v>
      </c>
      <c r="E53" s="19" t="n">
        <f aca="false">SUM(E41:E52)</f>
        <v>75876397.15</v>
      </c>
      <c r="F53" s="19" t="n">
        <f aca="false">SUM(F41:F52)</f>
        <v>81191421.26</v>
      </c>
      <c r="G53" s="23" t="n">
        <f aca="false">SUM(G41:G52)</f>
        <v>90762097.95</v>
      </c>
      <c r="H53" s="20" t="n">
        <f aca="false">SUM(H41:H52)</f>
        <v>96284700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31486396.83</v>
      </c>
      <c r="E56" s="19" t="n">
        <v>33802671.88</v>
      </c>
      <c r="F56" s="19" t="n">
        <v>36074465.49</v>
      </c>
      <c r="G56" s="52" t="n">
        <v>37114898.64</v>
      </c>
      <c r="H56" s="52" t="n">
        <v>35217157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9417741.26</v>
      </c>
      <c r="E57" s="19" t="n">
        <v>10958533.59</v>
      </c>
      <c r="F57" s="19" t="n">
        <v>12497419.93</v>
      </c>
      <c r="G57" s="52" t="n">
        <v>13146789.23</v>
      </c>
      <c r="H57" s="52" t="n">
        <v>12673408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898555.78</v>
      </c>
      <c r="E59" s="19" t="n">
        <v>610047.29</v>
      </c>
      <c r="F59" s="19" t="n">
        <v>506344.72</v>
      </c>
      <c r="G59" s="52" t="n">
        <v>1354626</v>
      </c>
      <c r="H59" s="52" t="n">
        <v>338096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368551.07</v>
      </c>
      <c r="E60" s="19" t="n">
        <v>373443.66</v>
      </c>
      <c r="F60" s="19" t="n">
        <v>485387.79</v>
      </c>
      <c r="G60" s="52" t="n">
        <v>345050.53</v>
      </c>
      <c r="H60" s="52" t="n">
        <v>367696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2423991.05</v>
      </c>
      <c r="E61" s="19" t="n">
        <v>2080625.08</v>
      </c>
      <c r="F61" s="19" t="n">
        <v>2123984.19</v>
      </c>
      <c r="G61" s="52" t="n">
        <v>2185352.6</v>
      </c>
      <c r="H61" s="52" t="n">
        <v>1739601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0</v>
      </c>
      <c r="E62" s="19" t="n">
        <v>0</v>
      </c>
      <c r="F62" s="19" t="n">
        <v>0</v>
      </c>
      <c r="G62" s="52" t="n">
        <v>0</v>
      </c>
      <c r="H62" s="52" t="n">
        <v>0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621199.34</v>
      </c>
      <c r="E63" s="19" t="n">
        <v>217523.82</v>
      </c>
      <c r="F63" s="19" t="n">
        <v>397908.78</v>
      </c>
      <c r="G63" s="52" t="n">
        <v>572782.97</v>
      </c>
      <c r="H63" s="52" t="n">
        <v>398198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871660.37</v>
      </c>
      <c r="E64" s="19" t="n">
        <v>988388.69</v>
      </c>
      <c r="F64" s="19" t="n">
        <v>952785.74</v>
      </c>
      <c r="G64" s="52" t="n">
        <v>893024.94</v>
      </c>
      <c r="H64" s="52" t="n">
        <v>1001163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1086828.51</v>
      </c>
      <c r="E65" s="19" t="n">
        <v>-3632507.22</v>
      </c>
      <c r="F65" s="19" t="n">
        <v>5466087.95</v>
      </c>
      <c r="G65" s="52" t="n">
        <v>-16370339.64</v>
      </c>
      <c r="H65" s="52" t="n">
        <v>-10852237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27671224.07</v>
      </c>
      <c r="E66" s="19" t="n">
        <v>30076561.92</v>
      </c>
      <c r="F66" s="19" t="n">
        <v>22236435.82</v>
      </c>
      <c r="G66" s="52" t="n">
        <v>51056431.93</v>
      </c>
      <c r="H66" s="52" t="n">
        <v>54961404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175138.46</v>
      </c>
      <c r="E71" s="25" t="n">
        <v>401108.44</v>
      </c>
      <c r="F71" s="25" t="n">
        <v>450600.85</v>
      </c>
      <c r="G71" s="38" t="n">
        <v>463480.75</v>
      </c>
      <c r="H71" s="38" t="n">
        <v>440214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75021286.74</v>
      </c>
      <c r="E72" s="21" t="n">
        <f aca="false">SUM(E56:E71)</f>
        <v>75876397.15</v>
      </c>
      <c r="F72" s="21" t="n">
        <f aca="false">SUM(F56:F71)</f>
        <v>81191421.26</v>
      </c>
      <c r="G72" s="56" t="n">
        <f aca="false">SUM(G56:G71)</f>
        <v>90762097.95</v>
      </c>
      <c r="H72" s="57" t="n">
        <f aca="false">SUM(H56:H71)</f>
        <v>96284700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18387551.17</v>
      </c>
      <c r="E74" s="3" t="n">
        <f aca="false">+E37-E72</f>
        <v>26982018.07</v>
      </c>
      <c r="F74" s="3" t="n">
        <f aca="false">+F37-F72</f>
        <v>21451645.94</v>
      </c>
      <c r="G74" s="3" t="n">
        <f aca="false">+G37-G72</f>
        <v>19543849.02</v>
      </c>
      <c r="H74" s="26" t="n">
        <f aca="false">+H37-H72</f>
        <v>19543849.02</v>
      </c>
      <c r="I74" s="26" t="n">
        <f aca="false">+I37-I72</f>
        <v>19543849.02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4" activeCellId="0" sqref="I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96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22</v>
      </c>
      <c r="E6" s="3" t="n">
        <f aca="false">+F6+E72-E25-E35</f>
        <v>2</v>
      </c>
      <c r="F6" s="3" t="n">
        <f aca="false">+G6+F72-F25-F35</f>
        <v>2.03000000119209</v>
      </c>
      <c r="G6" s="3" t="n">
        <v>2.03</v>
      </c>
      <c r="H6" s="18" t="n">
        <f aca="false">G6+G25+G35-G53</f>
        <v>2.03000000119209</v>
      </c>
      <c r="I6" s="18" t="n">
        <f aca="false">H6+H25+H35-H53</f>
        <v>2.03000000119209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17149795</v>
      </c>
      <c r="E13" s="19" t="n">
        <v>18149795</v>
      </c>
      <c r="F13" s="19" t="n">
        <v>20517114</v>
      </c>
      <c r="G13" s="19" t="n">
        <v>22073880</v>
      </c>
      <c r="H13" s="20" t="n">
        <v>22073880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0</v>
      </c>
      <c r="E14" s="19" t="n">
        <v>0</v>
      </c>
      <c r="F14" s="19" t="n">
        <v>0</v>
      </c>
      <c r="G14" s="19" t="n">
        <v>0</v>
      </c>
      <c r="H14" s="20" t="n">
        <v>0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0</v>
      </c>
      <c r="E15" s="19" t="n">
        <v>0</v>
      </c>
      <c r="F15" s="19" t="n">
        <v>0</v>
      </c>
      <c r="G15" s="19" t="n">
        <v>0</v>
      </c>
      <c r="H15" s="20" t="n">
        <v>0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0</v>
      </c>
      <c r="E16" s="19" t="n">
        <v>0</v>
      </c>
      <c r="F16" s="19" t="n">
        <v>0</v>
      </c>
      <c r="G16" s="19" t="n">
        <v>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0</v>
      </c>
      <c r="E18" s="19" t="n">
        <v>0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17149795</v>
      </c>
      <c r="E25" s="3" t="n">
        <f aca="false">SUM(E9:E24)</f>
        <v>18149795</v>
      </c>
      <c r="F25" s="3" t="n">
        <f aca="false">SUM(F9:F24)</f>
        <v>20517114</v>
      </c>
      <c r="G25" s="23" t="n">
        <f aca="false">SUM(G9:G24)</f>
        <v>22073880</v>
      </c>
      <c r="H25" s="18" t="n">
        <f aca="false">SUM(H9:H24)</f>
        <v>22073880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17149795</v>
      </c>
      <c r="E28" s="19" t="n">
        <v>18149795</v>
      </c>
      <c r="F28" s="19" t="n">
        <v>20517114</v>
      </c>
      <c r="G28" s="52" t="n">
        <v>22073880</v>
      </c>
      <c r="H28" s="20" t="n">
        <v>22073880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-17149795</v>
      </c>
      <c r="E29" s="19" t="n">
        <v>-18149795</v>
      </c>
      <c r="F29" s="19" t="n">
        <v>-20517114</v>
      </c>
      <c r="G29" s="52" t="n">
        <v>-22073880</v>
      </c>
      <c r="H29" s="20" t="n">
        <v>-22073880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0</v>
      </c>
      <c r="E32" s="19" t="n">
        <v>0</v>
      </c>
      <c r="F32" s="19" t="n">
        <v>0</v>
      </c>
      <c r="G32" s="52" t="n">
        <v>0</v>
      </c>
      <c r="H32" s="20" t="n">
        <v>0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0</v>
      </c>
      <c r="E33" s="19" t="n">
        <v>0</v>
      </c>
      <c r="F33" s="19" t="n">
        <v>0</v>
      </c>
      <c r="G33" s="52" t="n">
        <v>0</v>
      </c>
      <c r="H33" s="20" t="n">
        <v>0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0</v>
      </c>
      <c r="E35" s="19" t="n">
        <f aca="false">SUM(E28:E34)</f>
        <v>0</v>
      </c>
      <c r="F35" s="19" t="n">
        <f aca="false">SUM(F28:F34)</f>
        <v>0</v>
      </c>
      <c r="G35" s="19" t="n">
        <f aca="false">SUM(G28:G34)</f>
        <v>0</v>
      </c>
      <c r="H35" s="20" t="n">
        <f aca="false">SUM(H28:H34)</f>
        <v>0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17149817</v>
      </c>
      <c r="E37" s="30" t="n">
        <f aca="false">+E35+E25+E6</f>
        <v>18149797</v>
      </c>
      <c r="F37" s="30" t="n">
        <f aca="false">+F35+F25+F6</f>
        <v>20517116.03</v>
      </c>
      <c r="G37" s="32" t="n">
        <f aca="false">+G35+G25+G6</f>
        <v>22073882.03</v>
      </c>
      <c r="H37" s="42" t="n">
        <f aca="false">+H35+H25+H6</f>
        <v>22073882.03</v>
      </c>
      <c r="I37" s="42" t="n">
        <f aca="false">+I35+I25+I6</f>
        <v>2.03000000119209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0</v>
      </c>
      <c r="G43" s="19" t="n">
        <v>0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0</v>
      </c>
      <c r="E44" s="19" t="n">
        <v>0</v>
      </c>
      <c r="F44" s="19" t="n">
        <v>0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0</v>
      </c>
      <c r="E46" s="19" t="n">
        <v>0</v>
      </c>
      <c r="F46" s="19" t="n">
        <v>0</v>
      </c>
      <c r="G46" s="19" t="n">
        <v>0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17149815</v>
      </c>
      <c r="E47" s="19" t="n">
        <v>18149794.97</v>
      </c>
      <c r="F47" s="19" t="n">
        <v>20517114</v>
      </c>
      <c r="G47" s="19" t="n">
        <v>22073880</v>
      </c>
      <c r="H47" s="20" t="n">
        <v>22073880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17149815</v>
      </c>
      <c r="E53" s="19" t="n">
        <f aca="false">SUM(E41:E52)</f>
        <v>18149794.97</v>
      </c>
      <c r="F53" s="19" t="n">
        <f aca="false">SUM(F41:F52)</f>
        <v>20517114</v>
      </c>
      <c r="G53" s="23" t="n">
        <f aca="false">SUM(G41:G52)</f>
        <v>22073880</v>
      </c>
      <c r="H53" s="20" t="n">
        <f aca="false">SUM(H41:H52)</f>
        <v>22073880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0</v>
      </c>
      <c r="E56" s="19" t="n">
        <v>0</v>
      </c>
      <c r="F56" s="19" t="n">
        <v>0</v>
      </c>
      <c r="G56" s="52" t="n">
        <v>0</v>
      </c>
      <c r="H56" s="52" t="n">
        <v>0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0</v>
      </c>
      <c r="E57" s="19" t="n">
        <v>0</v>
      </c>
      <c r="F57" s="19" t="n">
        <v>0</v>
      </c>
      <c r="G57" s="52" t="n">
        <v>0</v>
      </c>
      <c r="H57" s="52" t="n">
        <v>0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0</v>
      </c>
      <c r="E59" s="19" t="n">
        <v>0</v>
      </c>
      <c r="F59" s="19" t="n">
        <v>0</v>
      </c>
      <c r="G59" s="52" t="n">
        <v>0</v>
      </c>
      <c r="H59" s="52" t="n">
        <v>0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0</v>
      </c>
      <c r="E60" s="19" t="n">
        <v>0</v>
      </c>
      <c r="F60" s="19" t="n">
        <v>0</v>
      </c>
      <c r="G60" s="52" t="n">
        <v>0</v>
      </c>
      <c r="H60" s="52" t="n">
        <v>0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0</v>
      </c>
      <c r="E61" s="19" t="n">
        <v>0</v>
      </c>
      <c r="F61" s="19" t="n">
        <v>0</v>
      </c>
      <c r="G61" s="52" t="n">
        <v>0</v>
      </c>
      <c r="H61" s="52" t="n">
        <v>0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0</v>
      </c>
      <c r="E62" s="19" t="n">
        <v>0</v>
      </c>
      <c r="F62" s="19" t="n">
        <v>0</v>
      </c>
      <c r="G62" s="52" t="n">
        <v>0</v>
      </c>
      <c r="H62" s="52" t="n">
        <v>0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0</v>
      </c>
      <c r="E63" s="19" t="n">
        <v>0</v>
      </c>
      <c r="F63" s="19" t="n">
        <v>0</v>
      </c>
      <c r="G63" s="52" t="n">
        <v>0</v>
      </c>
      <c r="H63" s="52" t="n">
        <v>0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0</v>
      </c>
      <c r="E64" s="19" t="n">
        <v>0</v>
      </c>
      <c r="F64" s="19" t="n">
        <v>0</v>
      </c>
      <c r="G64" s="52" t="n">
        <v>0</v>
      </c>
      <c r="H64" s="52" t="n">
        <v>0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8687020</v>
      </c>
      <c r="E65" s="19" t="n">
        <v>8904174.97</v>
      </c>
      <c r="F65" s="19" t="n">
        <v>0</v>
      </c>
      <c r="G65" s="52" t="n">
        <v>22073880</v>
      </c>
      <c r="H65" s="52" t="n">
        <v>0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8462795</v>
      </c>
      <c r="E66" s="19" t="n">
        <v>9245620</v>
      </c>
      <c r="F66" s="19" t="n">
        <v>20517114</v>
      </c>
      <c r="G66" s="52" t="n">
        <v>0</v>
      </c>
      <c r="H66" s="52" t="n">
        <v>22073880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0</v>
      </c>
      <c r="E71" s="25" t="n">
        <v>0</v>
      </c>
      <c r="F71" s="25" t="n">
        <v>0</v>
      </c>
      <c r="G71" s="38" t="n">
        <v>0</v>
      </c>
      <c r="H71" s="38" t="n">
        <v>0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17149815</v>
      </c>
      <c r="E72" s="21" t="n">
        <f aca="false">SUM(E56:E71)</f>
        <v>18149794.97</v>
      </c>
      <c r="F72" s="21" t="n">
        <f aca="false">SUM(F56:F71)</f>
        <v>20517114</v>
      </c>
      <c r="G72" s="56" t="n">
        <f aca="false">SUM(G56:G71)</f>
        <v>22073880</v>
      </c>
      <c r="H72" s="57" t="n">
        <f aca="false">SUM(H56:H71)</f>
        <v>22073880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2</v>
      </c>
      <c r="E74" s="3" t="n">
        <f aca="false">+E37-E72</f>
        <v>2.03000000119209</v>
      </c>
      <c r="F74" s="3" t="n">
        <f aca="false">+F37-F72</f>
        <v>2.03000000119209</v>
      </c>
      <c r="G74" s="3" t="n">
        <f aca="false">+G37-G72</f>
        <v>2.03000000119209</v>
      </c>
      <c r="H74" s="26" t="n">
        <f aca="false">+H37-H72</f>
        <v>2.03000000119209</v>
      </c>
      <c r="I74" s="26" t="n">
        <f aca="false">+I37-I72</f>
        <v>2.03000000119209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80" activeCellId="0" sqref="I80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97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12324595.99</v>
      </c>
      <c r="E6" s="3" t="n">
        <f aca="false">+F6+E72-E25-E35</f>
        <v>9337657.96000001</v>
      </c>
      <c r="F6" s="3" t="n">
        <f aca="false">+G6+F72-F25-F35</f>
        <v>-4982196.54999998</v>
      </c>
      <c r="G6" s="3" t="n">
        <v>-7775381.65</v>
      </c>
      <c r="H6" s="18" t="n">
        <f aca="false">G6+G25+G35-G53</f>
        <v>-1463386.09999999</v>
      </c>
      <c r="I6" s="18" t="n">
        <f aca="false">H6+H25+H35-H53</f>
        <v>1434737.90000001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0</v>
      </c>
      <c r="E13" s="19" t="n">
        <v>0</v>
      </c>
      <c r="F13" s="19" t="n">
        <v>0</v>
      </c>
      <c r="G13" s="19" t="n">
        <v>0</v>
      </c>
      <c r="H13" s="20" t="n">
        <v>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1407057.06</v>
      </c>
      <c r="E14" s="19" t="n">
        <v>1119796.45</v>
      </c>
      <c r="F14" s="19" t="n">
        <v>1596873.33</v>
      </c>
      <c r="G14" s="19" t="n">
        <v>1851644.13</v>
      </c>
      <c r="H14" s="20" t="n">
        <v>4713397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43821749.3</v>
      </c>
      <c r="E15" s="19" t="n">
        <v>47007484.04</v>
      </c>
      <c r="F15" s="19" t="n">
        <v>50410932.4</v>
      </c>
      <c r="G15" s="19" t="n">
        <v>62729573.53</v>
      </c>
      <c r="H15" s="20" t="n">
        <v>66789067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0</v>
      </c>
      <c r="E16" s="19" t="n">
        <v>0</v>
      </c>
      <c r="F16" s="19" t="n">
        <v>0</v>
      </c>
      <c r="G16" s="19" t="n">
        <v>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0</v>
      </c>
      <c r="E18" s="19" t="n">
        <v>0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45228806.36</v>
      </c>
      <c r="E25" s="3" t="n">
        <f aca="false">SUM(E9:E24)</f>
        <v>48127280.49</v>
      </c>
      <c r="F25" s="3" t="n">
        <f aca="false">SUM(F9:F24)</f>
        <v>52007805.73</v>
      </c>
      <c r="G25" s="23" t="n">
        <f aca="false">SUM(G9:G24)</f>
        <v>64581217.66</v>
      </c>
      <c r="H25" s="18" t="n">
        <f aca="false">SUM(H9:H24)</f>
        <v>71502464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0</v>
      </c>
      <c r="E28" s="19" t="n">
        <v>0</v>
      </c>
      <c r="F28" s="19" t="n">
        <v>0</v>
      </c>
      <c r="G28" s="52" t="n">
        <v>0</v>
      </c>
      <c r="H28" s="20" t="n">
        <v>0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0</v>
      </c>
      <c r="E29" s="19" t="n">
        <v>0</v>
      </c>
      <c r="F29" s="19" t="n">
        <v>0</v>
      </c>
      <c r="G29" s="52" t="n">
        <v>0</v>
      </c>
      <c r="H29" s="20" t="n">
        <v>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31002514</v>
      </c>
      <c r="E32" s="19" t="n">
        <v>31352160.41</v>
      </c>
      <c r="F32" s="19" t="n">
        <v>76645990.35</v>
      </c>
      <c r="G32" s="52" t="n">
        <v>38051435</v>
      </c>
      <c r="H32" s="20" t="n">
        <v>0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-40739894.44</v>
      </c>
      <c r="E33" s="19" t="n">
        <v>-42539452.14</v>
      </c>
      <c r="F33" s="19" t="n">
        <v>-87885516.26</v>
      </c>
      <c r="G33" s="52" t="n">
        <v>-51027474.71</v>
      </c>
      <c r="H33" s="20" t="n">
        <v>-10046904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-9737380.44</v>
      </c>
      <c r="E35" s="19" t="n">
        <f aca="false">SUM(E28:E34)</f>
        <v>-11187291.73</v>
      </c>
      <c r="F35" s="19" t="n">
        <f aca="false">SUM(F28:F34)</f>
        <v>-11239525.91</v>
      </c>
      <c r="G35" s="19" t="n">
        <f aca="false">SUM(G28:G34)</f>
        <v>-12976039.71</v>
      </c>
      <c r="H35" s="20" t="n">
        <f aca="false">SUM(H28:H34)</f>
        <v>-10046904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47816021.91</v>
      </c>
      <c r="E37" s="30" t="n">
        <f aca="false">+E35+E25+E6</f>
        <v>46277646.72</v>
      </c>
      <c r="F37" s="30" t="n">
        <f aca="false">+F35+F25+F6</f>
        <v>35786083.27</v>
      </c>
      <c r="G37" s="32" t="n">
        <f aca="false">+G35+G25+G6</f>
        <v>43829796.3</v>
      </c>
      <c r="H37" s="42" t="n">
        <f aca="false">+H35+H25+H6</f>
        <v>59992173.9</v>
      </c>
      <c r="I37" s="42" t="n">
        <f aca="false">+I35+I25+I6</f>
        <v>1434737.90000001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0</v>
      </c>
      <c r="G43" s="19" t="n">
        <v>0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0</v>
      </c>
      <c r="E44" s="19" t="n">
        <v>0</v>
      </c>
      <c r="F44" s="19" t="n">
        <v>0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0</v>
      </c>
      <c r="E46" s="19" t="n">
        <v>0</v>
      </c>
      <c r="F46" s="19" t="n">
        <v>0</v>
      </c>
      <c r="G46" s="19" t="n">
        <v>0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38478363.95</v>
      </c>
      <c r="E47" s="19" t="n">
        <v>51259843.27</v>
      </c>
      <c r="F47" s="19" t="n">
        <v>43561464.92</v>
      </c>
      <c r="G47" s="19" t="n">
        <v>45293182.4</v>
      </c>
      <c r="H47" s="20" t="n">
        <v>58557436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38478363.95</v>
      </c>
      <c r="E53" s="19" t="n">
        <f aca="false">SUM(E41:E52)</f>
        <v>51259843.27</v>
      </c>
      <c r="F53" s="19" t="n">
        <f aca="false">SUM(F41:F52)</f>
        <v>43561464.92</v>
      </c>
      <c r="G53" s="23" t="n">
        <f aca="false">SUM(G41:G52)</f>
        <v>45293182.4</v>
      </c>
      <c r="H53" s="20" t="n">
        <f aca="false">SUM(H41:H52)</f>
        <v>58557436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8566000.18</v>
      </c>
      <c r="E56" s="19" t="n">
        <v>12333784.22</v>
      </c>
      <c r="F56" s="19" t="n">
        <v>10544351.22</v>
      </c>
      <c r="G56" s="52" t="n">
        <v>11353474.94</v>
      </c>
      <c r="H56" s="52" t="n">
        <v>5519050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4185998.71</v>
      </c>
      <c r="E57" s="19" t="n">
        <v>5547330.89</v>
      </c>
      <c r="F57" s="19" t="n">
        <v>5032145.97</v>
      </c>
      <c r="G57" s="52" t="n">
        <v>5455880.78</v>
      </c>
      <c r="H57" s="52" t="n">
        <v>2530511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287368.81</v>
      </c>
      <c r="E59" s="19" t="n">
        <v>169336.48</v>
      </c>
      <c r="F59" s="19" t="n">
        <v>132142.98</v>
      </c>
      <c r="G59" s="52" t="n">
        <v>208897.37</v>
      </c>
      <c r="H59" s="52" t="n">
        <v>321475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71145.38</v>
      </c>
      <c r="E60" s="19" t="n">
        <v>79148.32</v>
      </c>
      <c r="F60" s="19" t="n">
        <v>85854.74</v>
      </c>
      <c r="G60" s="52" t="n">
        <v>55847.43</v>
      </c>
      <c r="H60" s="52" t="n">
        <v>34300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6161841.3</v>
      </c>
      <c r="E61" s="19" t="n">
        <v>7607110.95</v>
      </c>
      <c r="F61" s="19" t="n">
        <v>7314415.12</v>
      </c>
      <c r="G61" s="52" t="n">
        <v>6592788.17</v>
      </c>
      <c r="H61" s="52" t="n">
        <v>6682374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106103.67</v>
      </c>
      <c r="E62" s="19" t="n">
        <v>176022.24</v>
      </c>
      <c r="F62" s="19" t="n">
        <v>212241.2</v>
      </c>
      <c r="G62" s="52" t="n">
        <v>286129.95</v>
      </c>
      <c r="H62" s="52" t="n">
        <v>250759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54199.45</v>
      </c>
      <c r="E63" s="19" t="n">
        <v>11247.05</v>
      </c>
      <c r="F63" s="19" t="n">
        <v>17706.77</v>
      </c>
      <c r="G63" s="52" t="n">
        <v>36281.19</v>
      </c>
      <c r="H63" s="52" t="n">
        <v>33238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441514.8</v>
      </c>
      <c r="E64" s="19" t="n">
        <v>516295.43</v>
      </c>
      <c r="F64" s="19" t="n">
        <v>555494.7</v>
      </c>
      <c r="G64" s="52" t="n">
        <v>510623.02</v>
      </c>
      <c r="H64" s="52" t="n">
        <v>257501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-15282267.47</v>
      </c>
      <c r="E65" s="19" t="n">
        <v>-15796060.29</v>
      </c>
      <c r="F65" s="19" t="n">
        <v>-15091287.87</v>
      </c>
      <c r="G65" s="52" t="n">
        <v>-17210953.24</v>
      </c>
      <c r="H65" s="52" t="n">
        <v>1285737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33886459.12</v>
      </c>
      <c r="E66" s="19" t="n">
        <v>40615627.98</v>
      </c>
      <c r="F66" s="19" t="n">
        <v>34758400.09</v>
      </c>
      <c r="G66" s="52" t="n">
        <v>38004212.79</v>
      </c>
      <c r="H66" s="52" t="n">
        <v>41642491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0</v>
      </c>
      <c r="E71" s="25" t="n">
        <v>0</v>
      </c>
      <c r="F71" s="25" t="n">
        <v>0</v>
      </c>
      <c r="G71" s="38" t="n">
        <v>0</v>
      </c>
      <c r="H71" s="38" t="n">
        <v>0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38478363.95</v>
      </c>
      <c r="E72" s="21" t="n">
        <f aca="false">SUM(E56:E71)</f>
        <v>51259843.27</v>
      </c>
      <c r="F72" s="21" t="n">
        <f aca="false">SUM(F56:F71)</f>
        <v>43561464.92</v>
      </c>
      <c r="G72" s="56" t="n">
        <f aca="false">SUM(G56:G71)</f>
        <v>45293182.4</v>
      </c>
      <c r="H72" s="57" t="n">
        <f aca="false">SUM(H56:H71)</f>
        <v>58557436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9337657.96000002</v>
      </c>
      <c r="E74" s="3" t="n">
        <f aca="false">+E37-E72</f>
        <v>-4982196.54999998</v>
      </c>
      <c r="F74" s="3" t="n">
        <f aca="false">+F37-F72</f>
        <v>-7775381.65</v>
      </c>
      <c r="G74" s="3" t="n">
        <f aca="false">+G37-G72</f>
        <v>-1463386.09999999</v>
      </c>
      <c r="H74" s="26" t="n">
        <f aca="false">+H37-H72</f>
        <v>1434737.90000001</v>
      </c>
      <c r="I74" s="26" t="n">
        <f aca="false">+I37-I72</f>
        <v>1434737.90000001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0" colorId="64" zoomScale="75" zoomScaleNormal="75" zoomScalePageLayoutView="100" workbookViewId="0">
      <selection pane="topLeft" activeCell="I9" activeCellId="0" sqref="I9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98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-139054.930000001</v>
      </c>
      <c r="E6" s="3" t="n">
        <f aca="false">+F6+E72-E25-E35</f>
        <v>1372277.6</v>
      </c>
      <c r="F6" s="3" t="n">
        <f aca="false">+G6+F72-F25-F35</f>
        <v>3793211.89</v>
      </c>
      <c r="G6" s="3" t="n">
        <v>1216708.73</v>
      </c>
      <c r="H6" s="18" t="n">
        <f aca="false">G6+G25+G35-G53</f>
        <v>2389260.15</v>
      </c>
      <c r="I6" s="18" t="n">
        <f aca="false">H6+H25+H35-H53</f>
        <v>2389260.15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0</v>
      </c>
      <c r="E13" s="19" t="n">
        <v>0</v>
      </c>
      <c r="F13" s="19" t="n">
        <v>0</v>
      </c>
      <c r="G13" s="19" t="n">
        <v>0</v>
      </c>
      <c r="H13" s="20" t="n">
        <v>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2296535.62</v>
      </c>
      <c r="E14" s="19" t="n">
        <v>2413816.67</v>
      </c>
      <c r="F14" s="19" t="n">
        <v>2700375.02</v>
      </c>
      <c r="G14" s="19" t="n">
        <v>2906794.04</v>
      </c>
      <c r="H14" s="20" t="n">
        <v>0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-974.6</v>
      </c>
      <c r="E15" s="19" t="n">
        <v>0</v>
      </c>
      <c r="F15" s="19" t="n">
        <v>0</v>
      </c>
      <c r="G15" s="19" t="n">
        <v>0</v>
      </c>
      <c r="H15" s="20" t="n">
        <v>0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0</v>
      </c>
      <c r="E16" s="19" t="n">
        <v>0</v>
      </c>
      <c r="F16" s="19" t="n">
        <v>0</v>
      </c>
      <c r="G16" s="19" t="n">
        <v>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0</v>
      </c>
      <c r="E18" s="19" t="n">
        <v>0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2295561.02</v>
      </c>
      <c r="E25" s="3" t="n">
        <f aca="false">SUM(E9:E24)</f>
        <v>2413816.67</v>
      </c>
      <c r="F25" s="3" t="n">
        <f aca="false">SUM(F9:F24)</f>
        <v>2700375.02</v>
      </c>
      <c r="G25" s="23" t="n">
        <f aca="false">SUM(G9:G24)</f>
        <v>2906794.04</v>
      </c>
      <c r="H25" s="18" t="n">
        <f aca="false">SUM(H9:H24)</f>
        <v>0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0</v>
      </c>
      <c r="E28" s="19" t="n">
        <v>0</v>
      </c>
      <c r="F28" s="19" t="n">
        <v>0</v>
      </c>
      <c r="G28" s="52" t="n">
        <v>0</v>
      </c>
      <c r="H28" s="20" t="n">
        <v>0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0</v>
      </c>
      <c r="E29" s="19" t="n">
        <v>0</v>
      </c>
      <c r="F29" s="19" t="n">
        <v>0</v>
      </c>
      <c r="G29" s="52" t="n">
        <v>0</v>
      </c>
      <c r="H29" s="20" t="n">
        <v>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6126750.04</v>
      </c>
      <c r="E32" s="19" t="n">
        <v>18295538.66</v>
      </c>
      <c r="F32" s="19" t="n">
        <v>17565678.18</v>
      </c>
      <c r="G32" s="52" t="n">
        <v>12307638.86</v>
      </c>
      <c r="H32" s="20" t="n">
        <v>0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0</v>
      </c>
      <c r="E33" s="19" t="n">
        <v>-11160965</v>
      </c>
      <c r="F33" s="19" t="n">
        <v>-15399842</v>
      </c>
      <c r="G33" s="52" t="n">
        <v>-6679640.31</v>
      </c>
      <c r="H33" s="20" t="n">
        <v>0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6126750.04</v>
      </c>
      <c r="E35" s="19" t="n">
        <f aca="false">SUM(E28:E34)</f>
        <v>7134573.66</v>
      </c>
      <c r="F35" s="19" t="n">
        <f aca="false">SUM(F28:F34)</f>
        <v>2165836.18</v>
      </c>
      <c r="G35" s="19" t="n">
        <f aca="false">SUM(G28:G34)</f>
        <v>5627998.55</v>
      </c>
      <c r="H35" s="20" t="n">
        <f aca="false">SUM(H28:H34)</f>
        <v>0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8283256.13</v>
      </c>
      <c r="E37" s="30" t="n">
        <f aca="false">+E35+E25+E6</f>
        <v>10920667.93</v>
      </c>
      <c r="F37" s="30" t="n">
        <f aca="false">+F35+F25+F6</f>
        <v>8659423.09</v>
      </c>
      <c r="G37" s="32" t="n">
        <f aca="false">+G35+G25+G6</f>
        <v>9751501.32</v>
      </c>
      <c r="H37" s="42" t="n">
        <f aca="false">+H35+H25+H6</f>
        <v>2389260.15</v>
      </c>
      <c r="I37" s="42" t="n">
        <f aca="false">+I35+I25+I6</f>
        <v>2389260.15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24.38</v>
      </c>
      <c r="G43" s="19" t="n">
        <v>7062.79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0</v>
      </c>
      <c r="E44" s="19" t="n">
        <v>0</v>
      </c>
      <c r="F44" s="19" t="n">
        <v>0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0</v>
      </c>
      <c r="E46" s="19" t="n">
        <v>0</v>
      </c>
      <c r="F46" s="19" t="n">
        <v>0</v>
      </c>
      <c r="G46" s="19" t="n">
        <v>0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6910978.53</v>
      </c>
      <c r="E47" s="19" t="n">
        <v>7127456.04</v>
      </c>
      <c r="F47" s="19" t="n">
        <v>7442689.98</v>
      </c>
      <c r="G47" s="19" t="n">
        <v>7355178.38</v>
      </c>
      <c r="H47" s="20" t="n">
        <v>0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6910978.53</v>
      </c>
      <c r="E53" s="19" t="n">
        <f aca="false">SUM(E41:E52)</f>
        <v>7127456.04</v>
      </c>
      <c r="F53" s="19" t="n">
        <f aca="false">SUM(F41:F52)</f>
        <v>7442714.36</v>
      </c>
      <c r="G53" s="23" t="n">
        <f aca="false">SUM(G41:G52)</f>
        <v>7362241.17</v>
      </c>
      <c r="H53" s="20" t="n">
        <f aca="false">SUM(H41:H52)</f>
        <v>0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0</v>
      </c>
      <c r="E56" s="19" t="n">
        <v>0</v>
      </c>
      <c r="F56" s="19" t="n">
        <v>0</v>
      </c>
      <c r="G56" s="52" t="n">
        <v>0</v>
      </c>
      <c r="H56" s="52" t="n">
        <v>0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0</v>
      </c>
      <c r="E57" s="19" t="n">
        <v>0</v>
      </c>
      <c r="F57" s="19" t="n">
        <v>0</v>
      </c>
      <c r="G57" s="52" t="n">
        <v>0</v>
      </c>
      <c r="H57" s="52" t="n">
        <v>0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0</v>
      </c>
      <c r="E59" s="19" t="n">
        <v>0</v>
      </c>
      <c r="F59" s="19" t="n">
        <v>0</v>
      </c>
      <c r="G59" s="52" t="n">
        <v>0</v>
      </c>
      <c r="H59" s="52" t="n">
        <v>0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277</v>
      </c>
      <c r="E60" s="19" t="n">
        <v>0</v>
      </c>
      <c r="F60" s="19" t="n">
        <v>22.67</v>
      </c>
      <c r="G60" s="52" t="n">
        <v>0</v>
      </c>
      <c r="H60" s="52" t="n">
        <v>0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-36</v>
      </c>
      <c r="E61" s="19" t="n">
        <v>136.2</v>
      </c>
      <c r="F61" s="19" t="n">
        <v>0</v>
      </c>
      <c r="G61" s="52" t="n">
        <v>7307.92</v>
      </c>
      <c r="H61" s="52" t="n">
        <v>0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0</v>
      </c>
      <c r="E62" s="19" t="n">
        <v>0</v>
      </c>
      <c r="F62" s="19" t="n">
        <v>0</v>
      </c>
      <c r="G62" s="52" t="n">
        <v>0</v>
      </c>
      <c r="H62" s="52" t="n">
        <v>0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0</v>
      </c>
      <c r="E63" s="19" t="n">
        <v>0</v>
      </c>
      <c r="F63" s="19" t="n">
        <v>0</v>
      </c>
      <c r="G63" s="52" t="n">
        <v>-55.39</v>
      </c>
      <c r="H63" s="52" t="n">
        <v>0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0</v>
      </c>
      <c r="E64" s="19" t="n">
        <v>0</v>
      </c>
      <c r="F64" s="19" t="n">
        <v>0</v>
      </c>
      <c r="G64" s="52" t="n">
        <v>0</v>
      </c>
      <c r="H64" s="52" t="n">
        <v>0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2834379.7</v>
      </c>
      <c r="E65" s="19" t="n">
        <v>2858188.05</v>
      </c>
      <c r="F65" s="19" t="n">
        <v>3179660.24</v>
      </c>
      <c r="G65" s="52" t="n">
        <v>2448786.84</v>
      </c>
      <c r="H65" s="52" t="n">
        <v>0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4034509.69</v>
      </c>
      <c r="E66" s="19" t="n">
        <v>4197985.13</v>
      </c>
      <c r="F66" s="19" t="n">
        <v>4175426.64</v>
      </c>
      <c r="G66" s="52" t="n">
        <v>4805855.46</v>
      </c>
      <c r="H66" s="52" t="n">
        <v>0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41848.14</v>
      </c>
      <c r="E71" s="25" t="n">
        <v>71146.66</v>
      </c>
      <c r="F71" s="25" t="n">
        <v>87604.81</v>
      </c>
      <c r="G71" s="38" t="n">
        <v>100346.34</v>
      </c>
      <c r="H71" s="38" t="n">
        <v>0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6910978.53</v>
      </c>
      <c r="E72" s="21" t="n">
        <f aca="false">SUM(E56:E71)</f>
        <v>7127456.04</v>
      </c>
      <c r="F72" s="21" t="n">
        <f aca="false">SUM(F56:F71)</f>
        <v>7442714.36</v>
      </c>
      <c r="G72" s="56" t="n">
        <f aca="false">SUM(G56:G71)</f>
        <v>7362241.17</v>
      </c>
      <c r="H72" s="57" t="n">
        <f aca="false">SUM(H56:H71)</f>
        <v>0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1372277.6</v>
      </c>
      <c r="E74" s="3" t="n">
        <f aca="false">+E37-E72</f>
        <v>3793211.89</v>
      </c>
      <c r="F74" s="3" t="n">
        <f aca="false">+F37-F72</f>
        <v>1216708.73</v>
      </c>
      <c r="G74" s="3" t="n">
        <f aca="false">+G37-G72</f>
        <v>2389260.15</v>
      </c>
      <c r="H74" s="26" t="n">
        <f aca="false">+H37-H72</f>
        <v>2389260.15</v>
      </c>
      <c r="I74" s="26" t="n">
        <f aca="false">+I37-I72</f>
        <v>2389260.15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9" activeCellId="0" sqref="I9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99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4356.02999999999</v>
      </c>
      <c r="E6" s="3" t="n">
        <f aca="false">+F6+E72-E25-E35</f>
        <v>49886.9</v>
      </c>
      <c r="F6" s="3" t="n">
        <f aca="false">+G6+F72-F25-F35</f>
        <v>21349.63</v>
      </c>
      <c r="G6" s="3" t="n">
        <v>21200</v>
      </c>
      <c r="H6" s="18" t="n">
        <f aca="false">G6+G25+G35-G53</f>
        <v>26509.68</v>
      </c>
      <c r="I6" s="18" t="n">
        <f aca="false">H6+H25+H35-H53</f>
        <v>26525.68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0</v>
      </c>
      <c r="E13" s="19" t="n">
        <v>0</v>
      </c>
      <c r="F13" s="19" t="n">
        <v>0</v>
      </c>
      <c r="G13" s="19" t="n">
        <v>0</v>
      </c>
      <c r="H13" s="20" t="n">
        <v>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0</v>
      </c>
      <c r="E14" s="19" t="n">
        <v>300</v>
      </c>
      <c r="F14" s="19" t="n">
        <v>0</v>
      </c>
      <c r="G14" s="19" t="n">
        <v>0</v>
      </c>
      <c r="H14" s="20" t="n">
        <v>0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0</v>
      </c>
      <c r="E15" s="19" t="n">
        <v>0</v>
      </c>
      <c r="F15" s="19" t="n">
        <v>0</v>
      </c>
      <c r="G15" s="19" t="n">
        <v>0</v>
      </c>
      <c r="H15" s="20" t="n">
        <v>0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5000</v>
      </c>
      <c r="E16" s="19" t="n">
        <v>4000</v>
      </c>
      <c r="F16" s="19" t="n">
        <v>2200</v>
      </c>
      <c r="G16" s="19" t="n">
        <v>13150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543.16</v>
      </c>
      <c r="E18" s="19" t="n">
        <v>713.73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5543.16</v>
      </c>
      <c r="E25" s="3" t="n">
        <f aca="false">SUM(E9:E24)</f>
        <v>5013.73</v>
      </c>
      <c r="F25" s="3" t="n">
        <f aca="false">SUM(F9:F24)</f>
        <v>2200</v>
      </c>
      <c r="G25" s="23" t="n">
        <f aca="false">SUM(G9:G24)</f>
        <v>13150</v>
      </c>
      <c r="H25" s="18" t="n">
        <f aca="false">COUNT(H9:H24)</f>
        <v>16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0</v>
      </c>
      <c r="E28" s="19" t="n">
        <v>0</v>
      </c>
      <c r="F28" s="19" t="n">
        <v>0</v>
      </c>
      <c r="G28" s="52" t="n">
        <v>0</v>
      </c>
      <c r="H28" s="20" t="n">
        <v>0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0</v>
      </c>
      <c r="E29" s="19" t="n">
        <v>0</v>
      </c>
      <c r="F29" s="19" t="n">
        <v>0</v>
      </c>
      <c r="G29" s="52" t="n">
        <v>0</v>
      </c>
      <c r="H29" s="20" t="n">
        <v>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40067.71</v>
      </c>
      <c r="E32" s="19" t="n">
        <v>0</v>
      </c>
      <c r="F32" s="19" t="n">
        <v>10000</v>
      </c>
      <c r="G32" s="52" t="n">
        <v>0</v>
      </c>
      <c r="H32" s="20" t="n">
        <v>0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0</v>
      </c>
      <c r="E33" s="19" t="n">
        <v>-33463</v>
      </c>
      <c r="F33" s="19" t="n">
        <v>0</v>
      </c>
      <c r="G33" s="52" t="n">
        <v>0</v>
      </c>
      <c r="H33" s="20" t="n">
        <v>0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40067.71</v>
      </c>
      <c r="E35" s="19" t="n">
        <f aca="false">SUM(E28:E34)</f>
        <v>-33463</v>
      </c>
      <c r="F35" s="19" t="n">
        <f aca="false">SUM(F28:F34)</f>
        <v>10000</v>
      </c>
      <c r="G35" s="19" t="n">
        <f aca="false">SUM(G28:G34)</f>
        <v>0</v>
      </c>
      <c r="H35" s="20" t="n">
        <f aca="false">SUM(H28:H34)</f>
        <v>0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49966.9</v>
      </c>
      <c r="E37" s="30" t="n">
        <f aca="false">+E35+E25+E6</f>
        <v>21437.63</v>
      </c>
      <c r="F37" s="30" t="n">
        <f aca="false">+F35+F25+F6</f>
        <v>33549.63</v>
      </c>
      <c r="G37" s="32" t="n">
        <f aca="false">+G35+G25+G6</f>
        <v>34350</v>
      </c>
      <c r="H37" s="42" t="n">
        <f aca="false">+H35+H25+H6</f>
        <v>26525.68</v>
      </c>
      <c r="I37" s="42" t="n">
        <f aca="false">+I35+I25+I6</f>
        <v>26525.68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0</v>
      </c>
      <c r="G43" s="19" t="n">
        <v>0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80</v>
      </c>
      <c r="E44" s="19" t="n">
        <v>88</v>
      </c>
      <c r="F44" s="19" t="n">
        <v>3653.7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0</v>
      </c>
      <c r="E46" s="19" t="n">
        <v>0</v>
      </c>
      <c r="F46" s="19" t="n">
        <v>0</v>
      </c>
      <c r="G46" s="19" t="n">
        <v>0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0</v>
      </c>
      <c r="E47" s="19" t="n">
        <v>0</v>
      </c>
      <c r="F47" s="19" t="n">
        <v>8695.93</v>
      </c>
      <c r="G47" s="19" t="n">
        <v>7840.32</v>
      </c>
      <c r="H47" s="20" t="n">
        <v>0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80</v>
      </c>
      <c r="E53" s="19" t="n">
        <f aca="false">SUM(E41:E52)</f>
        <v>88</v>
      </c>
      <c r="F53" s="19" t="n">
        <f aca="false">SUM(F41:F52)</f>
        <v>12349.63</v>
      </c>
      <c r="G53" s="23" t="n">
        <f aca="false">SUM(G41:G52)</f>
        <v>7840.32</v>
      </c>
      <c r="H53" s="20" t="n">
        <f aca="false">SUM(H41:H52)</f>
        <v>0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0</v>
      </c>
      <c r="E56" s="19" t="n">
        <v>0</v>
      </c>
      <c r="F56" s="19" t="n">
        <v>0</v>
      </c>
      <c r="G56" s="52" t="n">
        <v>0</v>
      </c>
      <c r="H56" s="52" t="n">
        <v>0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0</v>
      </c>
      <c r="E57" s="19" t="n">
        <v>0</v>
      </c>
      <c r="F57" s="19" t="n">
        <v>0</v>
      </c>
      <c r="G57" s="52" t="n">
        <v>0</v>
      </c>
      <c r="H57" s="52" t="n">
        <v>0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0</v>
      </c>
      <c r="E59" s="19" t="n">
        <v>0</v>
      </c>
      <c r="F59" s="19" t="n">
        <v>0</v>
      </c>
      <c r="G59" s="52" t="n">
        <v>0</v>
      </c>
      <c r="H59" s="52" t="n">
        <v>0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0</v>
      </c>
      <c r="E60" s="19" t="n">
        <v>1915</v>
      </c>
      <c r="F60" s="19" t="n">
        <v>0</v>
      </c>
      <c r="G60" s="52" t="n">
        <v>0</v>
      </c>
      <c r="H60" s="52" t="n">
        <v>0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0</v>
      </c>
      <c r="E61" s="19" t="n">
        <v>0</v>
      </c>
      <c r="F61" s="19" t="n">
        <v>0</v>
      </c>
      <c r="G61" s="52" t="n">
        <v>4629.77</v>
      </c>
      <c r="H61" s="52" t="n">
        <v>0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0</v>
      </c>
      <c r="E62" s="19" t="n">
        <v>0</v>
      </c>
      <c r="F62" s="19" t="n">
        <v>0</v>
      </c>
      <c r="G62" s="52" t="n">
        <v>0</v>
      </c>
      <c r="H62" s="52" t="n">
        <v>0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0</v>
      </c>
      <c r="E63" s="19" t="n">
        <v>0</v>
      </c>
      <c r="F63" s="19" t="n">
        <v>0</v>
      </c>
      <c r="G63" s="52" t="n">
        <v>0</v>
      </c>
      <c r="H63" s="52" t="n">
        <v>0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0</v>
      </c>
      <c r="E64" s="19" t="n">
        <v>0</v>
      </c>
      <c r="F64" s="19" t="n">
        <v>0</v>
      </c>
      <c r="G64" s="52" t="n">
        <v>0</v>
      </c>
      <c r="H64" s="52" t="n">
        <v>0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80</v>
      </c>
      <c r="E65" s="19" t="n">
        <v>-1827</v>
      </c>
      <c r="F65" s="19" t="n">
        <v>12349.63</v>
      </c>
      <c r="G65" s="52" t="n">
        <v>3210.55</v>
      </c>
      <c r="H65" s="52" t="n">
        <v>0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0</v>
      </c>
      <c r="E66" s="19" t="n">
        <v>0</v>
      </c>
      <c r="F66" s="19" t="n">
        <v>0</v>
      </c>
      <c r="G66" s="52" t="n">
        <v>0</v>
      </c>
      <c r="H66" s="52" t="n">
        <v>0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0</v>
      </c>
      <c r="E71" s="25" t="n">
        <v>0</v>
      </c>
      <c r="F71" s="25" t="n">
        <v>0</v>
      </c>
      <c r="G71" s="38" t="n">
        <v>0</v>
      </c>
      <c r="H71" s="38" t="n">
        <v>0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80</v>
      </c>
      <c r="E72" s="21" t="n">
        <f aca="false">SUM(E56:E71)</f>
        <v>88</v>
      </c>
      <c r="F72" s="21" t="n">
        <f aca="false">SUM(F56:F71)</f>
        <v>12349.63</v>
      </c>
      <c r="G72" s="56" t="n">
        <f aca="false">SUM(G56:G71)</f>
        <v>7840.32</v>
      </c>
      <c r="H72" s="57" t="n">
        <f aca="false">SUM(H56:H71)</f>
        <v>0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49886.9</v>
      </c>
      <c r="E74" s="3" t="n">
        <f aca="false">+E37-E72</f>
        <v>21349.63</v>
      </c>
      <c r="F74" s="3" t="n">
        <f aca="false">+F37-F72</f>
        <v>21200</v>
      </c>
      <c r="G74" s="3" t="n">
        <f aca="false">+G37-G72</f>
        <v>26509.68</v>
      </c>
      <c r="H74" s="26" t="n">
        <f aca="false">+H37-H72</f>
        <v>26525.68</v>
      </c>
      <c r="I74" s="26" t="n">
        <f aca="false">+I37-I72</f>
        <v>26525.68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1998-02-04T18:11:17Z</dcterms:created>
  <dc:creator>Jim Steffes</dc:creator>
  <dc:description/>
  <dc:language>en-US</dc:language>
  <cp:lastModifiedBy>berthelm</cp:lastModifiedBy>
  <cp:lastPrinted>2003-11-21T14:38:32Z</cp:lastPrinted>
  <dcterms:modified xsi:type="dcterms:W3CDTF">2003-11-25T05:36:26Z</dcterms:modified>
  <cp:revision>0</cp:revision>
  <dc:subject/>
  <dc:title/>
</cp:coreProperties>
</file>