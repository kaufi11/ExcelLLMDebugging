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Aid'!$A$1:$D$62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<sst xmlns="http://schemas.openxmlformats.org/spreadsheetml/2006/main" count="167" uniqueCount="103">
  <si>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</si>
  <si>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</si>
  <si>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</si>
  <si>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2000 - 2001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</si>
  <si>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</si>
  <si>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</si>
  <si>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</si>
  <si>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</si>
  <si>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</si>
  <si>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</si>
  <si>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</si>
  <si>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</si>
  <si>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</si>
  <si>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</si>
  <si>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</si>
  <si>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</t>
  </si>
  <si>
    <t xml:space="preserve">*</t>
  </si>
  <si>
    <t xml:space="preserve"># Other Income includes: Other State Aid (13.24%), Sales &amp; Services (16.39%), and Other Income (70.37%)</t>
  </si>
  <si>
    <t xml:space="preserve">* Figures rounded to the nearest whole dollar and may differ from the Revenues by Source due to rounding.</t>
  </si>
  <si>
    <t xml:space="preserve">Source:  Iowa Department of Education, Annual Report Fiscal Year 2001, Unrestricted 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</si>
  <si>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</si>
  <si>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</si>
  <si>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</si>
  <si>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</si>
  <si>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</si>
  <si>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</si>
  <si>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</si>
  <si>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</si>
  <si>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</si>
  <si>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</si>
  <si>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</si>
  <si>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</si>
  <si>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</si>
  <si>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</si>
  <si>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</si>
  <si>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</si>
  <si>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</si>
  <si>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</si>
  <si>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</si>
  <si>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</si>
  <si>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</si>
  <si>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</si>
  <si>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</si>
  <si>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</si>
  <si>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</si>
  <si>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</si>
  <si>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</si>
  <si>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</si>
  <si>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</si>
  <si>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</si>
  <si>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</si>
  <si>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</si>
  <si>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</si>
  <si>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</si>
  <si>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</si>
  <si>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</si>
  <si>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</si>
  <si>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</si>
  <si>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2001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</si>
  <si>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</si>
  <si>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</si>
  <si>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</si>
  <si>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</si>
  <si>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</si>
  <si>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</si>
  <si>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</si>
  <si>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</si>
  <si>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</si>
  <si>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</si>
  <si>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</si>
  <si>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</si>
  <si>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</si>
  <si>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</si>
  <si>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</si>
  <si>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 *</t>
  </si>
  <si>
    <t xml:space="preserve">* May not total due to rounding.</t>
  </si>
  <si>
    <t xml:space="preserve">Source:  Iowa Department of Education, Annual Report Fiscal Year 2001, Unrestricted General Fund, Fund 1;</t>
  </si>
  <si>
    <t xml:space="preserve">Iowa Department of Education, Bureau of Community Colleges, Management Information System (MIS), </t>
  </si>
  <si>
    <t xml:space="preserve">Fiscal Year 2000-2001 Files; Schedule of Credit/Contact Hour enrollment obtained from each college's Independent Auditor.</t>
  </si>
  <si>
    <t xml:space="preserve">Figure 24</t>
  </si>
  <si>
    <t xml:space="preserve">Source:  Iowa Department of Education, Annual Report Fiscal Year 2001, Unrestricted General Fund, Fund 1.</t>
  </si>
  <si>
    <t xml:space="preserve">Table 26</t>
  </si>
  <si>
    <t xml:space="preserve">FTEE Calculation by College</t>
  </si>
  <si>
    <t xml:space="preserve">Total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</si>
  <si>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</si>
  <si>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</si>
  <si>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</si>
  <si>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</si>
  <si>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</si>
  <si>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</si>
  <si>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</si>
  <si>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</si>
  <si>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</si>
  <si>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College - Area </t>
  </si>
  <si>
    <t xml:space="preserve">Hours</t>
  </si>
  <si>
    <t xml:space="preserve">Total FTEE</t>
  </si>
  <si>
    <t xml:space="preserve">2000-2001</t>
  </si>
  <si>
    <t xml:space="preserve">* Percentages may not equal 100% due to rounding.</t>
  </si>
  <si>
    <t xml:space="preserve">Source:  Iowa Department of Education, Bureau of Community Colleges, Management Information System (MIS), Fiscal Year 2000-2001 Files; Schedule of Credit/Contact Hour </t>
  </si>
  <si>
    <t xml:space="preserve">enrollment obtained from each college's Independent Auditor.</t>
  </si>
  <si>
    <t xml:space="preserve">Figure 25</t>
  </si>
  <si>
    <t xml:space="preserve">Source:  Iowa Department of Education, Bureau of Community Colleges, Management Information System (MIS), Fiscal Year 2000-2001 Files; </t>
  </si>
  <si>
    <t xml:space="preserve">Schedule of Credit/Contact Hour enrollment obtained from each college's Independent Auditor.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</si>
</sst>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%"/>
    <numFmt numFmtId="167" formatCode="0.00%"/>
    <numFmt numFmtId="168" formatCode="_(* #,##0.00_);_(* \(#,##0.00\);_(* \-??_);_(@_)"/>
    <numFmt numFmtId="169" formatCode="\$#,##0"/>
    <numFmt numFmtId="170" formatCode="_(\$* #,##0.00_);_(\$* \(#,##0.00\);_(\$* \-??_);_(@_)"/>
    <numFmt numFmtId="171" formatCode="_(\$* #,##0_);_(\$* \(#,##0\);_(\$* \-??_);_(@_)"/>
    <numFmt numFmtId="172" formatCode="0.0000%"/>
    <numFmt numFmtId="173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Source'!$A$10:$A$14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Source'!$B$10:$B$14</c:f>
              <c:numCache>
                <c:formatCode>General</c:formatCode>
                <c:ptCount val="5"/>
                <c:pt idx="0">
                  <c:v>0.390025654298575</c:v>
                </c:pt>
                <c:pt idx="1">
                  <c:v>0.0585050673142823</c:v>
                </c:pt>
                <c:pt idx="2">
                  <c:v>0.455037602498808</c:v>
                </c:pt>
                <c:pt idx="3">
                  <c:v>0.0339774059216943</c:v>
                </c:pt>
                <c:pt idx="4">
                  <c:v>0.0624542699666401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Function'!$A$10:$A$18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Function'!$B$10:$B$18</c:f>
              <c:numCache>
                <c:formatCode>General</c:formatCode>
                <c:ptCount val="9"/>
                <c:pt idx="0">
                  <c:v>0.212814376303587</c:v>
                </c:pt>
                <c:pt idx="1">
                  <c:v>0.252591101690149</c:v>
                </c:pt>
                <c:pt idx="2">
                  <c:v>0.112867558827071</c:v>
                </c:pt>
                <c:pt idx="3">
                  <c:v>0.0216310349617461</c:v>
                </c:pt>
                <c:pt idx="4">
                  <c:v>0.0552657170242413</c:v>
                </c:pt>
                <c:pt idx="5">
                  <c:v>0.0819869234322415</c:v>
                </c:pt>
                <c:pt idx="6">
                  <c:v>0.0334853120679021</c:v>
                </c:pt>
                <c:pt idx="7">
                  <c:v>0.110221906364844</c:v>
                </c:pt>
                <c:pt idx="8">
                  <c:v>0.119136069328218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Category'!$A$10:$A$14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Category'!$B$10:$B$14</c:f>
              <c:numCache>
                <c:formatCode>General</c:formatCode>
                <c:ptCount val="5"/>
                <c:pt idx="0">
                  <c:v>0.7479</c:v>
                </c:pt>
                <c:pt idx="1">
                  <c:v>0.1364</c:v>
                </c:pt>
                <c:pt idx="2">
                  <c:v>0.0576</c:v>
                </c:pt>
                <c:pt idx="3">
                  <c:v>0.0354</c:v>
                </c:pt>
                <c:pt idx="4">
                  <c:v>0.0227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Aid'!$A$10:$A$24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Aid'!$C$10:$C$24</c:f>
              <c:numCache>
                <c:formatCode>General</c:formatCode>
                <c:ptCount val="15"/>
                <c:pt idx="0">
                  <c:v>0.0479905992111814</c:v>
                </c:pt>
                <c:pt idx="1">
                  <c:v>0.0563714215786817</c:v>
                </c:pt>
                <c:pt idx="2">
                  <c:v>0.0523677666288788</c:v>
                </c:pt>
                <c:pt idx="3">
                  <c:v>0.0255962560880679</c:v>
                </c:pt>
                <c:pt idx="4">
                  <c:v>0.0535505222300192</c:v>
                </c:pt>
                <c:pt idx="5">
                  <c:v>0.0496135373787544</c:v>
                </c:pt>
                <c:pt idx="6">
                  <c:v>0.0715857427034409</c:v>
                </c:pt>
                <c:pt idx="7">
                  <c:v>0.0880452883426875</c:v>
                </c:pt>
                <c:pt idx="8">
                  <c:v>0.138176018722866</c:v>
                </c:pt>
                <c:pt idx="9">
                  <c:v>0.14665445766111</c:v>
                </c:pt>
                <c:pt idx="10">
                  <c:v>0.0577775718142973</c:v>
                </c:pt>
                <c:pt idx="11">
                  <c:v>0.0594127815082909</c:v>
                </c:pt>
                <c:pt idx="12">
                  <c:v>0.0259014586399789</c:v>
                </c:pt>
                <c:pt idx="13">
                  <c:v>0.0815027826448471</c:v>
                </c:pt>
                <c:pt idx="14">
                  <c:v>0.0454537948468981</c:v>
                </c:pt>
              </c:numCache>
            </c:numRef>
          </c:val>
        </c:ser>
        <c:gapWidth val="150"/>
        <c:overlap val="0"/>
        <c:axId val="18832400"/>
        <c:axId val="99046231"/>
      </c:barChart>
      <c:catAx>
        <c:axId val="1883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9046231"/>
        <c:crossesAt val="0"/>
        <c:auto val="1"/>
        <c:lblAlgn val="ctr"/>
        <c:lblOffset val="100"/>
        <c:noMultiLvlLbl val="0"/>
      </c:catAx>
      <c:valAx>
        <c:axId val="9904623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8832400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037430138953"/>
          <c:y val="0.0541204099060632"/>
          <c:w val="0.758191047531149"/>
          <c:h val="0.9184457728437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Calculation'!$C$9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Calculation'!$C$12:$C$26</c:f>
              <c:numCache>
                <c:formatCode>General</c:formatCode>
                <c:ptCount val="15"/>
                <c:pt idx="0">
                  <c:v>3432.64583333333</c:v>
                </c:pt>
                <c:pt idx="1">
                  <c:v>2806.625</c:v>
                </c:pt>
                <c:pt idx="2">
                  <c:v>2555.29166666667</c:v>
                </c:pt>
                <c:pt idx="3">
                  <c:v>929.625</c:v>
                </c:pt>
                <c:pt idx="4">
                  <c:v>3228.875</c:v>
                </c:pt>
                <c:pt idx="5">
                  <c:v>2208.31041666667</c:v>
                </c:pt>
                <c:pt idx="6">
                  <c:v>4104.66666666667</c:v>
                </c:pt>
                <c:pt idx="7">
                  <c:v>5799.32291666667</c:v>
                </c:pt>
                <c:pt idx="8">
                  <c:v>10701.8541666667</c:v>
                </c:pt>
                <c:pt idx="9">
                  <c:v>9606</c:v>
                </c:pt>
                <c:pt idx="10">
                  <c:v>3353.625</c:v>
                </c:pt>
                <c:pt idx="11">
                  <c:v>3675.30208333333</c:v>
                </c:pt>
                <c:pt idx="12">
                  <c:v>1211.5625</c:v>
                </c:pt>
                <c:pt idx="13">
                  <c:v>3863.3125</c:v>
                </c:pt>
                <c:pt idx="14">
                  <c:v>2606.49583333333</c:v>
                </c:pt>
              </c:numCache>
            </c:numRef>
          </c:val>
        </c:ser>
        <c:ser>
          <c:idx val="1"/>
          <c:order val="1"/>
          <c:tx>
            <c:strRef>
              <c:f>'FTEE Calculation'!$F$9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Calculation'!$F$12:$F$26</c:f>
              <c:numCache>
                <c:formatCode>General</c:formatCode>
                <c:ptCount val="15"/>
                <c:pt idx="0">
                  <c:v>821.987983333333</c:v>
                </c:pt>
                <c:pt idx="1">
                  <c:v>985.107533333333</c:v>
                </c:pt>
                <c:pt idx="2">
                  <c:v>-230.27</c:v>
                </c:pt>
                <c:pt idx="3">
                  <c:v>698.428166666667</c:v>
                </c:pt>
                <c:pt idx="4">
                  <c:v>1540.8295</c:v>
                </c:pt>
                <c:pt idx="5">
                  <c:v>877.893733333333</c:v>
                </c:pt>
                <c:pt idx="6">
                  <c:v>1409.27883333333</c:v>
                </c:pt>
                <c:pt idx="7">
                  <c:v>1352.07616666667</c:v>
                </c:pt>
                <c:pt idx="8">
                  <c:v>2210.74655</c:v>
                </c:pt>
                <c:pt idx="9">
                  <c:v>2743.95583333333</c:v>
                </c:pt>
                <c:pt idx="10">
                  <c:v>1644.1266</c:v>
                </c:pt>
                <c:pt idx="11">
                  <c:v>1092.11863333333</c:v>
                </c:pt>
                <c:pt idx="12">
                  <c:v>389.840566666667</c:v>
                </c:pt>
                <c:pt idx="13">
                  <c:v>753.895166666667</c:v>
                </c:pt>
                <c:pt idx="14">
                  <c:v>480.098666666667</c:v>
                </c:pt>
              </c:numCache>
            </c:numRef>
          </c:val>
        </c:ser>
        <c:gapWidth val="150"/>
        <c:overlap val="100"/>
        <c:axId val="11893749"/>
        <c:axId val="78441355"/>
      </c:barChart>
      <c:catAx>
        <c:axId val="11893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441355"/>
        <c:crossesAt val="0"/>
        <c:auto val="1"/>
        <c:lblAlgn val="ctr"/>
        <c:lblOffset val="100"/>
        <c:noMultiLvlLbl val="0"/>
      </c:catAx>
      <c:valAx>
        <c:axId val="7844135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893749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405988822232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4816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33</xdr:row>
      <xdr:rowOff>9720</xdr:rowOff>
    </xdr:from>
    <xdr:to>
      <xdr:col>3</xdr:col>
      <xdr:colOff>231480</xdr:colOff>
      <xdr:row>48</xdr:row>
      <xdr:rowOff>162000</xdr:rowOff>
    </xdr:to>
    <xdr:graphicFrame>
      <xdr:nvGraphicFramePr>
        <xdr:cNvPr id="1" name="Chart 1"/>
        <xdr:cNvGraphicFramePr/>
      </xdr:nvGraphicFramePr>
      <xdr:xfrm>
        <a:off x="20520" y="5210280"/>
        <a:ext cx="52635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181080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308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40</xdr:row>
      <xdr:rowOff>0</xdr:rowOff>
    </xdr:from>
    <xdr:to>
      <xdr:col>4</xdr:col>
      <xdr:colOff>720</xdr:colOff>
      <xdr:row>59</xdr:row>
      <xdr:rowOff>133560</xdr:rowOff>
    </xdr:to>
    <xdr:graphicFrame>
      <xdr:nvGraphicFramePr>
        <xdr:cNvPr id="3" name="Chart 1"/>
        <xdr:cNvGraphicFramePr/>
      </xdr:nvGraphicFramePr>
      <xdr:xfrm>
        <a:off x="10440" y="6086520"/>
        <a:ext cx="564624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19080</xdr:rowOff>
    </xdr:from>
    <xdr:to>
      <xdr:col>11</xdr:col>
      <xdr:colOff>720</xdr:colOff>
      <xdr:row>26</xdr:row>
      <xdr:rowOff>152640</xdr:rowOff>
    </xdr:to>
    <xdr:graphicFrame>
      <xdr:nvGraphicFramePr>
        <xdr:cNvPr id="4" name="Chart 1"/>
        <xdr:cNvGraphicFramePr/>
      </xdr:nvGraphicFramePr>
      <xdr:xfrm>
        <a:off x="0" y="942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G4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3.56"/>
  </cols>
  <sheetData>
    <row r="2" customFormat="false" ht="12.75" hidden="false" customHeight="true" outlineLevel="0" collapsed="false">
      <c r="A2" s="1" t="s">
        <v>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4</v>
      </c>
      <c r="C7" s="6" t="s">
        <v>5</v>
      </c>
      <c r="D7" s="6"/>
    </row>
    <row r="8" customFormat="false" ht="13.5" hidden="false" customHeight="false" outlineLevel="0" collapsed="false">
      <c r="A8" s="7" t="s">
        <v>6</v>
      </c>
      <c r="B8" s="7" t="s">
        <v>7</v>
      </c>
      <c r="C8" s="7" t="s">
        <v>8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9</v>
      </c>
      <c r="B10" s="12" t="n">
        <f aca="false">+C10/$C$16</f>
        <v>0.390025654298575</v>
      </c>
      <c r="C10" s="13" t="n">
        <f aca="false">9595817+116896967</f>
        <v>126492784</v>
      </c>
      <c r="D10" s="14"/>
    </row>
    <row r="11" customFormat="false" ht="12.75" hidden="false" customHeight="false" outlineLevel="0" collapsed="false">
      <c r="A11" s="15" t="s">
        <v>10</v>
      </c>
      <c r="B11" s="16" t="n">
        <f aca="false">+C11/$C$16</f>
        <v>0.0585050673142823</v>
      </c>
      <c r="C11" s="17" t="n">
        <v>18974313</v>
      </c>
      <c r="D11" s="14"/>
    </row>
    <row r="12" customFormat="false" ht="12.75" hidden="false" customHeight="false" outlineLevel="0" collapsed="false">
      <c r="A12" s="11" t="s">
        <v>11</v>
      </c>
      <c r="B12" s="12" t="n">
        <f aca="false">+C12/$C$16</f>
        <v>0.455037602498808</v>
      </c>
      <c r="C12" s="13" t="n">
        <f aca="false">147577404-1</f>
        <v>147577403</v>
      </c>
      <c r="D12" s="14"/>
    </row>
    <row r="13" customFormat="false" ht="12.75" hidden="false" customHeight="false" outlineLevel="0" collapsed="false">
      <c r="A13" s="15" t="s">
        <v>12</v>
      </c>
      <c r="B13" s="16" t="n">
        <f aca="false">+C13/$C$16</f>
        <v>0.0339774059216943</v>
      </c>
      <c r="C13" s="17" t="n">
        <v>11019523</v>
      </c>
      <c r="D13" s="14"/>
      <c r="G13" s="18"/>
    </row>
    <row r="14" customFormat="false" ht="12.75" hidden="false" customHeight="false" outlineLevel="0" collapsed="false">
      <c r="A14" s="11" t="s">
        <v>13</v>
      </c>
      <c r="B14" s="19" t="n">
        <f aca="false">+C14/$C$16</f>
        <v>0.0624542699666401</v>
      </c>
      <c r="C14" s="20" t="n">
        <f aca="false">579467+2102504+3320377+14252767</f>
        <v>20255115</v>
      </c>
      <c r="D14" s="14" t="s">
        <v>14</v>
      </c>
      <c r="G14" s="18"/>
    </row>
    <row r="15" customFormat="false" ht="12.75" hidden="false" customHeight="false" outlineLevel="0" collapsed="false">
      <c r="A15" s="11"/>
      <c r="B15" s="12"/>
      <c r="C15" s="13"/>
      <c r="D15" s="14"/>
      <c r="G15" s="18"/>
    </row>
    <row r="16" s="25" customFormat="true" ht="13.5" hidden="false" customHeight="false" outlineLevel="0" collapsed="false">
      <c r="A16" s="21" t="s">
        <v>15</v>
      </c>
      <c r="B16" s="22" t="n">
        <f aca="false">SUM(B10:B15)</f>
        <v>1</v>
      </c>
      <c r="C16" s="23" t="n">
        <f aca="false">SUM(C10:C15)</f>
        <v>324319138</v>
      </c>
      <c r="D16" s="24" t="s">
        <v>16</v>
      </c>
    </row>
    <row r="17" customFormat="false" ht="7.5" hidden="false" customHeight="true" outlineLevel="0" collapsed="false">
      <c r="A17" s="26"/>
      <c r="B17" s="27"/>
      <c r="C17" s="26"/>
      <c r="D17" s="26"/>
    </row>
    <row r="18" s="29" customFormat="true" ht="11.25" hidden="false" customHeight="false" outlineLevel="0" collapsed="false">
      <c r="A18" s="28" t="s">
        <v>17</v>
      </c>
      <c r="B18" s="28"/>
      <c r="C18" s="28"/>
      <c r="D18" s="28"/>
    </row>
    <row r="19" s="29" customFormat="true" ht="11.25" hidden="false" customHeight="false" outlineLevel="0" collapsed="false">
      <c r="A19" s="28" t="s">
        <v>18</v>
      </c>
      <c r="B19" s="28"/>
      <c r="C19" s="28"/>
      <c r="D19" s="28"/>
    </row>
    <row r="20" customFormat="false" ht="7.5" hidden="false" customHeight="true" outlineLevel="0" collapsed="false">
      <c r="A20" s="30"/>
      <c r="B20" s="30"/>
      <c r="C20" s="30"/>
      <c r="D20" s="30"/>
    </row>
    <row r="21" customFormat="false" ht="13.5" hidden="false" customHeight="false" outlineLevel="0" collapsed="false">
      <c r="A21" s="31" t="s">
        <v>19</v>
      </c>
      <c r="B21" s="31"/>
      <c r="C21" s="31"/>
      <c r="D21" s="31"/>
    </row>
    <row r="22" customFormat="false" ht="12.75" hidden="false" customHeight="false" outlineLevel="0" collapsed="false">
      <c r="D22" s="26"/>
    </row>
    <row r="23" customFormat="false" ht="12.75" hidden="false" customHeight="false" outlineLevel="0" collapsed="false">
      <c r="D23" s="26"/>
    </row>
    <row r="24" customFormat="false" ht="12.75" hidden="false" customHeight="false" outlineLevel="0" collapsed="false">
      <c r="D24" s="26"/>
    </row>
    <row r="25" customFormat="false" ht="13.5" hidden="false" customHeight="false" outlineLevel="0" collapsed="false">
      <c r="A25" s="1" t="s">
        <v>20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3.5" hidden="false" customHeight="false" outlineLevel="0" collapsed="false">
      <c r="A45" s="31" t="s">
        <v>19</v>
      </c>
      <c r="B45" s="31"/>
      <c r="C45" s="31"/>
      <c r="D45" s="31"/>
    </row>
  </sheetData>
  <mergeCells count="12">
    <mergeCell ref="A3:D3"/>
    <mergeCell ref="A4:D4"/>
    <mergeCell ref="A5:D5"/>
    <mergeCell ref="C7:D7"/>
    <mergeCell ref="C8:D8"/>
    <mergeCell ref="A18:D18"/>
    <mergeCell ref="A19:D19"/>
    <mergeCell ref="A21:D21"/>
    <mergeCell ref="A26:D26"/>
    <mergeCell ref="A27:D27"/>
    <mergeCell ref="A28:D28"/>
    <mergeCell ref="A45:D4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5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4.7"/>
  </cols>
  <sheetData>
    <row r="2" customFormat="false" ht="12.75" hidden="false" customHeight="true" outlineLevel="0" collapsed="false">
      <c r="A2" s="1" t="s">
        <v>21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32" t="s">
        <v>25</v>
      </c>
      <c r="B8" s="32" t="s">
        <v>7</v>
      </c>
      <c r="C8" s="32" t="s">
        <v>26</v>
      </c>
      <c r="D8" s="32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27</v>
      </c>
      <c r="B10" s="12" t="n">
        <f aca="false">+C10/$C$20</f>
        <v>0.212814376303587</v>
      </c>
      <c r="C10" s="33" t="n">
        <v>68296648</v>
      </c>
      <c r="D10" s="14"/>
    </row>
    <row r="11" customFormat="false" ht="12.75" hidden="false" customHeight="false" outlineLevel="0" collapsed="false">
      <c r="A11" s="15" t="s">
        <v>28</v>
      </c>
      <c r="B11" s="16" t="n">
        <f aca="false">+C11/$C$20</f>
        <v>0.252591101690149</v>
      </c>
      <c r="C11" s="34" t="n">
        <v>81061843</v>
      </c>
      <c r="D11" s="14"/>
    </row>
    <row r="12" customFormat="false" ht="12.75" hidden="false" customHeight="false" outlineLevel="0" collapsed="false">
      <c r="A12" s="11" t="s">
        <v>29</v>
      </c>
      <c r="B12" s="12" t="n">
        <f aca="false">+C12/$C$20</f>
        <v>0.112867558827071</v>
      </c>
      <c r="C12" s="33" t="n">
        <v>36221594</v>
      </c>
      <c r="D12" s="14"/>
    </row>
    <row r="13" customFormat="false" ht="12.75" hidden="false" customHeight="false" outlineLevel="0" collapsed="false">
      <c r="A13" s="15" t="s">
        <v>30</v>
      </c>
      <c r="B13" s="16" t="n">
        <f aca="false">+C13/$C$20</f>
        <v>0.0216310349617461</v>
      </c>
      <c r="C13" s="34" t="n">
        <v>6941858</v>
      </c>
      <c r="D13" s="14"/>
    </row>
    <row r="14" customFormat="false" ht="12.75" hidden="false" customHeight="false" outlineLevel="0" collapsed="false">
      <c r="A14" s="11" t="s">
        <v>31</v>
      </c>
      <c r="B14" s="12" t="n">
        <f aca="false">+C14/$C$20</f>
        <v>0.0552657170242413</v>
      </c>
      <c r="C14" s="33" t="n">
        <v>17735941</v>
      </c>
      <c r="D14" s="14"/>
    </row>
    <row r="15" customFormat="false" ht="12.75" hidden="false" customHeight="false" outlineLevel="0" collapsed="false">
      <c r="A15" s="15" t="s">
        <v>32</v>
      </c>
      <c r="B15" s="16" t="n">
        <f aca="false">+C15/$C$20</f>
        <v>0.0819869234322415</v>
      </c>
      <c r="C15" s="34" t="n">
        <v>26311343</v>
      </c>
      <c r="D15" s="14"/>
    </row>
    <row r="16" customFormat="false" ht="12.75" hidden="false" customHeight="false" outlineLevel="0" collapsed="false">
      <c r="A16" s="11" t="s">
        <v>33</v>
      </c>
      <c r="B16" s="12" t="n">
        <f aca="false">+C16/$C$20</f>
        <v>0.0334853120679021</v>
      </c>
      <c r="C16" s="33" t="n">
        <v>10746147</v>
      </c>
      <c r="D16" s="14"/>
    </row>
    <row r="17" customFormat="false" ht="12.75" hidden="false" customHeight="false" outlineLevel="0" collapsed="false">
      <c r="A17" s="15" t="s">
        <v>34</v>
      </c>
      <c r="B17" s="16" t="n">
        <f aca="false">+C17/$C$20</f>
        <v>0.110221906364844</v>
      </c>
      <c r="C17" s="34" t="n">
        <v>35372548</v>
      </c>
      <c r="D17" s="14"/>
    </row>
    <row r="18" customFormat="false" ht="12.75" hidden="false" customHeight="false" outlineLevel="0" collapsed="false">
      <c r="A18" s="11" t="s">
        <v>35</v>
      </c>
      <c r="B18" s="19" t="n">
        <f aca="false">+C18/$C$20</f>
        <v>0.119136069328218</v>
      </c>
      <c r="C18" s="35" t="n">
        <v>38233292</v>
      </c>
      <c r="D18" s="14"/>
    </row>
    <row r="19" customFormat="false" ht="12.75" hidden="false" customHeight="false" outlineLevel="0" collapsed="false">
      <c r="A19" s="11"/>
      <c r="B19" s="12"/>
      <c r="C19" s="33"/>
      <c r="D19" s="14"/>
    </row>
    <row r="20" s="25" customFormat="true" ht="13.5" hidden="false" customHeight="false" outlineLevel="0" collapsed="false">
      <c r="A20" s="36" t="s">
        <v>36</v>
      </c>
      <c r="B20" s="22" t="n">
        <f aca="false">SUM(B10:B19)</f>
        <v>1</v>
      </c>
      <c r="C20" s="37" t="n">
        <f aca="false">SUM(C10:C19)</f>
        <v>320921214</v>
      </c>
      <c r="D20" s="24" t="s">
        <v>16</v>
      </c>
    </row>
    <row r="21" customFormat="false" ht="12.75" hidden="false" customHeight="false" outlineLevel="0" collapsed="false">
      <c r="A21" s="28" t="s">
        <v>37</v>
      </c>
      <c r="B21" s="28"/>
      <c r="C21" s="28"/>
      <c r="D21" s="28"/>
    </row>
    <row r="22" s="26" customFormat="true" ht="7.5" hidden="false" customHeight="true" outlineLevel="0" collapsed="false">
      <c r="A22" s="38"/>
      <c r="B22" s="38"/>
      <c r="C22" s="38"/>
      <c r="D22" s="38"/>
    </row>
    <row r="23" s="26" customFormat="true" ht="13.5" hidden="false" customHeight="false" outlineLevel="0" collapsed="false">
      <c r="A23" s="31" t="s">
        <v>19</v>
      </c>
      <c r="B23" s="31"/>
      <c r="C23" s="31"/>
      <c r="D23" s="31"/>
    </row>
    <row r="24" s="26" customFormat="true" ht="12.75" hidden="false" customHeight="false" outlineLevel="0" collapsed="false">
      <c r="A24" s="0"/>
      <c r="B24" s="0"/>
      <c r="C24" s="0"/>
      <c r="D24" s="0"/>
    </row>
    <row r="25" s="26" customFormat="true" ht="12.75" hidden="false" customHeight="false" outlineLevel="0" collapsed="false">
      <c r="A25" s="0"/>
      <c r="B25" s="0"/>
      <c r="C25" s="0"/>
      <c r="D25" s="0"/>
    </row>
    <row r="29" customFormat="false" ht="13.5" hidden="false" customHeight="false" outlineLevel="0" collapsed="false">
      <c r="A29" s="1" t="s">
        <v>38</v>
      </c>
    </row>
    <row r="30" customFormat="false" ht="12.75" hidden="false" customHeight="false" outlineLevel="0" collapsed="false">
      <c r="A30" s="3" t="s">
        <v>1</v>
      </c>
      <c r="B30" s="3"/>
      <c r="C30" s="3"/>
      <c r="D30" s="3"/>
    </row>
    <row r="31" customFormat="false" ht="12.75" hidden="false" customHeight="false" outlineLevel="0" collapsed="false">
      <c r="A31" s="4" t="s">
        <v>22</v>
      </c>
      <c r="B31" s="4"/>
      <c r="C31" s="4"/>
      <c r="D31" s="4"/>
    </row>
    <row r="32" customFormat="false" ht="12.75" hidden="false" customHeight="false" outlineLevel="0" collapsed="false">
      <c r="A32" s="5" t="s">
        <v>3</v>
      </c>
      <c r="B32" s="5"/>
      <c r="C32" s="5"/>
      <c r="D32" s="5"/>
    </row>
    <row r="33" customFormat="false" ht="8.25" hidden="false" customHeight="true" outlineLevel="0" collapsed="false"/>
    <row r="50" customFormat="false" ht="12.75" hidden="false" customHeight="false" outlineLevel="0" collapsed="false">
      <c r="A50" s="38"/>
      <c r="B50" s="38"/>
      <c r="C50" s="38"/>
      <c r="D50" s="38"/>
    </row>
    <row r="51" s="26" customFormat="true" ht="13.5" hidden="false" customHeight="false" outlineLevel="0" collapsed="false">
      <c r="A51" s="31" t="s">
        <v>19</v>
      </c>
      <c r="B51" s="31"/>
      <c r="C51" s="31"/>
      <c r="D51" s="31"/>
    </row>
  </sheetData>
  <mergeCells count="11">
    <mergeCell ref="A3:D3"/>
    <mergeCell ref="A4:D4"/>
    <mergeCell ref="A5:D5"/>
    <mergeCell ref="C7:D7"/>
    <mergeCell ref="C8:D8"/>
    <mergeCell ref="A21:D21"/>
    <mergeCell ref="A23:D23"/>
    <mergeCell ref="A30:D30"/>
    <mergeCell ref="A31:D31"/>
    <mergeCell ref="A32:D32"/>
    <mergeCell ref="A51:D5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3.7"/>
  </cols>
  <sheetData>
    <row r="2" customFormat="false" ht="12.75" hidden="false" customHeight="true" outlineLevel="0" collapsed="false">
      <c r="A2" s="1" t="s">
        <v>39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40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7" t="s">
        <v>41</v>
      </c>
      <c r="B8" s="7" t="s">
        <v>7</v>
      </c>
      <c r="C8" s="7" t="s">
        <v>42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43</v>
      </c>
      <c r="B10" s="12" t="n">
        <f aca="false">ROUND((C10/$C$16),4)</f>
        <v>0.7479</v>
      </c>
      <c r="C10" s="33" t="n">
        <v>240013505</v>
      </c>
      <c r="D10" s="14"/>
    </row>
    <row r="11" customFormat="false" ht="12.75" hidden="false" customHeight="false" outlineLevel="0" collapsed="false">
      <c r="A11" s="15" t="s">
        <v>44</v>
      </c>
      <c r="B11" s="16" t="n">
        <f aca="false">ROUND((+C11/$C$16),4)</f>
        <v>0.1364</v>
      </c>
      <c r="C11" s="34" t="n">
        <v>43768807</v>
      </c>
      <c r="D11" s="39"/>
    </row>
    <row r="12" customFormat="false" ht="12.75" hidden="false" customHeight="false" outlineLevel="0" collapsed="false">
      <c r="A12" s="11" t="s">
        <v>45</v>
      </c>
      <c r="B12" s="12" t="n">
        <f aca="false">ROUND((C12/$C$16),4)-0.0001</f>
        <v>0.0576</v>
      </c>
      <c r="C12" s="33" t="n">
        <v>18503493</v>
      </c>
      <c r="D12" s="39"/>
    </row>
    <row r="13" customFormat="false" ht="12.75" hidden="false" customHeight="false" outlineLevel="0" collapsed="false">
      <c r="A13" s="15" t="s">
        <v>46</v>
      </c>
      <c r="B13" s="16" t="n">
        <f aca="false">ROUND((+C13/$C$16),4)</f>
        <v>0.0354</v>
      </c>
      <c r="C13" s="34" t="n">
        <v>11355949</v>
      </c>
      <c r="D13" s="39"/>
    </row>
    <row r="14" customFormat="false" ht="12.75" hidden="false" customHeight="false" outlineLevel="0" collapsed="false">
      <c r="A14" s="11" t="s">
        <v>47</v>
      </c>
      <c r="B14" s="19" t="n">
        <f aca="false">ROUND((+C14/$C$16),4)</f>
        <v>0.0227</v>
      </c>
      <c r="C14" s="35" t="n">
        <v>7279460</v>
      </c>
      <c r="D14" s="14"/>
    </row>
    <row r="15" customFormat="false" ht="7.5" hidden="false" customHeight="true" outlineLevel="0" collapsed="false">
      <c r="A15" s="11"/>
      <c r="B15" s="12"/>
      <c r="C15" s="40"/>
      <c r="D15" s="14"/>
    </row>
    <row r="16" s="25" customFormat="true" ht="13.5" hidden="false" customHeight="false" outlineLevel="0" collapsed="false">
      <c r="A16" s="36" t="s">
        <v>36</v>
      </c>
      <c r="B16" s="22" t="n">
        <f aca="false">SUM(B10:B15)</f>
        <v>1</v>
      </c>
      <c r="C16" s="37" t="n">
        <f aca="false">SUM(C10:C15)</f>
        <v>320921214</v>
      </c>
      <c r="D16" s="24" t="s">
        <v>16</v>
      </c>
    </row>
    <row r="17" customFormat="false" ht="7.5" hidden="false" customHeight="true" outlineLevel="0" collapsed="false">
      <c r="A17" s="26"/>
      <c r="B17" s="26"/>
      <c r="C17" s="26"/>
      <c r="D17" s="26"/>
    </row>
    <row r="18" customFormat="false" ht="12.75" hidden="false" customHeight="false" outlineLevel="0" collapsed="false">
      <c r="A18" s="28" t="s">
        <v>48</v>
      </c>
      <c r="B18" s="28"/>
      <c r="C18" s="28"/>
      <c r="D18" s="28"/>
    </row>
    <row r="19" customFormat="false" ht="7.5" hidden="false" customHeight="true" outlineLevel="0" collapsed="false">
      <c r="A19" s="28"/>
      <c r="B19" s="28"/>
      <c r="C19" s="28"/>
      <c r="D19" s="28"/>
    </row>
    <row r="20" s="26" customFormat="true" ht="13.5" hidden="false" customHeight="false" outlineLevel="0" collapsed="false">
      <c r="A20" s="31" t="s">
        <v>19</v>
      </c>
      <c r="B20" s="31"/>
      <c r="C20" s="31"/>
      <c r="D20" s="31"/>
    </row>
    <row r="21" s="26" customFormat="true" ht="12.75" hidden="false" customHeight="false" outlineLevel="0" collapsed="false">
      <c r="A21" s="0"/>
      <c r="B21" s="0"/>
      <c r="C21" s="0"/>
      <c r="D21" s="0"/>
    </row>
    <row r="22" s="26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1" t="s">
        <v>49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40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6" customFormat="true" ht="13.5" hidden="false" customHeight="false" outlineLevel="0" collapsed="false">
      <c r="A43" s="31" t="s">
        <v>19</v>
      </c>
      <c r="B43" s="31"/>
      <c r="C43" s="31"/>
      <c r="D43" s="31"/>
    </row>
  </sheetData>
  <mergeCells count="9">
    <mergeCell ref="A3:D3"/>
    <mergeCell ref="A4:D4"/>
    <mergeCell ref="A5:D5"/>
    <mergeCell ref="C7:D7"/>
    <mergeCell ref="C8:D8"/>
    <mergeCell ref="A18:D18"/>
    <mergeCell ref="A24:D24"/>
    <mergeCell ref="A25:D25"/>
    <mergeCell ref="A26:D2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IV6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8.83"/>
    <col collapsed="false" customWidth="true" hidden="false" outlineLevel="0" max="3" min="3" style="0" width="21.97"/>
    <col collapsed="false" customWidth="true" hidden="false" outlineLevel="0" max="4" min="4" style="0" width="20.68"/>
  </cols>
  <sheetData>
    <row r="2" customFormat="false" ht="12.75" hidden="false" customHeight="true" outlineLevel="0" collapsed="false">
      <c r="A2" s="1" t="s">
        <v>50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51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7.5" hidden="false" customHeight="true" outlineLevel="0" collapsed="false">
      <c r="B6" s="41"/>
    </row>
    <row r="7" customFormat="false" ht="12.75" hidden="false" customHeight="false" outlineLevel="0" collapsed="false">
      <c r="A7" s="42"/>
      <c r="B7" s="42" t="s">
        <v>52</v>
      </c>
      <c r="C7" s="42" t="s">
        <v>53</v>
      </c>
      <c r="D7" s="42" t="s">
        <v>54</v>
      </c>
    </row>
    <row r="8" customFormat="false" ht="13.5" hidden="false" customHeight="false" outlineLevel="0" collapsed="false">
      <c r="A8" s="43" t="s">
        <v>55</v>
      </c>
      <c r="B8" s="43" t="s">
        <v>56</v>
      </c>
      <c r="C8" s="43" t="s">
        <v>57</v>
      </c>
      <c r="D8" s="43" t="s">
        <v>58</v>
      </c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44" t="s">
        <v>59</v>
      </c>
      <c r="B10" s="45" t="n">
        <v>7082328</v>
      </c>
      <c r="C10" s="12" t="n">
        <f aca="false">+B10/$B$26</f>
        <v>0.0479905992111814</v>
      </c>
      <c r="D10" s="46" t="n">
        <v>0.055031</v>
      </c>
    </row>
    <row r="11" customFormat="false" ht="12.75" hidden="false" customHeight="false" outlineLevel="0" collapsed="false">
      <c r="A11" s="47" t="s">
        <v>60</v>
      </c>
      <c r="B11" s="48" t="n">
        <v>8319148</v>
      </c>
      <c r="C11" s="16" t="n">
        <f aca="false">+B11/$B$26</f>
        <v>0.0563714215786817</v>
      </c>
      <c r="D11" s="49" t="n">
        <v>0.049043</v>
      </c>
    </row>
    <row r="12" customFormat="false" ht="12.75" hidden="false" customHeight="false" outlineLevel="0" collapsed="false">
      <c r="A12" s="44" t="s">
        <v>61</v>
      </c>
      <c r="B12" s="45" t="n">
        <v>7728299</v>
      </c>
      <c r="C12" s="12" t="n">
        <f aca="false">+B12/$B$26</f>
        <v>0.0523677666288788</v>
      </c>
      <c r="D12" s="46" t="n">
        <v>0.036029</v>
      </c>
    </row>
    <row r="13" customFormat="false" ht="12.75" hidden="false" customHeight="false" outlineLevel="0" collapsed="false">
      <c r="A13" s="47" t="s">
        <v>62</v>
      </c>
      <c r="B13" s="48" t="n">
        <v>3777429</v>
      </c>
      <c r="C13" s="16" t="n">
        <f aca="false">+B13/$B$26</f>
        <v>0.0255962560880679</v>
      </c>
      <c r="D13" s="49" t="n">
        <v>0.021058</v>
      </c>
    </row>
    <row r="14" customFormat="false" ht="12.75" hidden="false" customHeight="false" outlineLevel="0" collapsed="false">
      <c r="A14" s="44" t="s">
        <v>63</v>
      </c>
      <c r="B14" s="45" t="n">
        <v>7902847</v>
      </c>
      <c r="C14" s="12" t="n">
        <f aca="false">+B14/$B$26</f>
        <v>0.0535505222300192</v>
      </c>
      <c r="D14" s="46" t="n">
        <v>0.061693</v>
      </c>
    </row>
    <row r="15" customFormat="false" ht="12.75" hidden="false" customHeight="false" outlineLevel="0" collapsed="false">
      <c r="A15" s="47" t="s">
        <v>64</v>
      </c>
      <c r="B15" s="48" t="n">
        <v>7321837</v>
      </c>
      <c r="C15" s="16" t="n">
        <f aca="false">+B15/$B$26</f>
        <v>0.0496135373787544</v>
      </c>
      <c r="D15" s="49" t="n">
        <v>0.039918</v>
      </c>
    </row>
    <row r="16" customFormat="false" ht="12.75" hidden="false" customHeight="false" outlineLevel="0" collapsed="false">
      <c r="A16" s="44" t="s">
        <v>65</v>
      </c>
      <c r="B16" s="45" t="n">
        <v>10564438</v>
      </c>
      <c r="C16" s="12" t="n">
        <f aca="false">+B16/$B$26</f>
        <v>0.0715857427034409</v>
      </c>
      <c r="D16" s="46" t="n">
        <v>0.071319</v>
      </c>
    </row>
    <row r="17" customFormat="false" ht="12.75" hidden="false" customHeight="false" outlineLevel="0" collapsed="false">
      <c r="A17" s="47" t="s">
        <v>66</v>
      </c>
      <c r="B17" s="48" t="n">
        <v>12993495</v>
      </c>
      <c r="C17" s="16" t="n">
        <f aca="false">+B17/$B$26</f>
        <v>0.0880452883426875</v>
      </c>
      <c r="D17" s="49" t="n">
        <v>0.092498</v>
      </c>
    </row>
    <row r="18" customFormat="false" ht="12.75" hidden="false" customHeight="false" outlineLevel="0" collapsed="false">
      <c r="A18" s="44" t="s">
        <v>67</v>
      </c>
      <c r="B18" s="45" t="n">
        <v>20391658</v>
      </c>
      <c r="C18" s="12" t="n">
        <f aca="false">+B18/$B$26</f>
        <v>0.138176018722866</v>
      </c>
      <c r="D18" s="46" t="n">
        <v>0.167014</v>
      </c>
    </row>
    <row r="19" customFormat="false" ht="12.75" hidden="false" customHeight="false" outlineLevel="0" collapsed="false">
      <c r="A19" s="47" t="s">
        <v>68</v>
      </c>
      <c r="B19" s="48" t="n">
        <v>21642884</v>
      </c>
      <c r="C19" s="16" t="n">
        <f aca="false">+B19/$B$26</f>
        <v>0.14665445766111</v>
      </c>
      <c r="D19" s="49" t="n">
        <v>0.159736</v>
      </c>
    </row>
    <row r="20" customFormat="false" ht="12.75" hidden="false" customHeight="false" outlineLevel="0" collapsed="false">
      <c r="A20" s="44" t="s">
        <v>69</v>
      </c>
      <c r="B20" s="45" t="n">
        <v>8526664</v>
      </c>
      <c r="C20" s="12" t="n">
        <f aca="false">+B20/$B$26</f>
        <v>0.0577775718142973</v>
      </c>
      <c r="D20" s="46" t="n">
        <v>0.064642</v>
      </c>
    </row>
    <row r="21" customFormat="false" ht="12.75" hidden="false" customHeight="false" outlineLevel="0" collapsed="false">
      <c r="A21" s="47" t="s">
        <v>70</v>
      </c>
      <c r="B21" s="48" t="n">
        <v>8767984</v>
      </c>
      <c r="C21" s="16" t="n">
        <f aca="false">+B21/$B$26</f>
        <v>0.0594127815082909</v>
      </c>
      <c r="D21" s="49" t="n">
        <v>0.061663</v>
      </c>
    </row>
    <row r="22" customFormat="false" ht="12.75" hidden="false" customHeight="false" outlineLevel="0" collapsed="false">
      <c r="A22" s="44" t="s">
        <v>71</v>
      </c>
      <c r="B22" s="45" t="n">
        <v>3822470</v>
      </c>
      <c r="C22" s="12" t="n">
        <f aca="false">+B22/$B$26</f>
        <v>0.0259014586399789</v>
      </c>
      <c r="D22" s="46" t="n">
        <v>0.020713</v>
      </c>
    </row>
    <row r="23" customFormat="false" ht="12.75" hidden="false" customHeight="false" outlineLevel="0" collapsed="false">
      <c r="A23" s="47" t="s">
        <v>72</v>
      </c>
      <c r="B23" s="48" t="n">
        <f aca="false">12027969</f>
        <v>12027969</v>
      </c>
      <c r="C23" s="16" t="n">
        <f aca="false">+B23/$B$26</f>
        <v>0.0815027826448471</v>
      </c>
      <c r="D23" s="49" t="n">
        <v>0.05972</v>
      </c>
    </row>
    <row r="24" customFormat="false" ht="12.75" hidden="false" customHeight="false" outlineLevel="0" collapsed="false">
      <c r="A24" s="44" t="s">
        <v>73</v>
      </c>
      <c r="B24" s="50" t="n">
        <v>6707953</v>
      </c>
      <c r="C24" s="19" t="n">
        <f aca="false">+B24/$B$26</f>
        <v>0.0454537948468981</v>
      </c>
      <c r="D24" s="51" t="n">
        <v>0.039923</v>
      </c>
    </row>
    <row r="25" customFormat="false" ht="7.5" hidden="false" customHeight="true" outlineLevel="0" collapsed="false">
      <c r="A25" s="11"/>
      <c r="B25" s="26"/>
      <c r="C25" s="12"/>
      <c r="D25" s="46"/>
    </row>
    <row r="26" s="25" customFormat="true" ht="13.5" hidden="false" customHeight="false" outlineLevel="0" collapsed="false">
      <c r="A26" s="21" t="s">
        <v>74</v>
      </c>
      <c r="B26" s="52" t="n">
        <f aca="false">SUM(B10:B24)</f>
        <v>147577403</v>
      </c>
      <c r="C26" s="22" t="n">
        <f aca="false">SUM(C10:C24)</f>
        <v>1</v>
      </c>
      <c r="D26" s="53" t="n">
        <f aca="false">SUM(D10:D24)</f>
        <v>1</v>
      </c>
    </row>
    <row r="27" customFormat="false" ht="7.5" hidden="false" customHeight="true" outlineLevel="0" collapsed="false">
      <c r="B27" s="45"/>
      <c r="C27" s="18"/>
      <c r="D27" s="54"/>
    </row>
    <row r="28" s="56" customFormat="true" ht="12.75" hidden="false" customHeight="false" outlineLevel="0" collapsed="false">
      <c r="A28" s="55" t="s">
        <v>75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="38" customFormat="true" ht="7.5" hidden="false" customHeight="true" outlineLevel="0" collapsed="false">
      <c r="A29" s="30"/>
      <c r="B29" s="30"/>
      <c r="C29" s="30"/>
      <c r="D29" s="30"/>
      <c r="E29" s="26"/>
      <c r="F29" s="26"/>
      <c r="G29" s="26"/>
      <c r="H29" s="26"/>
      <c r="I29" s="26"/>
      <c r="J29" s="26"/>
      <c r="K29" s="26"/>
      <c r="L29" s="26"/>
    </row>
    <row r="30" customFormat="false" ht="12.75" hidden="false" customHeight="false" outlineLevel="0" collapsed="false">
      <c r="A30" s="57" t="s">
        <v>76</v>
      </c>
      <c r="B30" s="57"/>
      <c r="C30" s="57"/>
      <c r="D30" s="57"/>
      <c r="E30" s="26"/>
      <c r="F30" s="26"/>
      <c r="G30" s="26"/>
      <c r="H30" s="26"/>
      <c r="I30" s="26"/>
      <c r="J30" s="26"/>
      <c r="K30" s="26"/>
      <c r="L30" s="26"/>
    </row>
    <row r="31" s="58" customFormat="true" ht="11.25" hidden="false" customHeight="false" outlineLevel="0" collapsed="false">
      <c r="A31" s="55" t="s">
        <v>77</v>
      </c>
      <c r="B31" s="55"/>
      <c r="C31" s="55"/>
      <c r="D31" s="55"/>
      <c r="E31" s="55"/>
      <c r="F31" s="55"/>
      <c r="G31" s="55"/>
      <c r="H31" s="55"/>
      <c r="I31" s="55"/>
      <c r="J31" s="55"/>
    </row>
    <row r="32" s="58" customFormat="true" ht="12" hidden="false" customHeight="false" outlineLevel="0" collapsed="false">
      <c r="A32" s="59" t="s">
        <v>78</v>
      </c>
      <c r="B32" s="59"/>
      <c r="C32" s="59"/>
      <c r="D32" s="59"/>
      <c r="E32" s="55"/>
      <c r="F32" s="55"/>
      <c r="G32" s="55"/>
      <c r="H32" s="55"/>
      <c r="I32" s="55"/>
      <c r="J32" s="55"/>
    </row>
    <row r="36" customFormat="false" ht="13.5" hidden="false" customHeight="false" outlineLevel="0" collapsed="false">
      <c r="A36" s="1" t="s">
        <v>79</v>
      </c>
    </row>
    <row r="37" customFormat="false" ht="12.75" hidden="false" customHeight="false" outlineLevel="0" collapsed="false">
      <c r="A37" s="3" t="s">
        <v>1</v>
      </c>
      <c r="B37" s="3"/>
      <c r="C37" s="3"/>
      <c r="D37" s="3"/>
    </row>
    <row r="38" customFormat="false" ht="12.75" hidden="false" customHeight="false" outlineLevel="0" collapsed="false">
      <c r="A38" s="4" t="s">
        <v>51</v>
      </c>
      <c r="B38" s="4"/>
      <c r="C38" s="4"/>
      <c r="D38" s="4"/>
    </row>
    <row r="39" customFormat="false" ht="12.75" hidden="false" customHeight="false" outlineLevel="0" collapsed="false">
      <c r="A39" s="5" t="s">
        <v>3</v>
      </c>
      <c r="B39" s="5"/>
      <c r="C39" s="5"/>
      <c r="D39" s="5"/>
    </row>
    <row r="40" customFormat="false" ht="8.25" hidden="false" customHeight="true" outlineLevel="0" collapsed="false"/>
    <row r="61" customFormat="false" ht="8.25" hidden="false" customHeight="true" outlineLevel="0" collapsed="false"/>
    <row r="62" customFormat="false" ht="13.5" hidden="false" customHeight="false" outlineLevel="0" collapsed="false">
      <c r="A62" s="31" t="s">
        <v>80</v>
      </c>
      <c r="B62" s="31"/>
      <c r="C62" s="31"/>
      <c r="D62" s="31"/>
      <c r="E62" s="26"/>
      <c r="F62" s="26"/>
      <c r="G62" s="26"/>
      <c r="H62" s="26"/>
      <c r="I62" s="26"/>
      <c r="J62" s="26"/>
      <c r="K62" s="26"/>
      <c r="L62" s="26"/>
    </row>
    <row r="63" customFormat="false" ht="12.75" hidden="false" customHeight="false" outlineLevel="0" collapsed="false">
      <c r="A63" s="56"/>
      <c r="B63" s="56"/>
      <c r="C63" s="56"/>
      <c r="D63" s="56"/>
    </row>
  </sheetData>
  <mergeCells count="9">
    <mergeCell ref="A3:D3"/>
    <mergeCell ref="A4:D4"/>
    <mergeCell ref="A5:D5"/>
    <mergeCell ref="A30:D30"/>
    <mergeCell ref="A31:J31"/>
    <mergeCell ref="A37:D37"/>
    <mergeCell ref="A38:D38"/>
    <mergeCell ref="A39:D39"/>
    <mergeCell ref="A62:D62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2.83"/>
    <col collapsed="false" customWidth="true" hidden="false" outlineLevel="0" max="3" min="3" style="0" width="10.27"/>
    <col collapsed="false" customWidth="true" hidden="false" outlineLevel="0" max="4" min="4" style="0" width="12.27"/>
    <col collapsed="false" customWidth="true" hidden="false" outlineLevel="0" max="5" min="5" style="0" width="13.9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2" customFormat="false" ht="12.75" hidden="false" customHeight="true" outlineLevel="0" collapsed="false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7.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</row>
    <row r="7" customFormat="false" ht="12.75" hidden="false" customHeight="false" outlineLevel="0" collapsed="false">
      <c r="A7" s="61"/>
      <c r="B7" s="61"/>
      <c r="C7" s="61"/>
      <c r="D7" s="61"/>
      <c r="E7" s="42" t="s">
        <v>83</v>
      </c>
      <c r="F7" s="42"/>
      <c r="G7" s="42"/>
      <c r="H7" s="62" t="s">
        <v>84</v>
      </c>
      <c r="I7" s="42" t="s">
        <v>85</v>
      </c>
      <c r="J7" s="42"/>
      <c r="K7" s="25"/>
    </row>
    <row r="8" customFormat="false" ht="12.75" hidden="false" customHeight="false" outlineLevel="0" collapsed="false">
      <c r="A8" s="63"/>
      <c r="B8" s="63" t="s">
        <v>83</v>
      </c>
      <c r="C8" s="63"/>
      <c r="D8" s="63" t="s">
        <v>86</v>
      </c>
      <c r="E8" s="63" t="s">
        <v>87</v>
      </c>
      <c r="F8" s="63"/>
      <c r="G8" s="63" t="s">
        <v>87</v>
      </c>
      <c r="H8" s="64" t="s">
        <v>88</v>
      </c>
      <c r="I8" s="63" t="s">
        <v>88</v>
      </c>
      <c r="J8" s="63"/>
      <c r="K8" s="25"/>
    </row>
    <row r="9" customFormat="false" ht="12.75" hidden="false" customHeight="false" outlineLevel="0" collapsed="false">
      <c r="A9" s="63"/>
      <c r="B9" s="63" t="s">
        <v>86</v>
      </c>
      <c r="C9" s="63" t="s">
        <v>86</v>
      </c>
      <c r="D9" s="63" t="s">
        <v>89</v>
      </c>
      <c r="E9" s="63" t="s">
        <v>90</v>
      </c>
      <c r="F9" s="63" t="s">
        <v>91</v>
      </c>
      <c r="G9" s="63" t="s">
        <v>89</v>
      </c>
      <c r="H9" s="64" t="s">
        <v>92</v>
      </c>
      <c r="I9" s="63" t="s">
        <v>92</v>
      </c>
      <c r="J9" s="63"/>
      <c r="K9" s="25"/>
    </row>
    <row r="10" customFormat="false" ht="13.5" hidden="false" customHeight="false" outlineLevel="0" collapsed="false">
      <c r="A10" s="63" t="s">
        <v>93</v>
      </c>
      <c r="B10" s="63" t="s">
        <v>94</v>
      </c>
      <c r="C10" s="63" t="s">
        <v>88</v>
      </c>
      <c r="D10" s="63" t="s">
        <v>95</v>
      </c>
      <c r="E10" s="63" t="s">
        <v>94</v>
      </c>
      <c r="F10" s="63" t="s">
        <v>88</v>
      </c>
      <c r="G10" s="63" t="s">
        <v>95</v>
      </c>
      <c r="H10" s="64" t="s">
        <v>96</v>
      </c>
      <c r="I10" s="43" t="s">
        <v>96</v>
      </c>
      <c r="J10" s="43"/>
      <c r="K10" s="25"/>
    </row>
    <row r="11" customFormat="false" ht="7.5" hidden="false" customHeight="true" outlineLevel="0" collapsed="false">
      <c r="A11" s="65"/>
      <c r="B11" s="66"/>
      <c r="C11" s="66"/>
      <c r="D11" s="67"/>
      <c r="E11" s="66"/>
      <c r="F11" s="66"/>
      <c r="G11" s="66"/>
      <c r="H11" s="66"/>
      <c r="I11" s="68"/>
      <c r="J11" s="69"/>
      <c r="K11" s="25"/>
    </row>
    <row r="12" customFormat="false" ht="12.75" hidden="false" customHeight="false" outlineLevel="0" collapsed="false">
      <c r="A12" s="44" t="s">
        <v>59</v>
      </c>
      <c r="B12" s="70" t="n">
        <v>82383.5</v>
      </c>
      <c r="C12" s="71" t="n">
        <f aca="false">+B12/24</f>
        <v>3432.64583333333</v>
      </c>
      <c r="D12" s="12" t="n">
        <v>0.036029</v>
      </c>
      <c r="E12" s="70" t="n">
        <v>493192.79</v>
      </c>
      <c r="F12" s="71" t="n">
        <f aca="false">+E12/600</f>
        <v>821.987983333333</v>
      </c>
      <c r="G12" s="12" t="n">
        <f aca="false">+F12/H12</f>
        <v>0.193197837175786</v>
      </c>
      <c r="H12" s="72" t="n">
        <f aca="false">+C12+F12+0.01</f>
        <v>4254.64381666667</v>
      </c>
      <c r="I12" s="46" t="n">
        <f aca="false">+H12/$H$28</f>
        <v>0.055360321748909</v>
      </c>
      <c r="J12" s="46"/>
    </row>
    <row r="13" customFormat="false" ht="12.75" hidden="false" customHeight="false" outlineLevel="0" collapsed="false">
      <c r="A13" s="47" t="s">
        <v>60</v>
      </c>
      <c r="B13" s="73" t="n">
        <v>67359</v>
      </c>
      <c r="C13" s="74" t="n">
        <f aca="false">+B13/24</f>
        <v>2806.625</v>
      </c>
      <c r="D13" s="16" t="n">
        <v>0.021058</v>
      </c>
      <c r="E13" s="73" t="n">
        <v>591064.52</v>
      </c>
      <c r="F13" s="74" t="n">
        <f aca="false">+E13/600</f>
        <v>985.107533333333</v>
      </c>
      <c r="G13" s="16" t="n">
        <f aca="false">+F13/H13</f>
        <v>0.259803381868157</v>
      </c>
      <c r="H13" s="75" t="n">
        <f aca="false">+C13+F13+0.01</f>
        <v>3791.74253333333</v>
      </c>
      <c r="I13" s="49" t="n">
        <f aca="false">+H13/$H$28</f>
        <v>0.0493371703201266</v>
      </c>
      <c r="J13" s="49"/>
    </row>
    <row r="14" customFormat="false" ht="12.75" hidden="false" customHeight="false" outlineLevel="0" collapsed="false">
      <c r="A14" s="44" t="s">
        <v>61</v>
      </c>
      <c r="B14" s="70" t="n">
        <v>61327</v>
      </c>
      <c r="C14" s="71" t="n">
        <f aca="false">+B14/24</f>
        <v>2555.29166666667</v>
      </c>
      <c r="D14" s="12" t="n">
        <v>0.061693</v>
      </c>
      <c r="E14" s="70" t="n">
        <v>138162</v>
      </c>
      <c r="F14" s="71" t="n">
        <f aca="false">-E14/600</f>
        <v>-230.27</v>
      </c>
      <c r="G14" s="12" t="n">
        <f aca="false">+F14/H14</f>
        <v>-0.0990399372622334</v>
      </c>
      <c r="H14" s="72" t="n">
        <f aca="false">+C14+F14</f>
        <v>2325.02166666667</v>
      </c>
      <c r="I14" s="46" t="n">
        <f aca="false">+H14/$H$28</f>
        <v>0.0302525788494073</v>
      </c>
      <c r="J14" s="46"/>
    </row>
    <row r="15" customFormat="false" ht="12.75" hidden="false" customHeight="false" outlineLevel="0" collapsed="false">
      <c r="A15" s="47" t="s">
        <v>62</v>
      </c>
      <c r="B15" s="73" t="n">
        <v>22311</v>
      </c>
      <c r="C15" s="74" t="n">
        <f aca="false">+B15/24</f>
        <v>929.625</v>
      </c>
      <c r="D15" s="16" t="n">
        <v>0.039918</v>
      </c>
      <c r="E15" s="73" t="n">
        <v>419056.9</v>
      </c>
      <c r="F15" s="74" t="n">
        <f aca="false">+E15/600</f>
        <v>698.428166666667</v>
      </c>
      <c r="G15" s="16" t="n">
        <f aca="false">+F15/H15</f>
        <v>0.428993285375189</v>
      </c>
      <c r="H15" s="75" t="n">
        <f aca="false">+C15+F15+0.01</f>
        <v>1628.06316666667</v>
      </c>
      <c r="I15" s="49" t="n">
        <f aca="false">+H15/$H$28</f>
        <v>0.0211839356284417</v>
      </c>
      <c r="J15" s="49"/>
    </row>
    <row r="16" customFormat="false" ht="12.75" hidden="false" customHeight="false" outlineLevel="0" collapsed="false">
      <c r="A16" s="44" t="s">
        <v>63</v>
      </c>
      <c r="B16" s="70" t="n">
        <v>77493</v>
      </c>
      <c r="C16" s="71" t="n">
        <f aca="false">+B16/24</f>
        <v>3228.875</v>
      </c>
      <c r="D16" s="12" t="n">
        <v>0.071319</v>
      </c>
      <c r="E16" s="70" t="n">
        <v>924497.7</v>
      </c>
      <c r="F16" s="71" t="n">
        <f aca="false">+E16/600</f>
        <v>1540.8295</v>
      </c>
      <c r="G16" s="12" t="n">
        <f aca="false">+F16/H16</f>
        <v>0.323044387667228</v>
      </c>
      <c r="H16" s="72" t="n">
        <f aca="false">+C16+F16+0.01</f>
        <v>4769.7145</v>
      </c>
      <c r="I16" s="46" t="n">
        <f aca="false">+H16/$H$28</f>
        <v>0.0620622878784977</v>
      </c>
      <c r="J16" s="46"/>
    </row>
    <row r="17" customFormat="false" ht="12.75" hidden="false" customHeight="false" outlineLevel="0" collapsed="false">
      <c r="A17" s="47" t="s">
        <v>64</v>
      </c>
      <c r="B17" s="73" t="n">
        <v>52999.45</v>
      </c>
      <c r="C17" s="74" t="n">
        <f aca="false">+B17/24</f>
        <v>2208.31041666667</v>
      </c>
      <c r="D17" s="16" t="n">
        <v>0.092498</v>
      </c>
      <c r="E17" s="73" t="n">
        <v>526736.24</v>
      </c>
      <c r="F17" s="74" t="n">
        <f aca="false">+E17/600</f>
        <v>877.893733333333</v>
      </c>
      <c r="G17" s="16" t="n">
        <f aca="false">+F17/H17</f>
        <v>0.284457440488288</v>
      </c>
      <c r="H17" s="75" t="n">
        <f aca="false">+C17+F17</f>
        <v>3086.20415</v>
      </c>
      <c r="I17" s="49" t="n">
        <f aca="false">+H17/$H$28</f>
        <v>0.0401568878827264</v>
      </c>
      <c r="J17" s="49"/>
    </row>
    <row r="18" customFormat="false" ht="12.75" hidden="false" customHeight="false" outlineLevel="0" collapsed="false">
      <c r="A18" s="44" t="s">
        <v>65</v>
      </c>
      <c r="B18" s="70" t="n">
        <v>98512</v>
      </c>
      <c r="C18" s="71" t="n">
        <f aca="false">+B18/24</f>
        <v>4104.66666666667</v>
      </c>
      <c r="D18" s="12" t="n">
        <v>0.167014</v>
      </c>
      <c r="E18" s="70" t="n">
        <v>845567.3</v>
      </c>
      <c r="F18" s="71" t="n">
        <f aca="false">+E18/600</f>
        <v>1409.27883333333</v>
      </c>
      <c r="G18" s="12" t="n">
        <f aca="false">+F18/H18</f>
        <v>0.255584469112604</v>
      </c>
      <c r="H18" s="72" t="n">
        <f aca="false">+C18+F18</f>
        <v>5513.9455</v>
      </c>
      <c r="I18" s="46" t="n">
        <f aca="false">+H18/$H$28</f>
        <v>0.071746028607655</v>
      </c>
      <c r="J18" s="46"/>
    </row>
    <row r="19" customFormat="false" ht="12.75" hidden="false" customHeight="false" outlineLevel="0" collapsed="false">
      <c r="A19" s="47" t="s">
        <v>66</v>
      </c>
      <c r="B19" s="73" t="n">
        <v>139183.75</v>
      </c>
      <c r="C19" s="74" t="n">
        <f aca="false">+B19/24</f>
        <v>5799.32291666667</v>
      </c>
      <c r="D19" s="16" t="n">
        <v>0.159736</v>
      </c>
      <c r="E19" s="73" t="n">
        <v>811245.7</v>
      </c>
      <c r="F19" s="74" t="n">
        <f aca="false">+E19/600</f>
        <v>1352.07616666667</v>
      </c>
      <c r="G19" s="16" t="n">
        <f aca="false">+F19/H19</f>
        <v>0.189064566375235</v>
      </c>
      <c r="H19" s="75" t="n">
        <f aca="false">+C19+F19</f>
        <v>7151.39908333333</v>
      </c>
      <c r="I19" s="49" t="n">
        <f aca="false">+H19/$H$28</f>
        <v>0.0930521499020241</v>
      </c>
      <c r="J19" s="49"/>
    </row>
    <row r="20" customFormat="false" ht="12.75" hidden="false" customHeight="false" outlineLevel="0" collapsed="false">
      <c r="A20" s="44" t="s">
        <v>67</v>
      </c>
      <c r="B20" s="70" t="n">
        <v>256844.5</v>
      </c>
      <c r="C20" s="71" t="n">
        <f aca="false">+B20/24</f>
        <v>10701.8541666667</v>
      </c>
      <c r="D20" s="12" t="n">
        <v>0.064642</v>
      </c>
      <c r="E20" s="70" t="n">
        <v>1326447.93</v>
      </c>
      <c r="F20" s="71" t="n">
        <f aca="false">+E20/600</f>
        <v>2210.74655</v>
      </c>
      <c r="G20" s="12" t="n">
        <f aca="false">+F20/H20</f>
        <v>0.171208465165853</v>
      </c>
      <c r="H20" s="72" t="n">
        <f aca="false">+C20+F20</f>
        <v>12912.6007166667</v>
      </c>
      <c r="I20" s="46" t="n">
        <f aca="false">+H20/$H$28-0.000001</f>
        <v>0.168014411181919</v>
      </c>
      <c r="J20" s="46"/>
    </row>
    <row r="21" customFormat="false" ht="12.75" hidden="false" customHeight="false" outlineLevel="0" collapsed="false">
      <c r="A21" s="47" t="s">
        <v>68</v>
      </c>
      <c r="B21" s="73" t="n">
        <v>230544</v>
      </c>
      <c r="C21" s="74" t="n">
        <f aca="false">+B21/24</f>
        <v>9606</v>
      </c>
      <c r="D21" s="16" t="n">
        <v>0.061663</v>
      </c>
      <c r="E21" s="73" t="n">
        <v>1646373.5</v>
      </c>
      <c r="F21" s="74" t="n">
        <f aca="false">+E21/600</f>
        <v>2743.95583333333</v>
      </c>
      <c r="G21" s="16" t="n">
        <f aca="false">+F21/H21</f>
        <v>0.2221834531527</v>
      </c>
      <c r="H21" s="75" t="n">
        <f aca="false">+C21+F21</f>
        <v>12349.9558333333</v>
      </c>
      <c r="I21" s="49" t="n">
        <f aca="false">+H21/$H$28-0.000001</f>
        <v>0.160693421901995</v>
      </c>
      <c r="J21" s="49"/>
    </row>
    <row r="22" customFormat="false" ht="12.75" hidden="false" customHeight="false" outlineLevel="0" collapsed="false">
      <c r="A22" s="44" t="s">
        <v>69</v>
      </c>
      <c r="B22" s="70" t="n">
        <v>80487</v>
      </c>
      <c r="C22" s="71" t="n">
        <f aca="false">+B22/24</f>
        <v>3353.625</v>
      </c>
      <c r="D22" s="12" t="n">
        <v>0.020713</v>
      </c>
      <c r="E22" s="70" t="n">
        <v>986475.96</v>
      </c>
      <c r="F22" s="71" t="n">
        <f aca="false">+E22/600</f>
        <v>1644.1266</v>
      </c>
      <c r="G22" s="12" t="n">
        <f aca="false">+F22/H22</f>
        <v>0.328972594451084</v>
      </c>
      <c r="H22" s="72" t="n">
        <f aca="false">+C22+F22+0.01</f>
        <v>4997.7616</v>
      </c>
      <c r="I22" s="46" t="n">
        <f aca="false">+H22/$H$28</f>
        <v>0.0650295775915521</v>
      </c>
      <c r="J22" s="46"/>
    </row>
    <row r="23" customFormat="false" ht="12.75" hidden="false" customHeight="false" outlineLevel="0" collapsed="false">
      <c r="A23" s="47" t="s">
        <v>70</v>
      </c>
      <c r="B23" s="73" t="n">
        <v>88207.25</v>
      </c>
      <c r="C23" s="74" t="n">
        <f aca="false">+B23/24</f>
        <v>3675.30208333333</v>
      </c>
      <c r="D23" s="16" t="n">
        <v>0.05972</v>
      </c>
      <c r="E23" s="73" t="n">
        <v>655271.18</v>
      </c>
      <c r="F23" s="74" t="n">
        <f aca="false">+E23/600</f>
        <v>1092.11863333333</v>
      </c>
      <c r="G23" s="16" t="n">
        <f aca="false">+F23/H23</f>
        <v>0.22907955857878</v>
      </c>
      <c r="H23" s="75" t="n">
        <f aca="false">+C23+F23</f>
        <v>4767.42071666667</v>
      </c>
      <c r="I23" s="49" t="n">
        <f aca="false">+H23/$H$28</f>
        <v>0.0620324417647388</v>
      </c>
      <c r="J23" s="49"/>
    </row>
    <row r="24" customFormat="false" ht="12.75" hidden="false" customHeight="false" outlineLevel="0" collapsed="false">
      <c r="A24" s="44" t="s">
        <v>71</v>
      </c>
      <c r="B24" s="70" t="n">
        <v>29077.5</v>
      </c>
      <c r="C24" s="71" t="n">
        <f aca="false">+B24/24</f>
        <v>1211.5625</v>
      </c>
      <c r="D24" s="12" t="n">
        <v>0.039923</v>
      </c>
      <c r="E24" s="70" t="n">
        <v>233904.34</v>
      </c>
      <c r="F24" s="71" t="n">
        <f aca="false">+E24/600</f>
        <v>389.840566666667</v>
      </c>
      <c r="G24" s="12" t="n">
        <f aca="false">+F24/H24</f>
        <v>0.243436880309042</v>
      </c>
      <c r="H24" s="72" t="n">
        <f aca="false">+C24+F24</f>
        <v>1601.40306666667</v>
      </c>
      <c r="I24" s="46" t="n">
        <f aca="false">+H24/$H$28</f>
        <v>0.0208370413224892</v>
      </c>
      <c r="J24" s="46"/>
    </row>
    <row r="25" customFormat="false" ht="12.75" hidden="false" customHeight="false" outlineLevel="0" collapsed="false">
      <c r="A25" s="47" t="s">
        <v>72</v>
      </c>
      <c r="B25" s="73" t="n">
        <v>92719.5</v>
      </c>
      <c r="C25" s="74" t="n">
        <f aca="false">+B25/24</f>
        <v>3863.3125</v>
      </c>
      <c r="D25" s="16" t="n">
        <f aca="false">+C25/H25</f>
        <v>0.836720541701142</v>
      </c>
      <c r="E25" s="73" t="n">
        <v>452337.1</v>
      </c>
      <c r="F25" s="74" t="n">
        <f aca="false">+E25/600</f>
        <v>753.895166666667</v>
      </c>
      <c r="G25" s="16" t="n">
        <f aca="false">+F25/H25</f>
        <v>0.163279458298858</v>
      </c>
      <c r="H25" s="75" t="n">
        <f aca="false">+C25+F25</f>
        <v>4617.20766666667</v>
      </c>
      <c r="I25" s="49" t="n">
        <f aca="false">+H25/$H$28</f>
        <v>0.0600779085212487</v>
      </c>
      <c r="J25" s="49"/>
    </row>
    <row r="26" customFormat="false" ht="12.75" hidden="false" customHeight="false" outlineLevel="0" collapsed="false">
      <c r="A26" s="44" t="s">
        <v>73</v>
      </c>
      <c r="B26" s="76" t="n">
        <v>62555.9</v>
      </c>
      <c r="C26" s="77" t="n">
        <f aca="false">+B26/24</f>
        <v>2606.49583333333</v>
      </c>
      <c r="D26" s="19" t="n">
        <f aca="false">+C26/H26</f>
        <v>0.844454102666322</v>
      </c>
      <c r="E26" s="76" t="n">
        <v>288059.2</v>
      </c>
      <c r="F26" s="77" t="n">
        <f aca="false">+E26/600</f>
        <v>480.098666666667</v>
      </c>
      <c r="G26" s="19" t="n">
        <f aca="false">+F26/H26</f>
        <v>0.155542657527606</v>
      </c>
      <c r="H26" s="78" t="n">
        <f aca="false">+C26+F26+0.01</f>
        <v>3086.6045</v>
      </c>
      <c r="I26" s="51" t="n">
        <f aca="false">+H26/$H$28</f>
        <v>0.0401620971330813</v>
      </c>
      <c r="J26" s="51"/>
    </row>
    <row r="27" customFormat="false" ht="7.5" hidden="false" customHeight="true" outlineLevel="0" collapsed="false">
      <c r="A27" s="11"/>
      <c r="B27" s="79"/>
      <c r="C27" s="27"/>
      <c r="D27" s="12"/>
      <c r="E27" s="70"/>
      <c r="F27" s="27"/>
      <c r="G27" s="12"/>
      <c r="H27" s="27"/>
      <c r="I27" s="12"/>
      <c r="J27" s="80"/>
    </row>
    <row r="28" s="25" customFormat="true" ht="13.5" hidden="false" customHeight="false" outlineLevel="0" collapsed="false">
      <c r="A28" s="21" t="s">
        <v>83</v>
      </c>
      <c r="B28" s="81" t="n">
        <f aca="false">SUM(B12:B27)</f>
        <v>1442004.35</v>
      </c>
      <c r="C28" s="81" t="n">
        <f aca="false">SUM(C12:C27)+0.02</f>
        <v>60083.5345833333</v>
      </c>
      <c r="D28" s="22" t="n">
        <f aca="false">+C28/H28</f>
        <v>0.78179136719158</v>
      </c>
      <c r="E28" s="82" t="n">
        <f aca="false">SUM(E12:E27)</f>
        <v>10338392.36</v>
      </c>
      <c r="F28" s="81" t="n">
        <f aca="false">SUM(F12:F27)+0.03</f>
        <v>16770.1439333333</v>
      </c>
      <c r="G28" s="22" t="n">
        <f aca="false">+F28/H28</f>
        <v>0.218208762925826</v>
      </c>
      <c r="H28" s="81" t="n">
        <f aca="false">SUM(H12:H27)-0.02</f>
        <v>76853.6685166667</v>
      </c>
      <c r="I28" s="83" t="n">
        <f aca="false">SUM(I12:I27)+0.000002</f>
        <v>1.00000026023481</v>
      </c>
      <c r="J28" s="84" t="s">
        <v>16</v>
      </c>
    </row>
    <row r="29" customFormat="false" ht="7.5" hidden="false" customHeight="true" outlineLevel="0" collapsed="false">
      <c r="B29" s="85"/>
      <c r="C29" s="86"/>
      <c r="D29" s="18"/>
      <c r="E29" s="87"/>
      <c r="F29" s="86"/>
      <c r="G29" s="18"/>
      <c r="H29" s="86"/>
      <c r="I29" s="54"/>
      <c r="J29" s="88"/>
    </row>
    <row r="30" customFormat="false" ht="12.75" hidden="false" customHeight="false" outlineLevel="0" collapsed="false">
      <c r="A30" s="55" t="s">
        <v>97</v>
      </c>
      <c r="B30" s="55"/>
      <c r="C30" s="55"/>
      <c r="D30" s="55"/>
      <c r="E30" s="55"/>
      <c r="F30" s="55"/>
      <c r="G30" s="55"/>
      <c r="H30" s="55"/>
      <c r="I30" s="55"/>
      <c r="J30" s="55"/>
    </row>
    <row r="31" customFormat="false" ht="7.5" hidden="false" customHeight="true" outlineLevel="0" collapsed="false">
      <c r="A31" s="30"/>
      <c r="B31" s="30"/>
      <c r="C31" s="30"/>
      <c r="D31" s="30"/>
      <c r="E31" s="30"/>
      <c r="F31" s="30"/>
      <c r="G31" s="89"/>
      <c r="H31" s="30"/>
      <c r="I31" s="30"/>
      <c r="J31" s="30"/>
    </row>
    <row r="32" s="58" customFormat="true" ht="11.25" hidden="false" customHeight="false" outlineLevel="0" collapsed="false">
      <c r="A32" s="57" t="s">
        <v>98</v>
      </c>
      <c r="B32" s="57"/>
      <c r="C32" s="57"/>
      <c r="D32" s="57"/>
      <c r="E32" s="57"/>
      <c r="F32" s="57"/>
      <c r="G32" s="57"/>
      <c r="H32" s="57"/>
      <c r="I32" s="57"/>
      <c r="J32" s="57"/>
    </row>
    <row r="33" customFormat="false" ht="13.5" hidden="false" customHeight="false" outlineLevel="0" collapsed="false">
      <c r="A33" s="90" t="s">
        <v>99</v>
      </c>
      <c r="B33" s="2"/>
      <c r="C33" s="2"/>
      <c r="D33" s="2"/>
      <c r="E33" s="2"/>
      <c r="F33" s="2"/>
      <c r="G33" s="2"/>
      <c r="H33" s="2"/>
      <c r="I33" s="2"/>
      <c r="J33" s="2"/>
    </row>
    <row r="35" customFormat="false" ht="12.75" hidden="false" customHeight="false" outlineLevel="0" collapsed="false">
      <c r="A35" s="28"/>
      <c r="B35" s="28"/>
      <c r="C35" s="28"/>
      <c r="D35" s="28"/>
    </row>
  </sheetData>
  <mergeCells count="25">
    <mergeCell ref="A3:J3"/>
    <mergeCell ref="A4:J4"/>
    <mergeCell ref="A5:J5"/>
    <mergeCell ref="I7:J7"/>
    <mergeCell ref="I8:J8"/>
    <mergeCell ref="I9:J9"/>
    <mergeCell ref="I10:J10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A30:J30"/>
    <mergeCell ref="A32:J32"/>
    <mergeCell ref="A35:D3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sheetData>
    <row r="2" customFormat="false" ht="13.5" hidden="false" customHeight="false" outlineLevel="0" collapsed="false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false" outlineLevel="0" collapsed="false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8.25" hidden="false" customHeight="true" outlineLevel="0" collapsed="false"/>
    <row r="10" customFormat="false" ht="12.75" hidden="false" customHeight="false" outlineLevel="0" collapsed="false">
      <c r="D10" s="88" t="n">
        <v>0.055031</v>
      </c>
    </row>
    <row r="11" customFormat="false" ht="12.75" hidden="false" customHeight="false" outlineLevel="0" collapsed="false">
      <c r="D11" s="88" t="n">
        <v>0.049043</v>
      </c>
    </row>
    <row r="12" customFormat="false" ht="12.75" hidden="false" customHeight="false" outlineLevel="0" collapsed="false">
      <c r="D12" s="88" t="n">
        <v>0.036029</v>
      </c>
    </row>
    <row r="13" customFormat="false" ht="12.75" hidden="false" customHeight="false" outlineLevel="0" collapsed="false">
      <c r="D13" s="88" t="n">
        <v>0.021058</v>
      </c>
    </row>
    <row r="14" customFormat="false" ht="12.75" hidden="false" customHeight="false" outlineLevel="0" collapsed="false">
      <c r="D14" s="88" t="n">
        <v>0.061693</v>
      </c>
    </row>
    <row r="15" customFormat="false" ht="12.75" hidden="false" customHeight="false" outlineLevel="0" collapsed="false">
      <c r="D15" s="88" t="n">
        <v>0.039918</v>
      </c>
    </row>
    <row r="16" customFormat="false" ht="12.75" hidden="false" customHeight="false" outlineLevel="0" collapsed="false">
      <c r="D16" s="88" t="n">
        <v>0.071319</v>
      </c>
    </row>
    <row r="17" customFormat="false" ht="12.75" hidden="false" customHeight="false" outlineLevel="0" collapsed="false">
      <c r="D17" s="88" t="n">
        <v>0.092498</v>
      </c>
    </row>
    <row r="18" customFormat="false" ht="12.75" hidden="false" customHeight="false" outlineLevel="0" collapsed="false">
      <c r="D18" s="88" t="n">
        <v>0.167014</v>
      </c>
    </row>
    <row r="19" customFormat="false" ht="12.75" hidden="false" customHeight="false" outlineLevel="0" collapsed="false">
      <c r="D19" s="88" t="n">
        <v>0.159736</v>
      </c>
    </row>
    <row r="20" customFormat="false" ht="12.75" hidden="false" customHeight="false" outlineLevel="0" collapsed="false">
      <c r="D20" s="88" t="n">
        <v>0.064642</v>
      </c>
    </row>
    <row r="21" customFormat="false" ht="12.75" hidden="false" customHeight="false" outlineLevel="0" collapsed="false">
      <c r="D21" s="88" t="n">
        <v>0.061663</v>
      </c>
    </row>
    <row r="22" customFormat="false" ht="12.75" hidden="false" customHeight="false" outlineLevel="0" collapsed="false">
      <c r="D22" s="88" t="n">
        <v>0.020713</v>
      </c>
    </row>
    <row r="23" customFormat="false" ht="12.75" hidden="false" customHeight="false" outlineLevel="0" collapsed="false">
      <c r="D23" s="88" t="n">
        <v>0.05972</v>
      </c>
    </row>
    <row r="24" customFormat="false" ht="12.75" hidden="false" customHeight="false" outlineLevel="0" collapsed="false">
      <c r="D24" s="88" t="n">
        <v>0.039923</v>
      </c>
    </row>
    <row r="28" customFormat="false" ht="6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="58" customFormat="true" ht="11.25" hidden="false" customHeight="false" outlineLevel="0" collapsed="false">
      <c r="A29" s="57" t="s">
        <v>101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</row>
    <row r="30" customFormat="false" ht="13.5" hidden="false" customHeight="false" outlineLevel="0" collapsed="false">
      <c r="A30" s="59" t="s">
        <v>102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2.75" hidden="false" customHeight="false" outlineLevel="0" collapsed="false">
      <c r="A31" s="56"/>
    </row>
  </sheetData>
  <mergeCells count="4">
    <mergeCell ref="A3:K3"/>
    <mergeCell ref="A4:K4"/>
    <mergeCell ref="A5:K5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MTosel</cp:lastModifiedBy>
  <cp:lastPrinted>2002-01-11T21:47:23Z</cp:lastPrinted>
  <dcterms:modified xsi:type="dcterms:W3CDTF">2002-01-11T21:47:41Z</dcterms:modified>
  <cp:revision>0</cp:revision>
  <dc:subject/>
  <dc:title/>
</cp:coreProperties>
</file>