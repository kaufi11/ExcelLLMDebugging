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8CA54D45-0188-4E44-AF64-4BECADFC0275}" xr6:coauthVersionLast="47" xr6:coauthVersionMax="47" xr10:uidLastSave="{00000000-0000-0000-0000-000000000000}"/>
  <bookViews>
    <workbookView xWindow="390" yWindow="390" windowWidth="21600" windowHeight="11295" xr2:uid="{AAA38EE4-4BFB-44A7-8044-DB389F9CDA04}"/>
  </bookViews>
  <sheets>
    <sheet name="Financial summary" sheetId="1" r:id="rId1"/>
    <sheet name="Balance Sheet" sheetId="5" r:id="rId2"/>
    <sheet name="Stork - 2002 Expenditures" sheetId="4" r:id="rId3"/>
    <sheet name="Stork - 2002 Receipts" sheetId="3" r:id="rId4"/>
  </sheets>
  <definedNames>
    <definedName name="_xlnm.Print_Area" localSheetId="0">'Financial summary'!$A$1:$K$51</definedName>
    <definedName name="_xlnm.Print_Titles" localSheetId="1">'Balance Sheet'!$A:$D,'Balance Sheet'!$1:$1</definedName>
    <definedName name="_xlnm.Print_Titles" localSheetId="0">'Financial summary'!$A:$B,'Financial summary'!$2:$2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5" l="1"/>
  <c r="H4" i="5"/>
  <c r="H6" i="5"/>
  <c r="H7" i="5"/>
  <c r="E6" i="5"/>
  <c r="E7" i="5" s="1"/>
  <c r="F6" i="5"/>
  <c r="G6" i="5"/>
  <c r="F7" i="5"/>
  <c r="G7" i="5"/>
  <c r="E14" i="5"/>
  <c r="F14" i="5"/>
  <c r="E15" i="5"/>
  <c r="F15" i="5"/>
  <c r="H58" i="4"/>
  <c r="I19" i="1"/>
  <c r="I15" i="1"/>
  <c r="K21" i="1"/>
  <c r="C15" i="1"/>
  <c r="C27" i="1"/>
  <c r="C30" i="1"/>
  <c r="C33" i="1"/>
  <c r="E4" i="1"/>
  <c r="E15" i="1"/>
  <c r="E27" i="1"/>
  <c r="E30" i="1"/>
  <c r="E33" i="1"/>
  <c r="G4" i="1" s="1"/>
  <c r="G33" i="1" s="1"/>
  <c r="G15" i="1"/>
  <c r="G27" i="1"/>
  <c r="G30" i="1"/>
  <c r="I27" i="1"/>
  <c r="I30" i="1"/>
  <c r="G13" i="5" s="1"/>
  <c r="K15" i="1"/>
  <c r="K30" i="1" s="1"/>
  <c r="H13" i="5" s="1"/>
  <c r="K27" i="1"/>
  <c r="M15" i="1"/>
  <c r="M27" i="1"/>
  <c r="M30" i="1"/>
  <c r="C35" i="1"/>
  <c r="C39" i="1"/>
  <c r="E39" i="1"/>
  <c r="C55" i="4"/>
  <c r="D59" i="4"/>
  <c r="C43" i="3"/>
  <c r="D60" i="4"/>
  <c r="D61" i="4"/>
  <c r="T55" i="4"/>
  <c r="H55" i="4"/>
  <c r="D55" i="4"/>
  <c r="F55" i="4"/>
  <c r="J55" i="4"/>
  <c r="L55" i="4"/>
  <c r="N55" i="4"/>
  <c r="P55" i="4"/>
  <c r="R55" i="4"/>
  <c r="D43" i="3"/>
  <c r="F43" i="3"/>
  <c r="H43" i="3"/>
  <c r="J43" i="3"/>
  <c r="L43" i="3"/>
  <c r="N43" i="3"/>
  <c r="H12" i="5" l="1"/>
  <c r="H14" i="5" s="1"/>
  <c r="H15" i="5" s="1"/>
  <c r="G14" i="5"/>
  <c r="G15" i="5" s="1"/>
  <c r="I4" i="1"/>
  <c r="I33" i="1" s="1"/>
  <c r="G39" i="1"/>
  <c r="K4" i="1" l="1"/>
  <c r="K33" i="1" s="1"/>
  <c r="I39" i="1"/>
  <c r="K39" i="1" l="1"/>
  <c r="M4" i="1"/>
  <c r="M33" i="1" s="1"/>
  <c r="M39" i="1" s="1"/>
</calcChain>
</file>

<file path=xl/sharedStrings.xml><?xml version="1.0" encoding="utf-8"?>
<sst xmlns="http://schemas.openxmlformats.org/spreadsheetml/2006/main" count="278" uniqueCount="173">
  <si>
    <t>Administrative Expenses includes part-time salary of US$ 6,000 p.a. in 1999-2001 and US$ 12,000 p.a. in 2002.</t>
  </si>
  <si>
    <t>Represents grant to NEFA for Juniors program.</t>
  </si>
  <si>
    <r>
      <t xml:space="preserve">Sanctioning </t>
    </r>
    <r>
      <rPr>
        <vertAlign val="superscript"/>
        <sz val="10"/>
        <color indexed="8"/>
        <rFont val="Times New Roman"/>
        <family val="1"/>
      </rPr>
      <t>2</t>
    </r>
  </si>
  <si>
    <r>
      <t>Memberships</t>
    </r>
    <r>
      <rPr>
        <vertAlign val="superscript"/>
        <sz val="10"/>
        <color indexed="8"/>
        <rFont val="Times New Roman"/>
        <family val="1"/>
      </rPr>
      <t xml:space="preserve"> 3</t>
    </r>
  </si>
  <si>
    <t>WFDF 2002 Statement of Receipts and Expenditures</t>
  </si>
  <si>
    <t>(sheet 1)</t>
  </si>
  <si>
    <t>Receipts</t>
  </si>
  <si>
    <t>Date</t>
  </si>
  <si>
    <t>Type</t>
  </si>
  <si>
    <t>Total Received</t>
  </si>
  <si>
    <t>memo</t>
  </si>
  <si>
    <t>Licensing</t>
  </si>
  <si>
    <t>Sanctioning</t>
  </si>
  <si>
    <t>Interest</t>
  </si>
  <si>
    <t>Other</t>
  </si>
  <si>
    <t>Bk trans</t>
  </si>
  <si>
    <t>Norway 99/00/01/02</t>
  </si>
  <si>
    <t>Norway credit</t>
  </si>
  <si>
    <t>Deposit</t>
  </si>
  <si>
    <t>Ireland (A) 01/02</t>
  </si>
  <si>
    <t>Sweden 02 OK</t>
  </si>
  <si>
    <t>Titcomb Jrs.</t>
  </si>
  <si>
    <t>UPA (O) 02 OK</t>
  </si>
  <si>
    <t>Petty cash</t>
  </si>
  <si>
    <t>Belgium 02</t>
  </si>
  <si>
    <t>France 01/02</t>
  </si>
  <si>
    <t>Spain 02</t>
  </si>
  <si>
    <t>Canada 02</t>
  </si>
  <si>
    <t>PDGA 99/00/01/02</t>
  </si>
  <si>
    <t>Brazil (A) 01/02</t>
  </si>
  <si>
    <t>Japan 02</t>
  </si>
  <si>
    <t>Mexico 02</t>
  </si>
  <si>
    <t>UK O2</t>
  </si>
  <si>
    <t>Australia 01/02</t>
  </si>
  <si>
    <t>Germany 02</t>
  </si>
  <si>
    <t>CZ Republic 02 OK</t>
  </si>
  <si>
    <t>Hong Kong 01</t>
  </si>
  <si>
    <t>S. Africa (A) 01/02 WL</t>
  </si>
  <si>
    <t>Denmark 02</t>
  </si>
  <si>
    <t>WUCC 02 Repay</t>
  </si>
  <si>
    <t>FPA 99/00/01/02 OK</t>
  </si>
  <si>
    <t>Switzerland 02</t>
  </si>
  <si>
    <t>Austrla 01/02</t>
  </si>
  <si>
    <t>Hong Kong 02</t>
  </si>
  <si>
    <t>Italy 02</t>
  </si>
  <si>
    <t>ROC O2 OK</t>
  </si>
  <si>
    <t>Russia (A) PE</t>
  </si>
  <si>
    <t>Totals</t>
  </si>
  <si>
    <t>Latvia Jrs.</t>
  </si>
  <si>
    <t>UPA Grant</t>
  </si>
  <si>
    <t>Venezuela 02</t>
  </si>
  <si>
    <t>WUCC 2002</t>
  </si>
  <si>
    <t>Finland*</t>
  </si>
  <si>
    <t>(sheet 2)</t>
  </si>
  <si>
    <t>Expenditures</t>
  </si>
  <si>
    <t>Total Expended</t>
  </si>
  <si>
    <t>Fees</t>
  </si>
  <si>
    <t>Events</t>
  </si>
  <si>
    <t>118.52 not cashed</t>
  </si>
  <si>
    <t>Net as of  7/3/03:</t>
  </si>
  <si>
    <t>Net as of 7/3/03:</t>
  </si>
  <si>
    <t>Mem Serv.</t>
  </si>
  <si>
    <t>Services</t>
  </si>
  <si>
    <t>Marketing</t>
  </si>
  <si>
    <t>Sp. Projects</t>
  </si>
  <si>
    <t>ck 1341</t>
  </si>
  <si>
    <t>P. Eriksson WG</t>
  </si>
  <si>
    <t>Bk transfer</t>
  </si>
  <si>
    <t>Events inc.travel</t>
  </si>
  <si>
    <t>IWGA 2002</t>
  </si>
  <si>
    <t>Bk fee</t>
  </si>
  <si>
    <t>Payment fee</t>
  </si>
  <si>
    <t>GAISF 2002</t>
  </si>
  <si>
    <t>Dues transfer fee</t>
  </si>
  <si>
    <t>ck 1343</t>
  </si>
  <si>
    <t>Fr. Range Internet</t>
  </si>
  <si>
    <t>ck 1342</t>
  </si>
  <si>
    <t>B. Wright Internet</t>
  </si>
  <si>
    <t>ck 1344</t>
  </si>
  <si>
    <t>DR Q1 ED fee</t>
  </si>
  <si>
    <t>ck 1346</t>
  </si>
  <si>
    <t>Jr. Grant NEFA</t>
  </si>
  <si>
    <t>ck 1348</t>
  </si>
  <si>
    <t>DR Q2 ED fee</t>
  </si>
  <si>
    <t>ck 1349</t>
  </si>
  <si>
    <t>DR Cong Exp</t>
  </si>
  <si>
    <t>Medal engrav</t>
  </si>
  <si>
    <t xml:space="preserve">Payment fee </t>
  </si>
  <si>
    <t>ck 1350</t>
  </si>
  <si>
    <t>Cash from DR to JG</t>
  </si>
  <si>
    <t>CM01/02fees</t>
  </si>
  <si>
    <t>Pet. Cash BW</t>
  </si>
  <si>
    <t>ck 1347</t>
  </si>
  <si>
    <t>D&amp;O Insurance</t>
  </si>
  <si>
    <t>Medal pmt. foul up</t>
  </si>
  <si>
    <t>ck 1351</t>
  </si>
  <si>
    <t>Cong Facil. Exp.</t>
  </si>
  <si>
    <t>ck 1354</t>
  </si>
  <si>
    <t>BW Con Print</t>
  </si>
  <si>
    <t>auto wd</t>
  </si>
  <si>
    <t>ck 1353</t>
  </si>
  <si>
    <t>Cong Facil Exp.</t>
  </si>
  <si>
    <t>ck 1352</t>
  </si>
  <si>
    <t>JG Con Exp</t>
  </si>
  <si>
    <t>ck 1355</t>
  </si>
  <si>
    <t>MH Con Exp</t>
  </si>
  <si>
    <t>ck 1356</t>
  </si>
  <si>
    <t>JG/BW Con Exp</t>
  </si>
  <si>
    <t>ck 1357</t>
  </si>
  <si>
    <t>DR Q3 ED fee</t>
  </si>
  <si>
    <t>ck 1358</t>
  </si>
  <si>
    <t>DR Q4 ED fee</t>
  </si>
  <si>
    <t>Includes loan of US$5,000 to 2002 WUCC organizers.  Repayment shows in sales and income, payment in  Events.</t>
  </si>
  <si>
    <t>6 months</t>
  </si>
  <si>
    <t>1998</t>
  </si>
  <si>
    <t>1999</t>
  </si>
  <si>
    <t>2000</t>
  </si>
  <si>
    <t>2001</t>
  </si>
  <si>
    <t>Beginning Cash Balance</t>
  </si>
  <si>
    <t>Income</t>
  </si>
  <si>
    <t>Dues</t>
  </si>
  <si>
    <t>Special Sponsorship</t>
  </si>
  <si>
    <t>Sponsorship</t>
  </si>
  <si>
    <t>Donations</t>
  </si>
  <si>
    <t>Sales and Other Income</t>
  </si>
  <si>
    <t>a</t>
  </si>
  <si>
    <t>Total Income</t>
  </si>
  <si>
    <t>Expenses</t>
  </si>
  <si>
    <t>Administration</t>
  </si>
  <si>
    <t>Bank Fees</t>
  </si>
  <si>
    <t>Member Services</t>
  </si>
  <si>
    <t>Other Fees</t>
  </si>
  <si>
    <t>Outreach</t>
  </si>
  <si>
    <t>Total Expense</t>
  </si>
  <si>
    <t>Net Income/ (Loss)</t>
  </si>
  <si>
    <t>Ending Cash/Inv. Balance</t>
  </si>
  <si>
    <t>Checking Account</t>
  </si>
  <si>
    <t>Money Market</t>
  </si>
  <si>
    <t>Loan to Event Organizer</t>
  </si>
  <si>
    <t>Difference</t>
  </si>
  <si>
    <t>Notes</t>
  </si>
  <si>
    <t>Statement prepared under cash basis accounting; certain accounts have been reclassified on a historical basis for consistency.</t>
  </si>
  <si>
    <t>MM int.</t>
  </si>
  <si>
    <t>rev. 7/3/03</t>
  </si>
  <si>
    <t>ck 1340</t>
  </si>
  <si>
    <t>UPA pc</t>
  </si>
  <si>
    <t>ck 1335</t>
  </si>
  <si>
    <t>WUCC Loan</t>
  </si>
  <si>
    <t>Sanctioning fees charged to participants at WFDF events of approximately US$7.50 per person;  events include:  1998 WUGC;</t>
  </si>
  <si>
    <t>1999 WUCC/WOC; 2000 WUGC; 2001 World Games/WOC.</t>
  </si>
  <si>
    <t>Fees for GAISF and IWGA memberships.</t>
  </si>
  <si>
    <t>Fees of SEK 80,673 (US$10,000) for  _______ and US$3,000 for ______.</t>
  </si>
  <si>
    <t>Sponsorship from Worldsport.com (now defunct).</t>
  </si>
  <si>
    <t>Sponsorship from Innova and Wham-O.</t>
  </si>
  <si>
    <t>Congress expenses total</t>
  </si>
  <si>
    <t>Dec 31, '99</t>
  </si>
  <si>
    <t>Dec 31, '00</t>
  </si>
  <si>
    <t>Dec 31, '01</t>
  </si>
  <si>
    <t>ASSETS</t>
  </si>
  <si>
    <t>Current Assets</t>
  </si>
  <si>
    <t>Total Checking/Savings</t>
  </si>
  <si>
    <t>Money Market (Savings)</t>
  </si>
  <si>
    <t>Total Current Assets</t>
  </si>
  <si>
    <t>TOTAL ASSETS</t>
  </si>
  <si>
    <t>LIABILITIES &amp; EQUITY</t>
  </si>
  <si>
    <t>Equity</t>
  </si>
  <si>
    <t>Opening Bal Equity</t>
  </si>
  <si>
    <t>Retained Earnings</t>
  </si>
  <si>
    <t>Net Income</t>
  </si>
  <si>
    <t>Total Equity</t>
  </si>
  <si>
    <t>TOTAL LIABILITIES &amp; EQUITY</t>
  </si>
  <si>
    <t>Dec 31, '02</t>
  </si>
  <si>
    <t>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</si>
</sst>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quot;$&quot;#,##0_);\(&quot;$&quot;#,##0\)"/>
    <numFmt numFmtId="174" formatCode="&quot;$&quot;#,##0.00_);\(&quot;$&quot;#,##0.00\)"/>
    <numFmt numFmtId="175" formatCode="&quot;$&quot;#,##0.00_);[Red]\(&quot;$&quot;#,##0.00\)"/>
    <numFmt numFmtId="181" formatCode="0_);\(0\)"/>
    <numFmt numFmtId="187" formatCode="mm/dd/yy"/>
    <numFmt numFmtId="206" formatCode="&quot;$&quot;#,##0.00"/>
  </numFmts>
  <fonts count="24">
    <font>
      <sz val="10"/>
      <name val="Arial"/>
    </font>
    <font>
      <sz val="10"/>
      <name val="Helv"/>
    </font>
    <font>
      <sz val="8"/>
      <name val="Arial"/>
    </font>
    <font>
      <b/>
      <sz val="10"/>
      <color indexed="8"/>
      <name val="Times New Roman"/>
      <family val="1"/>
    </font>
    <font>
      <sz val="10"/>
      <name val="Times New Roman"/>
      <family val="1"/>
    </font>
    <font>
      <b/>
      <sz val="10"/>
      <name val="Times New Roman"/>
    </font>
    <font>
      <vertAlign val="superscript"/>
      <sz val="10"/>
      <color indexed="8"/>
      <name val="Times New Roman"/>
      <family val="1"/>
    </font>
    <font>
      <sz val="10"/>
      <color indexed="8"/>
      <name val="Times New Roman"/>
      <family val="1"/>
    </font>
    <font>
      <sz val="8"/>
      <name val="Times New Roman"/>
      <family val="1"/>
    </font>
    <font>
      <b/>
      <sz val="10"/>
      <name val="Times New Roman"/>
      <family val="1"/>
    </font>
    <font>
      <b/>
      <i/>
      <sz val="10"/>
      <color indexed="10"/>
      <name val="Times New Roman"/>
      <family val="1"/>
    </font>
    <font>
      <b/>
      <sz val="10"/>
      <color indexed="10"/>
      <name val="Times New Roman"/>
      <family val="1"/>
    </font>
    <font>
      <b/>
      <i/>
      <sz val="10"/>
      <color indexed="10"/>
      <name val="Times New Roman"/>
    </font>
    <font>
      <vertAlign val="superscript"/>
      <sz val="8"/>
      <color indexed="8"/>
      <name val="Times New Roman"/>
      <family val="1"/>
    </font>
    <font>
      <sz val="8"/>
      <color indexed="8"/>
      <name val="Times New Roman"/>
      <family val="1"/>
    </font>
    <font>
      <sz val="9"/>
      <color indexed="8"/>
      <name val="Times New Roman"/>
    </font>
    <font>
      <sz val="9"/>
      <name val="Geneva"/>
    </font>
    <font>
      <b/>
      <sz val="12"/>
      <color indexed="10"/>
      <name val="Geneva"/>
    </font>
    <font>
      <sz val="12"/>
      <color indexed="10"/>
      <name val="Geneva"/>
    </font>
    <font>
      <b/>
      <sz val="9"/>
      <name val="Geneva"/>
    </font>
    <font>
      <sz val="12"/>
      <name val="Geneva"/>
    </font>
    <font>
      <b/>
      <sz val="9"/>
      <color indexed="10"/>
      <name val="Geneva"/>
    </font>
    <font>
      <u/>
      <sz val="9"/>
      <name val="Geneva"/>
    </font>
    <font>
      <b/>
      <sz val="8"/>
      <color indexed="8"/>
      <name val="Times New Roman"/>
      <family val="1"/>
    </font>
  </fonts>
  <fills count="4">
    <fill>
      <patternFill patternType="none"/>
    </fill>
    <fill>
      <patternFill patternType="gray125"/>
    </fill>
    <fill>
      <patternFill patternType="solid">
        <fgColor indexed="42"/>
        <bgColor indexed="64"/>
      </patternFill>
    </fill>
    <fill>
      <patternFill patternType="solid">
        <fgColor indexed="4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double">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right/>
      <top/>
      <bottom style="thick">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double">
        <color indexed="64"/>
      </bottom>
      <diagonal/>
    </border>
  </borders>
  <cellStyleXfs count="4">
    <xf numFmtId="0" fontId="0" fillId="0" borderId="0"/>
    <xf numFmtId="0" fontId="16" fillId="0" borderId="0"/>
    <xf numFmtId="0" fontId="16" fillId="0" borderId="0"/>
    <xf numFmtId="0" fontId="1" fillId="0" borderId="0"/>
  </cellStyleXfs>
  <cellXfs count="138">
    <xf numFmtId="0" fontId="0" fillId="0" borderId="0" xfId="0"/>
    <xf numFmtId="0" fontId="3" fillId="0" borderId="0" xfId="0" applyNumberFormat="1" applyFont="1"/>
    <xf numFmtId="0" fontId="4" fillId="0" borderId="0" xfId="0" applyNumberFormat="1" applyFont="1"/>
    <xf numFmtId="0" fontId="4" fillId="0" borderId="0" xfId="0" applyFont="1"/>
    <xf numFmtId="181" fontId="3" fillId="0" borderId="0" xfId="0" applyNumberFormat="1" applyFont="1" applyBorder="1" applyAlignment="1">
      <alignment horizontal="right"/>
    </xf>
    <xf numFmtId="175" fontId="4" fillId="0" borderId="0" xfId="0" applyNumberFormat="1" applyFont="1"/>
    <xf numFmtId="49" fontId="3" fillId="0" borderId="0" xfId="0" applyNumberFormat="1" applyFont="1" applyAlignment="1">
      <alignment horizontal="center"/>
    </xf>
    <xf numFmtId="49" fontId="3" fillId="0" borderId="0" xfId="0" applyNumberFormat="1" applyFont="1" applyBorder="1" applyAlignment="1">
      <alignment horizontal="center"/>
    </xf>
    <xf numFmtId="0" fontId="4" fillId="0" borderId="0" xfId="0" applyFont="1" applyAlignment="1">
      <alignment horizontal="center"/>
    </xf>
    <xf numFmtId="175" fontId="4" fillId="0" borderId="0" xfId="0" applyNumberFormat="1" applyFont="1" applyAlignment="1">
      <alignment horizontal="center"/>
    </xf>
    <xf numFmtId="49" fontId="3" fillId="0" borderId="1" xfId="0" applyNumberFormat="1" applyFont="1" applyBorder="1" applyAlignment="1">
      <alignment horizontal="left"/>
    </xf>
    <xf numFmtId="49" fontId="3" fillId="0" borderId="2" xfId="0" applyNumberFormat="1" applyFont="1" applyBorder="1" applyAlignment="1">
      <alignment horizontal="center"/>
    </xf>
    <xf numFmtId="174" fontId="3" fillId="0" borderId="2" xfId="0" applyNumberFormat="1" applyFont="1" applyBorder="1"/>
    <xf numFmtId="172" fontId="3" fillId="0" borderId="2" xfId="0" applyNumberFormat="1" applyFont="1" applyBorder="1"/>
    <xf numFmtId="0" fontId="6" fillId="0" borderId="2" xfId="0" applyNumberFormat="1" applyFont="1" applyBorder="1" applyAlignment="1">
      <alignment horizontal="left"/>
    </xf>
    <xf numFmtId="174" fontId="7" fillId="0" borderId="0" xfId="0" applyNumberFormat="1" applyFont="1" applyBorder="1"/>
    <xf numFmtId="172" fontId="7" fillId="0" borderId="0" xfId="0" applyNumberFormat="1" applyFont="1" applyBorder="1"/>
    <xf numFmtId="174" fontId="3" fillId="0" borderId="0" xfId="0" applyNumberFormat="1" applyFont="1" applyBorder="1" applyAlignment="1">
      <alignment horizontal="center"/>
    </xf>
    <xf numFmtId="0" fontId="6" fillId="0" borderId="0" xfId="0" applyNumberFormat="1" applyFont="1" applyBorder="1" applyAlignment="1">
      <alignment horizontal="left"/>
    </xf>
    <xf numFmtId="49" fontId="3" fillId="0" borderId="0" xfId="0" applyNumberFormat="1" applyFont="1"/>
    <xf numFmtId="49" fontId="7" fillId="0" borderId="0" xfId="0" applyNumberFormat="1" applyFont="1" applyBorder="1"/>
    <xf numFmtId="49" fontId="7" fillId="0" borderId="0" xfId="0" applyNumberFormat="1" applyFont="1"/>
    <xf numFmtId="174" fontId="7" fillId="0" borderId="0" xfId="0" applyNumberFormat="1" applyFont="1" applyBorder="1" applyAlignment="1">
      <alignment horizontal="right"/>
    </xf>
    <xf numFmtId="174" fontId="4" fillId="0" borderId="0" xfId="0" applyNumberFormat="1" applyFont="1" applyBorder="1"/>
    <xf numFmtId="174" fontId="4" fillId="0" borderId="0" xfId="0" applyNumberFormat="1" applyFont="1"/>
    <xf numFmtId="2" fontId="8" fillId="0" borderId="0" xfId="3" applyNumberFormat="1" applyFont="1"/>
    <xf numFmtId="174" fontId="7" fillId="0" borderId="3" xfId="0" applyNumberFormat="1" applyFont="1" applyBorder="1"/>
    <xf numFmtId="1" fontId="4" fillId="0" borderId="0" xfId="0" applyNumberFormat="1" applyFont="1"/>
    <xf numFmtId="174" fontId="3" fillId="0" borderId="0" xfId="0" applyNumberFormat="1" applyFont="1" applyBorder="1"/>
    <xf numFmtId="175" fontId="5" fillId="0" borderId="2" xfId="0" applyNumberFormat="1" applyFont="1" applyBorder="1"/>
    <xf numFmtId="174" fontId="3" fillId="0" borderId="3" xfId="0" applyNumberFormat="1" applyFont="1" applyBorder="1"/>
    <xf numFmtId="49" fontId="3" fillId="0" borderId="0" xfId="0" applyNumberFormat="1" applyFont="1" applyBorder="1"/>
    <xf numFmtId="0" fontId="3" fillId="0" borderId="0" xfId="0" applyFont="1"/>
    <xf numFmtId="175" fontId="3" fillId="0" borderId="0" xfId="0" applyNumberFormat="1" applyFont="1"/>
    <xf numFmtId="175" fontId="5" fillId="0" borderId="3" xfId="0" applyNumberFormat="1" applyFont="1" applyBorder="1"/>
    <xf numFmtId="174" fontId="3" fillId="0" borderId="4" xfId="0" applyNumberFormat="1" applyFont="1" applyBorder="1"/>
    <xf numFmtId="0" fontId="3" fillId="0" borderId="1" xfId="0" applyNumberFormat="1" applyFont="1" applyBorder="1"/>
    <xf numFmtId="0" fontId="3" fillId="0" borderId="2" xfId="0" applyNumberFormat="1" applyFont="1" applyBorder="1"/>
    <xf numFmtId="174" fontId="9" fillId="0" borderId="2" xfId="0" applyNumberFormat="1" applyFont="1" applyBorder="1"/>
    <xf numFmtId="174" fontId="9" fillId="0" borderId="0" xfId="0" applyNumberFormat="1" applyFont="1"/>
    <xf numFmtId="0" fontId="7" fillId="0" borderId="0" xfId="0" applyNumberFormat="1" applyFont="1"/>
    <xf numFmtId="0" fontId="10" fillId="0" borderId="1" xfId="0" applyNumberFormat="1" applyFont="1" applyBorder="1"/>
    <xf numFmtId="0" fontId="4" fillId="0" borderId="2" xfId="0" applyFont="1" applyBorder="1"/>
    <xf numFmtId="174" fontId="10" fillId="0" borderId="2" xfId="0" applyNumberFormat="1" applyFont="1" applyBorder="1"/>
    <xf numFmtId="0" fontId="11" fillId="0" borderId="2" xfId="0" applyNumberFormat="1" applyFont="1" applyBorder="1"/>
    <xf numFmtId="0" fontId="10" fillId="0" borderId="2" xfId="0" applyNumberFormat="1" applyFont="1" applyBorder="1"/>
    <xf numFmtId="0" fontId="10" fillId="0" borderId="2" xfId="0" applyFont="1" applyBorder="1"/>
    <xf numFmtId="0" fontId="13" fillId="0" borderId="0" xfId="0" applyNumberFormat="1" applyFont="1" applyBorder="1" applyAlignment="1">
      <alignment horizontal="right"/>
    </xf>
    <xf numFmtId="0" fontId="14" fillId="0" borderId="0" xfId="0" applyNumberFormat="1" applyFont="1"/>
    <xf numFmtId="0" fontId="15" fillId="0" borderId="0" xfId="0" applyNumberFormat="1" applyFont="1"/>
    <xf numFmtId="187" fontId="17" fillId="2" borderId="0" xfId="2" applyNumberFormat="1" applyFont="1" applyFill="1" applyAlignment="1">
      <alignment horizontal="left"/>
    </xf>
    <xf numFmtId="0" fontId="18" fillId="2" borderId="0" xfId="2" applyFont="1" applyFill="1" applyAlignment="1">
      <alignment horizontal="center"/>
    </xf>
    <xf numFmtId="2" fontId="18" fillId="2" borderId="0" xfId="2" applyNumberFormat="1" applyFont="1" applyFill="1"/>
    <xf numFmtId="0" fontId="18" fillId="2" borderId="0" xfId="2" applyFont="1" applyFill="1"/>
    <xf numFmtId="0" fontId="16" fillId="2" borderId="0" xfId="2" applyFill="1" applyAlignment="1">
      <alignment horizontal="center"/>
    </xf>
    <xf numFmtId="0" fontId="16" fillId="2" borderId="0" xfId="2" applyFill="1"/>
    <xf numFmtId="0" fontId="16" fillId="0" borderId="0" xfId="2"/>
    <xf numFmtId="187" fontId="19" fillId="2" borderId="0" xfId="2" applyNumberFormat="1" applyFont="1" applyFill="1" applyAlignment="1">
      <alignment horizontal="center"/>
    </xf>
    <xf numFmtId="2" fontId="16" fillId="2" borderId="0" xfId="2" applyNumberFormat="1" applyFill="1"/>
    <xf numFmtId="187" fontId="17" fillId="2" borderId="0" xfId="2" applyNumberFormat="1" applyFont="1" applyFill="1" applyAlignment="1">
      <alignment horizontal="center"/>
    </xf>
    <xf numFmtId="0" fontId="19" fillId="2" borderId="0" xfId="2" applyFont="1" applyFill="1" applyAlignment="1">
      <alignment horizontal="center"/>
    </xf>
    <xf numFmtId="2" fontId="19" fillId="2" borderId="0" xfId="2" applyNumberFormat="1" applyFont="1" applyFill="1"/>
    <xf numFmtId="0" fontId="19" fillId="2" borderId="0" xfId="2" applyFont="1" applyFill="1"/>
    <xf numFmtId="0" fontId="16" fillId="2" borderId="0" xfId="2" applyFont="1" applyFill="1" applyAlignment="1">
      <alignment horizontal="center"/>
    </xf>
    <xf numFmtId="0" fontId="19" fillId="0" borderId="0" xfId="2" applyFont="1"/>
    <xf numFmtId="187" fontId="19" fillId="0" borderId="0" xfId="2" applyNumberFormat="1" applyFont="1" applyAlignment="1">
      <alignment horizontal="center"/>
    </xf>
    <xf numFmtId="0" fontId="19" fillId="0" borderId="0" xfId="2" applyFont="1" applyAlignment="1">
      <alignment horizontal="center"/>
    </xf>
    <xf numFmtId="2" fontId="19" fillId="0" borderId="0" xfId="2" applyNumberFormat="1" applyFont="1"/>
    <xf numFmtId="0" fontId="16" fillId="0" borderId="0" xfId="2" applyFont="1" applyAlignment="1">
      <alignment horizontal="center"/>
    </xf>
    <xf numFmtId="187" fontId="16" fillId="0" borderId="0" xfId="2" applyNumberFormat="1" applyAlignment="1">
      <alignment horizontal="center"/>
    </xf>
    <xf numFmtId="0" fontId="16" fillId="0" borderId="0" xfId="2" applyAlignment="1">
      <alignment horizontal="center"/>
    </xf>
    <xf numFmtId="2" fontId="16" fillId="0" borderId="0" xfId="2" applyNumberFormat="1"/>
    <xf numFmtId="2" fontId="16" fillId="0" borderId="0" xfId="2" applyNumberFormat="1" applyAlignment="1">
      <alignment horizontal="center"/>
    </xf>
    <xf numFmtId="2" fontId="16" fillId="2" borderId="0" xfId="2" applyNumberFormat="1" applyFill="1" applyAlignment="1">
      <alignment horizontal="center"/>
    </xf>
    <xf numFmtId="2" fontId="16" fillId="0" borderId="0" xfId="2" applyNumberFormat="1" applyFont="1" applyAlignment="1">
      <alignment horizontal="center"/>
    </xf>
    <xf numFmtId="2" fontId="16" fillId="0" borderId="0" xfId="2" applyNumberFormat="1" applyFont="1"/>
    <xf numFmtId="187" fontId="17" fillId="3" borderId="0" xfId="1" applyNumberFormat="1" applyFont="1" applyFill="1" applyAlignment="1">
      <alignment horizontal="left"/>
    </xf>
    <xf numFmtId="0" fontId="20" fillId="3" borderId="0" xfId="1" applyFont="1" applyFill="1" applyAlignment="1">
      <alignment horizontal="center"/>
    </xf>
    <xf numFmtId="0" fontId="20" fillId="3" borderId="0" xfId="1" applyFont="1" applyFill="1"/>
    <xf numFmtId="0" fontId="16" fillId="3" borderId="0" xfId="1" applyFill="1" applyAlignment="1">
      <alignment horizontal="center"/>
    </xf>
    <xf numFmtId="0" fontId="16" fillId="3" borderId="0" xfId="1" applyFont="1" applyFill="1" applyAlignment="1">
      <alignment horizontal="center"/>
    </xf>
    <xf numFmtId="0" fontId="16" fillId="3" borderId="0" xfId="1" applyFill="1"/>
    <xf numFmtId="0" fontId="16" fillId="0" borderId="0" xfId="1"/>
    <xf numFmtId="187" fontId="16" fillId="3" borderId="0" xfId="1" applyNumberFormat="1" applyFill="1" applyAlignment="1">
      <alignment horizontal="center"/>
    </xf>
    <xf numFmtId="187" fontId="19" fillId="3" borderId="0" xfId="1" applyNumberFormat="1" applyFont="1" applyFill="1" applyAlignment="1">
      <alignment horizontal="center"/>
    </xf>
    <xf numFmtId="0" fontId="19" fillId="3" borderId="0" xfId="1" applyFont="1" applyFill="1" applyAlignment="1">
      <alignment horizontal="center"/>
    </xf>
    <xf numFmtId="0" fontId="19" fillId="3" borderId="0" xfId="1" applyFont="1" applyFill="1"/>
    <xf numFmtId="187" fontId="19" fillId="0" borderId="0" xfId="1" applyNumberFormat="1" applyFont="1" applyAlignment="1">
      <alignment horizontal="center"/>
    </xf>
    <xf numFmtId="0" fontId="19" fillId="0" borderId="0" xfId="1" applyFont="1" applyAlignment="1">
      <alignment horizontal="center"/>
    </xf>
    <xf numFmtId="0" fontId="19" fillId="0" borderId="0" xfId="1" applyFont="1"/>
    <xf numFmtId="0" fontId="16" fillId="0" borderId="0" xfId="1" applyFont="1" applyAlignment="1">
      <alignment horizontal="center"/>
    </xf>
    <xf numFmtId="187" fontId="16" fillId="0" borderId="0" xfId="1" applyNumberFormat="1" applyAlignment="1">
      <alignment horizontal="center"/>
    </xf>
    <xf numFmtId="2" fontId="16" fillId="0" borderId="0" xfId="1" applyNumberFormat="1" applyAlignment="1">
      <alignment horizontal="center"/>
    </xf>
    <xf numFmtId="2" fontId="16" fillId="0" borderId="0" xfId="1" applyNumberFormat="1"/>
    <xf numFmtId="2" fontId="16" fillId="0" borderId="0" xfId="1" applyNumberFormat="1" applyFont="1" applyAlignment="1">
      <alignment horizontal="center"/>
    </xf>
    <xf numFmtId="187" fontId="16" fillId="0" borderId="0" xfId="1" applyNumberFormat="1" applyFont="1" applyAlignment="1">
      <alignment horizontal="center"/>
    </xf>
    <xf numFmtId="187" fontId="17" fillId="3" borderId="0" xfId="1" applyNumberFormat="1" applyFont="1" applyFill="1" applyAlignment="1">
      <alignment horizontal="center"/>
    </xf>
    <xf numFmtId="0" fontId="21" fillId="3" borderId="0" xfId="1" applyFont="1" applyFill="1" applyAlignment="1">
      <alignment horizontal="center"/>
    </xf>
    <xf numFmtId="2" fontId="16" fillId="3" borderId="0" xfId="1" applyNumberFormat="1" applyFill="1"/>
    <xf numFmtId="0" fontId="16" fillId="0" borderId="0" xfId="1" applyAlignment="1">
      <alignment horizontal="center"/>
    </xf>
    <xf numFmtId="0" fontId="16" fillId="0" borderId="0" xfId="1" applyFont="1"/>
    <xf numFmtId="175" fontId="5" fillId="0" borderId="2" xfId="0" applyNumberFormat="1" applyFont="1" applyBorder="1" applyAlignment="1"/>
    <xf numFmtId="0" fontId="4" fillId="0" borderId="2" xfId="0" applyFont="1" applyBorder="1" applyAlignment="1">
      <alignment horizontal="center"/>
    </xf>
    <xf numFmtId="0" fontId="5" fillId="0" borderId="0" xfId="0" applyNumberFormat="1" applyFont="1" applyAlignment="1">
      <alignment horizontal="right"/>
    </xf>
    <xf numFmtId="0" fontId="5" fillId="0" borderId="0" xfId="0" applyFont="1" applyAlignment="1">
      <alignment horizontal="right"/>
    </xf>
    <xf numFmtId="175" fontId="4" fillId="0" borderId="3" xfId="0" applyNumberFormat="1" applyFont="1" applyBorder="1"/>
    <xf numFmtId="175" fontId="4" fillId="0" borderId="5" xfId="0" applyNumberFormat="1" applyFont="1" applyBorder="1"/>
    <xf numFmtId="175" fontId="5" fillId="0" borderId="0" xfId="0" applyNumberFormat="1" applyFont="1" applyBorder="1"/>
    <xf numFmtId="175" fontId="3" fillId="0" borderId="5" xfId="0" applyNumberFormat="1" applyFont="1" applyBorder="1"/>
    <xf numFmtId="175" fontId="4" fillId="0" borderId="6" xfId="0" applyNumberFormat="1" applyFont="1" applyBorder="1"/>
    <xf numFmtId="175" fontId="12" fillId="0" borderId="2" xfId="0" applyNumberFormat="1" applyFont="1" applyBorder="1"/>
    <xf numFmtId="4" fontId="4" fillId="0" borderId="0" xfId="0" applyNumberFormat="1" applyFont="1"/>
    <xf numFmtId="4" fontId="4" fillId="0" borderId="3" xfId="0" applyNumberFormat="1" applyFont="1" applyBorder="1"/>
    <xf numFmtId="206" fontId="4" fillId="0" borderId="0" xfId="0" applyNumberFormat="1" applyFont="1"/>
    <xf numFmtId="206" fontId="5" fillId="0" borderId="0" xfId="0" applyNumberFormat="1" applyFont="1"/>
    <xf numFmtId="206" fontId="4" fillId="0" borderId="5" xfId="0" applyNumberFormat="1" applyFont="1" applyBorder="1"/>
    <xf numFmtId="206" fontId="3" fillId="0" borderId="7" xfId="0" applyNumberFormat="1" applyFont="1" applyBorder="1"/>
    <xf numFmtId="206" fontId="3" fillId="0" borderId="0" xfId="0" applyNumberFormat="1" applyFont="1"/>
    <xf numFmtId="206" fontId="3" fillId="0" borderId="5" xfId="0" applyNumberFormat="1" applyFont="1" applyBorder="1"/>
    <xf numFmtId="206" fontId="4" fillId="0" borderId="7" xfId="0" applyNumberFormat="1" applyFont="1" applyBorder="1"/>
    <xf numFmtId="206" fontId="5" fillId="0" borderId="8" xfId="0" applyNumberFormat="1" applyFont="1" applyBorder="1"/>
    <xf numFmtId="174" fontId="5" fillId="0" borderId="0" xfId="0" applyNumberFormat="1" applyFont="1"/>
    <xf numFmtId="175" fontId="5" fillId="0" borderId="8" xfId="0" applyNumberFormat="1" applyFont="1" applyBorder="1" applyAlignment="1" applyProtection="1">
      <alignment horizontal="right"/>
      <protection locked="0"/>
    </xf>
    <xf numFmtId="206" fontId="4" fillId="0" borderId="0" xfId="0" applyNumberFormat="1" applyFont="1" applyAlignment="1">
      <alignment horizontal="center"/>
    </xf>
    <xf numFmtId="175" fontId="12" fillId="0" borderId="8" xfId="0" applyNumberFormat="1" applyFont="1" applyBorder="1"/>
    <xf numFmtId="2" fontId="22" fillId="0" borderId="0" xfId="1" applyNumberFormat="1" applyFont="1"/>
    <xf numFmtId="0" fontId="16" fillId="0" borderId="0" xfId="1" applyFont="1" applyAlignment="1">
      <alignment horizontal="left"/>
    </xf>
    <xf numFmtId="49" fontId="23" fillId="0" borderId="0" xfId="0" applyNumberFormat="1" applyFont="1" applyAlignment="1">
      <alignment horizontal="center"/>
    </xf>
    <xf numFmtId="49" fontId="23" fillId="0" borderId="9" xfId="0" applyNumberFormat="1" applyFont="1" applyBorder="1" applyAlignment="1">
      <alignment horizontal="center"/>
    </xf>
    <xf numFmtId="49" fontId="23" fillId="0" borderId="0" xfId="0" applyNumberFormat="1" applyFont="1"/>
    <xf numFmtId="39" fontId="14" fillId="0" borderId="0" xfId="0" applyNumberFormat="1" applyFont="1"/>
    <xf numFmtId="39" fontId="14" fillId="0" borderId="10" xfId="0" applyNumberFormat="1" applyFont="1" applyBorder="1"/>
    <xf numFmtId="0" fontId="23" fillId="0" borderId="0" xfId="0" applyFont="1"/>
    <xf numFmtId="39" fontId="14" fillId="0" borderId="11" xfId="0" applyNumberFormat="1" applyFont="1" applyBorder="1"/>
    <xf numFmtId="0" fontId="23" fillId="0" borderId="0" xfId="0" applyNumberFormat="1" applyFont="1"/>
    <xf numFmtId="39" fontId="23" fillId="0" borderId="12" xfId="0" applyNumberFormat="1" applyFont="1" applyBorder="1"/>
    <xf numFmtId="39" fontId="23" fillId="0" borderId="0" xfId="0" applyNumberFormat="1" applyFont="1" applyBorder="1"/>
    <xf numFmtId="0" fontId="4" fillId="0" borderId="0" xfId="0" applyFont="1" applyAlignment="1">
      <alignment horizontal="left" vertical="top" wrapText="1"/>
    </xf>
  </cellXfs>
  <cellStyles count="4">
    <cellStyle name="Normal_WFDF 2002 Rec.  Exp" xfId="1" xr:uid="{DA9C5163-2C4F-4BE3-BB34-09AD695B2AB3}"/>
    <cellStyle name="Normal_WFDF 2002 Rec.  Exp (by Stork)2" xfId="2" xr:uid="{BE795DB8-C498-4D60-88CE-5971A7599DD2}"/>
    <cellStyle name="Normal_wfdfsu98" xfId="3" xr:uid="{63B251E4-1313-40A8-8E5A-9886303563E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3CAD-90D2-4C8B-A8C0-C6A4AF3187D6}">
  <sheetPr>
    <pageSetUpPr fitToPage="1"/>
  </sheetPr>
  <dimension ref="A1:T52"/>
  <sheetViews>
    <sheetView tabSelected="1" workbookViewId="0">
      <pane xSplit="2" ySplit="2" topLeftCell="C3" activePane="bottomRight" state="frozen"/>
      <selection pane="topRight" activeCell="C1" sqref="C1"/>
      <selection pane="bottomLeft" activeCell="A3" sqref="A3"/>
      <selection pane="bottomRight" activeCell="P32" sqref="P32"/>
    </sheetView>
  </sheetViews>
  <sheetFormatPr baseColWidth="10" defaultColWidth="9.140625" defaultRowHeight="12.75"/>
  <cols>
    <col min="1" max="1" width="2.28515625" style="1" customWidth="1"/>
    <col min="2" max="2" width="19.85546875" style="1" customWidth="1"/>
    <col min="3" max="3" width="10.7109375" style="1" customWidth="1"/>
    <col min="4" max="4" width="1.42578125" style="1" customWidth="1"/>
    <col min="5" max="5" width="10.7109375" style="2" customWidth="1"/>
    <col min="6" max="6" width="1.7109375" style="2" customWidth="1"/>
    <col min="7" max="7" width="10.7109375" style="3" customWidth="1"/>
    <col min="8" max="8" width="1.7109375" style="3" customWidth="1"/>
    <col min="9" max="9" width="10.7109375" style="3" customWidth="1"/>
    <col min="10" max="10" width="1.42578125" style="3" customWidth="1"/>
    <col min="11" max="11" width="10.42578125" style="5" customWidth="1"/>
    <col min="12" max="12" width="2.140625" style="3" customWidth="1"/>
    <col min="13" max="13" width="12.140625" style="3" customWidth="1"/>
    <col min="14" max="14" width="8.140625" style="3" customWidth="1"/>
    <col min="15" max="16384" width="9.140625" style="3"/>
  </cols>
  <sheetData>
    <row r="1" spans="1:20">
      <c r="M1" s="104" t="s">
        <v>113</v>
      </c>
    </row>
    <row r="2" spans="1:20" s="8" customFormat="1">
      <c r="A2" s="6"/>
      <c r="B2" s="7"/>
      <c r="C2" s="4" t="s">
        <v>114</v>
      </c>
      <c r="D2" s="4"/>
      <c r="E2" s="4" t="s">
        <v>115</v>
      </c>
      <c r="F2" s="4"/>
      <c r="G2" s="4" t="s">
        <v>116</v>
      </c>
      <c r="H2" s="4"/>
      <c r="I2" s="4" t="s">
        <v>117</v>
      </c>
      <c r="J2" s="4"/>
      <c r="K2" s="103">
        <v>2002</v>
      </c>
      <c r="M2" s="104">
        <v>2003</v>
      </c>
    </row>
    <row r="3" spans="1:20" s="8" customFormat="1">
      <c r="A3" s="6"/>
      <c r="B3" s="7"/>
      <c r="C3" s="7"/>
      <c r="D3" s="7"/>
      <c r="E3" s="7"/>
      <c r="F3" s="7"/>
      <c r="G3" s="7"/>
      <c r="H3" s="7"/>
      <c r="I3" s="7"/>
      <c r="J3" s="7"/>
      <c r="K3" s="9"/>
    </row>
    <row r="4" spans="1:20" s="8" customFormat="1" ht="12.75" customHeight="1">
      <c r="A4" s="10" t="s">
        <v>118</v>
      </c>
      <c r="B4" s="11"/>
      <c r="C4" s="12">
        <v>15023.53</v>
      </c>
      <c r="D4" s="13"/>
      <c r="E4" s="12">
        <f>C33</f>
        <v>13204.939405204461</v>
      </c>
      <c r="F4" s="14"/>
      <c r="G4" s="12">
        <f>E33</f>
        <v>69161.819405204471</v>
      </c>
      <c r="H4" s="14"/>
      <c r="I4" s="12">
        <f>G33</f>
        <v>58643.27940520447</v>
      </c>
      <c r="J4" s="14"/>
      <c r="K4" s="101">
        <f>I33</f>
        <v>53651.229405204474</v>
      </c>
      <c r="L4" s="102"/>
      <c r="M4" s="122">
        <f>K33</f>
        <v>55494.09940520447</v>
      </c>
      <c r="O4" s="137" t="s">
        <v>172</v>
      </c>
      <c r="P4" s="137"/>
      <c r="Q4" s="137"/>
      <c r="R4" s="137"/>
      <c r="S4" s="137"/>
      <c r="T4" s="137"/>
    </row>
    <row r="5" spans="1:20" s="8" customFormat="1" ht="15.75">
      <c r="A5" s="6"/>
      <c r="B5" s="7"/>
      <c r="C5" s="15"/>
      <c r="D5" s="16"/>
      <c r="E5" s="17"/>
      <c r="F5" s="18"/>
      <c r="G5" s="17"/>
      <c r="H5" s="18"/>
      <c r="I5" s="17"/>
      <c r="J5" s="18"/>
      <c r="K5" s="9"/>
      <c r="M5" s="123"/>
      <c r="O5" s="137"/>
      <c r="P5" s="137"/>
      <c r="Q5" s="137"/>
      <c r="R5" s="137"/>
      <c r="S5" s="137"/>
      <c r="T5" s="137"/>
    </row>
    <row r="6" spans="1:20" ht="15.75">
      <c r="A6" s="19" t="s">
        <v>119</v>
      </c>
      <c r="B6" s="20"/>
      <c r="C6" s="15"/>
      <c r="D6" s="16"/>
      <c r="E6" s="15"/>
      <c r="F6" s="18"/>
      <c r="G6" s="15"/>
      <c r="H6" s="18"/>
      <c r="I6" s="15"/>
      <c r="J6" s="18"/>
      <c r="M6" s="113"/>
      <c r="O6" s="137"/>
      <c r="P6" s="137"/>
      <c r="Q6" s="137"/>
      <c r="R6" s="137"/>
      <c r="S6" s="137"/>
      <c r="T6" s="137"/>
    </row>
    <row r="7" spans="1:20" ht="15.75">
      <c r="A7" s="21"/>
      <c r="B7" s="20" t="s">
        <v>120</v>
      </c>
      <c r="C7" s="22">
        <v>1705.26</v>
      </c>
      <c r="D7" s="18"/>
      <c r="E7" s="15">
        <v>2496</v>
      </c>
      <c r="F7" s="18"/>
      <c r="G7" s="15">
        <v>3684.14</v>
      </c>
      <c r="H7" s="18"/>
      <c r="I7" s="15">
        <v>3110</v>
      </c>
      <c r="J7" s="18"/>
      <c r="K7" s="5">
        <v>5354.09</v>
      </c>
      <c r="M7" s="113">
        <v>6542</v>
      </c>
      <c r="O7" s="137"/>
      <c r="P7" s="137"/>
      <c r="Q7" s="137"/>
      <c r="R7" s="137"/>
      <c r="S7" s="137"/>
      <c r="T7" s="137"/>
    </row>
    <row r="8" spans="1:20" ht="15.75">
      <c r="A8" s="21"/>
      <c r="B8" s="20" t="s">
        <v>121</v>
      </c>
      <c r="C8" s="15">
        <v>0</v>
      </c>
      <c r="D8" s="18"/>
      <c r="E8" s="15">
        <v>55000</v>
      </c>
      <c r="F8" s="18">
        <v>5</v>
      </c>
      <c r="G8" s="23">
        <v>0</v>
      </c>
      <c r="H8" s="18"/>
      <c r="I8" s="24">
        <v>0</v>
      </c>
      <c r="J8" s="18"/>
      <c r="K8" s="5">
        <v>0</v>
      </c>
      <c r="M8" s="113"/>
      <c r="O8" s="137"/>
      <c r="P8" s="137"/>
      <c r="Q8" s="137"/>
      <c r="R8" s="137"/>
      <c r="S8" s="137"/>
      <c r="T8" s="137"/>
    </row>
    <row r="9" spans="1:20" ht="15.75">
      <c r="A9" s="21"/>
      <c r="B9" s="20" t="s">
        <v>2</v>
      </c>
      <c r="C9" s="15">
        <v>12391.57</v>
      </c>
      <c r="D9" s="18"/>
      <c r="E9" s="15">
        <v>8907.66</v>
      </c>
      <c r="F9" s="18"/>
      <c r="G9" s="15">
        <v>1655.09</v>
      </c>
      <c r="H9" s="18"/>
      <c r="I9" s="15">
        <v>7398</v>
      </c>
      <c r="J9" s="18"/>
      <c r="K9" s="5">
        <v>16360</v>
      </c>
      <c r="M9" s="113"/>
      <c r="O9" s="137"/>
      <c r="P9" s="137"/>
      <c r="Q9" s="137"/>
      <c r="R9" s="137"/>
      <c r="S9" s="137"/>
      <c r="T9" s="137"/>
    </row>
    <row r="10" spans="1:20" ht="15.75">
      <c r="A10" s="21"/>
      <c r="B10" s="20" t="s">
        <v>122</v>
      </c>
      <c r="C10" s="15">
        <v>0</v>
      </c>
      <c r="D10" s="18"/>
      <c r="E10" s="15">
        <v>4000</v>
      </c>
      <c r="F10" s="18">
        <v>6</v>
      </c>
      <c r="G10" s="15">
        <v>0</v>
      </c>
      <c r="H10" s="18"/>
      <c r="I10" s="24">
        <v>0</v>
      </c>
      <c r="J10" s="18"/>
      <c r="K10" s="5">
        <v>0</v>
      </c>
      <c r="M10" s="113"/>
      <c r="O10" s="137"/>
      <c r="P10" s="137"/>
      <c r="Q10" s="137"/>
      <c r="R10" s="137"/>
      <c r="S10" s="137"/>
      <c r="T10" s="137"/>
    </row>
    <row r="11" spans="1:20" ht="15.75">
      <c r="A11" s="21"/>
      <c r="B11" s="20" t="s">
        <v>123</v>
      </c>
      <c r="C11" s="15">
        <v>0</v>
      </c>
      <c r="D11" s="18"/>
      <c r="E11" s="15">
        <v>0</v>
      </c>
      <c r="F11" s="18"/>
      <c r="G11" s="15">
        <v>0</v>
      </c>
      <c r="H11" s="18"/>
      <c r="I11" s="15">
        <v>2000</v>
      </c>
      <c r="J11" s="18"/>
      <c r="K11" s="5">
        <v>5506</v>
      </c>
      <c r="L11" s="25"/>
      <c r="M11" s="113">
        <v>500</v>
      </c>
      <c r="O11" s="137"/>
      <c r="P11" s="137"/>
      <c r="Q11" s="137"/>
      <c r="R11" s="137"/>
      <c r="S11" s="137"/>
      <c r="T11" s="137"/>
    </row>
    <row r="12" spans="1:20" ht="15.75">
      <c r="A12" s="21"/>
      <c r="B12" s="20" t="s">
        <v>13</v>
      </c>
      <c r="C12" s="15">
        <v>232.90954151177201</v>
      </c>
      <c r="D12" s="18"/>
      <c r="E12" s="15">
        <v>0</v>
      </c>
      <c r="F12" s="18"/>
      <c r="G12" s="15">
        <v>64.790000000000006</v>
      </c>
      <c r="H12" s="18"/>
      <c r="I12" s="15">
        <v>762.45</v>
      </c>
      <c r="J12" s="18"/>
      <c r="K12" s="5">
        <v>340.16</v>
      </c>
      <c r="L12" s="25"/>
      <c r="M12" s="113">
        <v>69.09</v>
      </c>
      <c r="O12" s="137"/>
      <c r="P12" s="137"/>
      <c r="Q12" s="137"/>
      <c r="R12" s="137"/>
      <c r="S12" s="137"/>
      <c r="T12" s="137"/>
    </row>
    <row r="13" spans="1:20" ht="15.75">
      <c r="A13" s="21"/>
      <c r="B13" s="20" t="s">
        <v>124</v>
      </c>
      <c r="C13" s="26">
        <v>2388.5700000000002</v>
      </c>
      <c r="D13" s="18"/>
      <c r="E13" s="26">
        <v>0</v>
      </c>
      <c r="F13" s="18"/>
      <c r="G13" s="26">
        <v>0</v>
      </c>
      <c r="H13" s="18"/>
      <c r="I13" s="26">
        <v>1062</v>
      </c>
      <c r="J13" s="18"/>
      <c r="K13" s="105">
        <v>5014</v>
      </c>
      <c r="L13" s="27" t="s">
        <v>125</v>
      </c>
      <c r="M13" s="112"/>
      <c r="O13" s="137"/>
      <c r="P13" s="137"/>
      <c r="Q13" s="137"/>
      <c r="R13" s="137"/>
      <c r="S13" s="137"/>
      <c r="T13" s="137"/>
    </row>
    <row r="14" spans="1:20" ht="2.25" customHeight="1">
      <c r="A14" s="21"/>
      <c r="B14" s="20"/>
      <c r="C14" s="15"/>
      <c r="D14" s="18"/>
      <c r="E14" s="15"/>
      <c r="F14" s="18"/>
      <c r="G14" s="15"/>
      <c r="H14" s="18"/>
      <c r="I14" s="15"/>
      <c r="J14" s="18"/>
      <c r="M14" s="111"/>
    </row>
    <row r="15" spans="1:20" ht="15.75">
      <c r="A15" s="3"/>
      <c r="B15" s="19" t="s">
        <v>126</v>
      </c>
      <c r="C15" s="28">
        <f>SUM(C6:C13)</f>
        <v>16718.309541511771</v>
      </c>
      <c r="D15" s="18"/>
      <c r="E15" s="28">
        <f>SUM(E6:E13)</f>
        <v>70403.66</v>
      </c>
      <c r="F15" s="18"/>
      <c r="G15" s="28">
        <f>SUM(G6:G13)</f>
        <v>5404.0199999999995</v>
      </c>
      <c r="H15" s="18"/>
      <c r="I15" s="28">
        <f>SUM(I6:I13)</f>
        <v>14332.45</v>
      </c>
      <c r="J15" s="18"/>
      <c r="K15" s="107">
        <f>SUM(K6:K13)</f>
        <v>32574.25</v>
      </c>
      <c r="M15" s="114">
        <f>SUM(M6:M13)</f>
        <v>7111.09</v>
      </c>
    </row>
    <row r="16" spans="1:20" ht="2.25" customHeight="1">
      <c r="A16" s="3"/>
      <c r="B16" s="19"/>
      <c r="C16" s="30"/>
      <c r="D16" s="18"/>
      <c r="E16" s="30"/>
      <c r="F16" s="18"/>
      <c r="G16" s="30"/>
      <c r="H16" s="18"/>
      <c r="I16" s="30"/>
      <c r="J16" s="18"/>
      <c r="M16" s="113"/>
    </row>
    <row r="17" spans="1:13" ht="15.75">
      <c r="A17" s="19"/>
      <c r="B17" s="31"/>
      <c r="C17" s="15"/>
      <c r="D17" s="18"/>
      <c r="E17" s="15"/>
      <c r="F17" s="18"/>
      <c r="G17" s="15"/>
      <c r="H17" s="18"/>
      <c r="I17" s="15"/>
      <c r="J17" s="18"/>
      <c r="K17" s="106"/>
      <c r="M17" s="115"/>
    </row>
    <row r="18" spans="1:13" ht="15.75">
      <c r="A18" s="19" t="s">
        <v>127</v>
      </c>
      <c r="B18" s="20"/>
      <c r="C18" s="15"/>
      <c r="D18" s="18"/>
      <c r="E18" s="15"/>
      <c r="F18" s="18"/>
      <c r="G18" s="15"/>
      <c r="H18" s="18"/>
      <c r="I18" s="15"/>
      <c r="J18" s="18"/>
      <c r="M18" s="113"/>
    </row>
    <row r="19" spans="1:13" ht="15.75">
      <c r="A19" s="21"/>
      <c r="B19" s="20" t="s">
        <v>128</v>
      </c>
      <c r="C19" s="15">
        <v>2969.44</v>
      </c>
      <c r="D19" s="18"/>
      <c r="E19" s="15">
        <v>9179.6299999999992</v>
      </c>
      <c r="F19" s="18">
        <v>7</v>
      </c>
      <c r="G19" s="15">
        <v>8797.44</v>
      </c>
      <c r="H19" s="18">
        <v>7</v>
      </c>
      <c r="I19" s="15">
        <f>8238.33</f>
        <v>8238.33</v>
      </c>
      <c r="J19" s="18">
        <v>7</v>
      </c>
      <c r="K19" s="5">
        <v>14000</v>
      </c>
      <c r="M19" s="113">
        <v>7014.09</v>
      </c>
    </row>
    <row r="20" spans="1:13" ht="15.75">
      <c r="A20" s="21"/>
      <c r="B20" s="20" t="s">
        <v>129</v>
      </c>
      <c r="C20" s="15">
        <v>336.27013630731108</v>
      </c>
      <c r="D20" s="18"/>
      <c r="E20" s="15">
        <v>0</v>
      </c>
      <c r="F20" s="18"/>
      <c r="G20" s="15">
        <v>0</v>
      </c>
      <c r="H20" s="18"/>
      <c r="I20" s="15">
        <v>200</v>
      </c>
      <c r="J20" s="18"/>
      <c r="K20" s="5">
        <v>347.65</v>
      </c>
      <c r="M20" s="113">
        <v>134</v>
      </c>
    </row>
    <row r="21" spans="1:13" ht="15.75">
      <c r="A21" s="21"/>
      <c r="B21" s="20" t="s">
        <v>68</v>
      </c>
      <c r="C21" s="15">
        <v>0</v>
      </c>
      <c r="D21" s="18"/>
      <c r="E21" s="15">
        <v>1529.6</v>
      </c>
      <c r="F21" s="18"/>
      <c r="G21" s="15">
        <v>1728.76</v>
      </c>
      <c r="H21" s="18"/>
      <c r="I21" s="15">
        <v>8054.12</v>
      </c>
      <c r="J21" s="18"/>
      <c r="K21" s="5">
        <f>8821.24-118.52</f>
        <v>8702.7199999999993</v>
      </c>
      <c r="L21" s="3" t="s">
        <v>125</v>
      </c>
      <c r="M21" s="113">
        <v>835.91</v>
      </c>
    </row>
    <row r="22" spans="1:13" ht="15.75">
      <c r="A22" s="21"/>
      <c r="B22" s="20" t="s">
        <v>130</v>
      </c>
      <c r="C22" s="15">
        <v>0</v>
      </c>
      <c r="D22" s="18"/>
      <c r="E22" s="15">
        <v>872.07</v>
      </c>
      <c r="F22" s="18"/>
      <c r="G22" s="15">
        <v>459.37</v>
      </c>
      <c r="H22" s="18"/>
      <c r="I22" s="15">
        <v>447.17</v>
      </c>
      <c r="J22" s="18"/>
      <c r="K22" s="5">
        <v>2875.88</v>
      </c>
      <c r="M22" s="113"/>
    </row>
    <row r="23" spans="1:13" ht="15.75">
      <c r="A23" s="21"/>
      <c r="B23" s="20" t="s">
        <v>3</v>
      </c>
      <c r="C23" s="15">
        <v>2234.5500000000002</v>
      </c>
      <c r="D23" s="18"/>
      <c r="E23" s="15">
        <v>2797.25</v>
      </c>
      <c r="F23" s="18"/>
      <c r="G23" s="15">
        <v>4784.49</v>
      </c>
      <c r="H23" s="18"/>
      <c r="I23" s="15">
        <v>2384.88</v>
      </c>
      <c r="J23" s="18"/>
      <c r="K23" s="5">
        <v>2313.1999999999998</v>
      </c>
      <c r="M23" s="113">
        <v>2884.8</v>
      </c>
    </row>
    <row r="24" spans="1:13" ht="15.75">
      <c r="A24" s="21"/>
      <c r="B24" s="20" t="s">
        <v>131</v>
      </c>
      <c r="C24" s="22">
        <v>12996.64</v>
      </c>
      <c r="D24" s="18">
        <v>4</v>
      </c>
      <c r="E24" s="15">
        <v>0</v>
      </c>
      <c r="F24" s="18"/>
      <c r="G24" s="15">
        <v>0</v>
      </c>
      <c r="H24" s="18"/>
      <c r="I24" s="15">
        <v>0</v>
      </c>
      <c r="J24" s="18"/>
      <c r="K24" s="5">
        <v>491.93</v>
      </c>
      <c r="M24" s="113"/>
    </row>
    <row r="25" spans="1:13" ht="15.75">
      <c r="A25" s="21"/>
      <c r="B25" s="20" t="s">
        <v>132</v>
      </c>
      <c r="C25" s="26">
        <v>0</v>
      </c>
      <c r="D25" s="18"/>
      <c r="E25" s="26">
        <v>68.23</v>
      </c>
      <c r="F25" s="18"/>
      <c r="G25" s="26">
        <v>152.5</v>
      </c>
      <c r="H25" s="18"/>
      <c r="I25" s="26">
        <v>0</v>
      </c>
      <c r="J25" s="18"/>
      <c r="K25" s="105">
        <v>2000</v>
      </c>
      <c r="M25" s="113"/>
    </row>
    <row r="26" spans="1:13" ht="2.25" customHeight="1" thickBot="1">
      <c r="A26" s="21"/>
      <c r="B26" s="20"/>
      <c r="C26" s="15"/>
      <c r="D26" s="18"/>
      <c r="E26" s="15"/>
      <c r="F26" s="18"/>
      <c r="G26" s="15"/>
      <c r="H26" s="18"/>
      <c r="I26" s="15"/>
      <c r="J26" s="18"/>
      <c r="M26" s="113"/>
    </row>
    <row r="27" spans="1:13" s="32" customFormat="1" ht="16.5" thickTop="1">
      <c r="B27" s="19" t="s">
        <v>133</v>
      </c>
      <c r="C27" s="28">
        <f>SUM(C19:C25)</f>
        <v>18536.900136307311</v>
      </c>
      <c r="D27" s="18"/>
      <c r="E27" s="28">
        <f>SUM(E19:E25)</f>
        <v>14446.779999999999</v>
      </c>
      <c r="F27" s="18"/>
      <c r="G27" s="28">
        <f>SUM(G19:G25)</f>
        <v>15922.560000000001</v>
      </c>
      <c r="H27" s="18"/>
      <c r="I27" s="28">
        <f>SUM(I19:I25)</f>
        <v>19324.5</v>
      </c>
      <c r="J27" s="18"/>
      <c r="K27" s="108">
        <f>SUM(K19:K25)</f>
        <v>30731.38</v>
      </c>
      <c r="M27" s="116">
        <f>SUM(M19:M25)</f>
        <v>10868.8</v>
      </c>
    </row>
    <row r="28" spans="1:13" s="32" customFormat="1" ht="2.25" customHeight="1">
      <c r="B28" s="19"/>
      <c r="C28" s="30"/>
      <c r="D28" s="18"/>
      <c r="E28" s="30"/>
      <c r="F28" s="18"/>
      <c r="G28" s="30"/>
      <c r="H28" s="18"/>
      <c r="I28" s="30"/>
      <c r="J28" s="18"/>
      <c r="K28" s="33"/>
      <c r="M28" s="117"/>
    </row>
    <row r="29" spans="1:13" s="32" customFormat="1" ht="15.75">
      <c r="A29" s="19"/>
      <c r="B29" s="31"/>
      <c r="C29" s="15"/>
      <c r="D29" s="18"/>
      <c r="E29" s="15"/>
      <c r="F29" s="18"/>
      <c r="G29" s="15"/>
      <c r="H29" s="18"/>
      <c r="I29" s="15"/>
      <c r="J29" s="18"/>
      <c r="K29" s="108"/>
      <c r="M29" s="118"/>
    </row>
    <row r="30" spans="1:13" ht="15.75">
      <c r="A30" s="19" t="s">
        <v>134</v>
      </c>
      <c r="B30" s="31"/>
      <c r="C30" s="28">
        <f>C15-C27</f>
        <v>-1818.5905947955398</v>
      </c>
      <c r="D30" s="18"/>
      <c r="E30" s="28">
        <f>E15-E27</f>
        <v>55956.880000000005</v>
      </c>
      <c r="F30" s="18"/>
      <c r="G30" s="28">
        <f>G15-G27</f>
        <v>-10518.54</v>
      </c>
      <c r="H30" s="18"/>
      <c r="I30" s="28">
        <f>I15-I27</f>
        <v>-4992.0499999999993</v>
      </c>
      <c r="J30" s="18"/>
      <c r="K30" s="34">
        <f>K15-K27</f>
        <v>1842.869999999999</v>
      </c>
      <c r="M30" s="121">
        <f>M15-M27</f>
        <v>-3757.7099999999991</v>
      </c>
    </row>
    <row r="31" spans="1:13" ht="1.5" customHeight="1" thickBot="1">
      <c r="A31" s="19"/>
      <c r="B31" s="31"/>
      <c r="C31" s="35"/>
      <c r="D31" s="18"/>
      <c r="E31" s="35"/>
      <c r="F31" s="18"/>
      <c r="G31" s="35"/>
      <c r="H31" s="18"/>
      <c r="I31" s="35"/>
      <c r="J31" s="18"/>
      <c r="M31" s="113"/>
    </row>
    <row r="32" spans="1:13" ht="16.5" thickTop="1">
      <c r="C32" s="24"/>
      <c r="D32" s="18"/>
      <c r="E32" s="24"/>
      <c r="F32" s="18"/>
      <c r="G32" s="24"/>
      <c r="H32" s="18"/>
      <c r="I32" s="23"/>
      <c r="J32" s="18"/>
      <c r="K32" s="109"/>
      <c r="M32" s="119"/>
    </row>
    <row r="33" spans="1:14" ht="15.75">
      <c r="A33" s="36" t="s">
        <v>135</v>
      </c>
      <c r="B33" s="37"/>
      <c r="C33" s="38">
        <f>C4+C30</f>
        <v>13204.939405204461</v>
      </c>
      <c r="D33" s="14"/>
      <c r="E33" s="38">
        <f>E4+E30</f>
        <v>69161.819405204471</v>
      </c>
      <c r="F33" s="14"/>
      <c r="G33" s="38">
        <f>G4+G30</f>
        <v>58643.27940520447</v>
      </c>
      <c r="H33" s="14"/>
      <c r="I33" s="38">
        <f>I4+I30</f>
        <v>53651.229405204474</v>
      </c>
      <c r="J33" s="14"/>
      <c r="K33" s="29">
        <f>K4+K30</f>
        <v>55494.09940520447</v>
      </c>
      <c r="L33" s="42"/>
      <c r="M33" s="120">
        <f>M4+M30</f>
        <v>51736.389405204471</v>
      </c>
    </row>
    <row r="34" spans="1:14" ht="4.5" customHeight="1">
      <c r="C34" s="39"/>
      <c r="D34" s="18"/>
      <c r="E34" s="39"/>
      <c r="F34" s="18"/>
      <c r="G34" s="39"/>
      <c r="H34" s="18"/>
      <c r="I34" s="39"/>
      <c r="J34" s="18"/>
      <c r="M34" s="113"/>
    </row>
    <row r="35" spans="1:14" ht="15.75">
      <c r="B35" s="40" t="s">
        <v>136</v>
      </c>
      <c r="C35" s="24">
        <f>C33</f>
        <v>13204.939405204461</v>
      </c>
      <c r="D35" s="18"/>
      <c r="E35" s="24">
        <v>69161.820000000007</v>
      </c>
      <c r="F35" s="18"/>
      <c r="G35" s="24">
        <v>8578.49</v>
      </c>
      <c r="H35" s="18"/>
      <c r="I35" s="24">
        <v>12823.99</v>
      </c>
      <c r="J35" s="18"/>
      <c r="K35" s="5">
        <v>14326.7</v>
      </c>
      <c r="M35" s="113">
        <v>10525.9</v>
      </c>
    </row>
    <row r="36" spans="1:14" ht="15.75">
      <c r="B36" s="40" t="s">
        <v>137</v>
      </c>
      <c r="C36" s="24">
        <v>0</v>
      </c>
      <c r="D36" s="18"/>
      <c r="E36" s="24">
        <v>0</v>
      </c>
      <c r="F36" s="18"/>
      <c r="G36" s="24">
        <v>50064.79</v>
      </c>
      <c r="H36" s="18"/>
      <c r="I36" s="24">
        <v>40827.24</v>
      </c>
      <c r="J36" s="18"/>
      <c r="K36" s="5">
        <v>41167.4</v>
      </c>
      <c r="M36" s="113">
        <v>41210.49</v>
      </c>
      <c r="N36" s="113"/>
    </row>
    <row r="37" spans="1:14" ht="16.5" customHeight="1">
      <c r="B37" s="40" t="s">
        <v>138</v>
      </c>
      <c r="C37" s="24">
        <v>0</v>
      </c>
      <c r="D37" s="40"/>
      <c r="E37" s="24">
        <v>0</v>
      </c>
      <c r="F37" s="24"/>
      <c r="G37" s="24">
        <v>0</v>
      </c>
      <c r="H37" s="24"/>
      <c r="I37" s="24">
        <v>0</v>
      </c>
      <c r="J37" s="24"/>
      <c r="K37" s="5">
        <v>0</v>
      </c>
      <c r="M37" s="113">
        <v>0</v>
      </c>
    </row>
    <row r="38" spans="1:14" ht="4.5" customHeight="1">
      <c r="B38" s="40"/>
      <c r="C38" s="24"/>
      <c r="D38" s="40"/>
      <c r="E38" s="24"/>
      <c r="F38" s="24"/>
      <c r="G38" s="24"/>
      <c r="H38" s="24"/>
      <c r="I38" s="24"/>
      <c r="J38" s="24"/>
      <c r="M38" s="113"/>
    </row>
    <row r="39" spans="1:14" ht="16.5" customHeight="1">
      <c r="A39" s="41" t="s">
        <v>139</v>
      </c>
      <c r="B39" s="42"/>
      <c r="C39" s="43">
        <f>C33-SUM(C35:C37)</f>
        <v>0</v>
      </c>
      <c r="D39" s="44"/>
      <c r="E39" s="43">
        <f>E33-SUM(E35:E37)</f>
        <v>-5.9479553601704538E-4</v>
      </c>
      <c r="F39" s="45"/>
      <c r="G39" s="43">
        <f>G33-SUM(G35:G37)</f>
        <v>-5.9479552874108776E-4</v>
      </c>
      <c r="H39" s="46"/>
      <c r="I39" s="43">
        <f>I33-SUM(I35:I37)</f>
        <v>-5.9479552146513015E-4</v>
      </c>
      <c r="J39" s="46"/>
      <c r="K39" s="110">
        <f>K33-SUM(K35:K37)</f>
        <v>-5.9479553601704538E-4</v>
      </c>
      <c r="L39" s="42"/>
      <c r="M39" s="124">
        <f>M33-SUM(M35:M37)</f>
        <v>-5.9479552874108776E-4</v>
      </c>
    </row>
    <row r="40" spans="1:14" ht="8.25" customHeight="1"/>
    <row r="41" spans="1:14">
      <c r="A41" s="1" t="s">
        <v>140</v>
      </c>
    </row>
    <row r="42" spans="1:14">
      <c r="A42" s="47">
        <v>1</v>
      </c>
      <c r="B42" s="48" t="s">
        <v>141</v>
      </c>
    </row>
    <row r="43" spans="1:14">
      <c r="A43" s="47">
        <v>2</v>
      </c>
      <c r="B43" s="48" t="s">
        <v>148</v>
      </c>
    </row>
    <row r="44" spans="1:14">
      <c r="A44" s="47"/>
      <c r="B44" s="48" t="s">
        <v>149</v>
      </c>
      <c r="N44" s="24"/>
    </row>
    <row r="45" spans="1:14">
      <c r="A45" s="47">
        <v>3</v>
      </c>
      <c r="B45" s="48" t="s">
        <v>150</v>
      </c>
      <c r="N45" s="24"/>
    </row>
    <row r="46" spans="1:14">
      <c r="A46" s="47">
        <v>4</v>
      </c>
      <c r="B46" s="48" t="s">
        <v>151</v>
      </c>
    </row>
    <row r="47" spans="1:14">
      <c r="A47" s="47">
        <v>5</v>
      </c>
      <c r="B47" s="48" t="s">
        <v>152</v>
      </c>
    </row>
    <row r="48" spans="1:14">
      <c r="A48" s="47">
        <v>6</v>
      </c>
      <c r="B48" s="48" t="s">
        <v>153</v>
      </c>
    </row>
    <row r="49" spans="1:2">
      <c r="A49" s="47">
        <v>7</v>
      </c>
      <c r="B49" s="48" t="s">
        <v>0</v>
      </c>
    </row>
    <row r="50" spans="1:2">
      <c r="A50" s="47" t="s">
        <v>125</v>
      </c>
      <c r="B50" s="48" t="s">
        <v>112</v>
      </c>
    </row>
    <row r="51" spans="1:2">
      <c r="A51" s="47">
        <v>9</v>
      </c>
      <c r="B51" s="48" t="s">
        <v>1</v>
      </c>
    </row>
    <row r="52" spans="1:2">
      <c r="B52" s="49"/>
    </row>
  </sheetData>
  <mergeCells count="1">
    <mergeCell ref="O4:T13"/>
  </mergeCells>
  <phoneticPr fontId="2" type="noConversion"/>
  <pageMargins left="1.1100000000000001" right="0.25" top="1.46" bottom="0.51" header="0.57999999999999996" footer="0.31"/>
  <pageSetup scale="78" orientation="landscape" verticalDpi="300"/>
  <headerFooter alignWithMargins="0">
    <oddHeader xml:space="preserve">&amp;C&amp;"Arial,Bold"&amp;20 &amp;"Times New Roman,Bold"World Flying Disc Federation&amp;18
 Summary Restated Financial Statements&amp;12 &amp;X1&amp;18&amp;X
&amp;"Arial,Bold"&amp;10 </oddHeader>
    <oddFooter>&amp;RJune 22, 2003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9678-9960-4433-93A2-A68B9E1A6A1E}">
  <dimension ref="A1:H16"/>
  <sheetViews>
    <sheetView workbookViewId="0">
      <pane xSplit="4" ySplit="1" topLeftCell="E2" activePane="bottomRight" state="frozenSplit"/>
      <selection pane="topRight" activeCell="E1" sqref="E1"/>
      <selection pane="bottomLeft" activeCell="A2" sqref="A2"/>
      <selection pane="bottomRight" activeCell="I30" sqref="I30"/>
    </sheetView>
  </sheetViews>
  <sheetFormatPr baseColWidth="10" defaultColWidth="9.140625" defaultRowHeight="12.75"/>
  <cols>
    <col min="1" max="3" width="3" style="134" customWidth="1"/>
    <col min="4" max="4" width="20.140625" style="134" customWidth="1"/>
    <col min="5" max="5" width="9" style="2" bestFit="1" customWidth="1"/>
    <col min="6" max="16384" width="9.140625" style="3"/>
  </cols>
  <sheetData>
    <row r="1" spans="1:8" s="8" customFormat="1" ht="13.5" thickBot="1">
      <c r="A1" s="127"/>
      <c r="B1" s="127"/>
      <c r="C1" s="127"/>
      <c r="D1" s="127"/>
      <c r="E1" s="128" t="s">
        <v>155</v>
      </c>
      <c r="F1" s="128" t="s">
        <v>156</v>
      </c>
      <c r="G1" s="128" t="s">
        <v>157</v>
      </c>
      <c r="H1" s="128" t="s">
        <v>171</v>
      </c>
    </row>
    <row r="2" spans="1:8" ht="13.5" thickTop="1">
      <c r="A2" s="129" t="s">
        <v>158</v>
      </c>
      <c r="B2" s="129"/>
      <c r="C2" s="129"/>
      <c r="D2" s="129"/>
      <c r="E2" s="130"/>
      <c r="F2" s="130"/>
      <c r="G2" s="130"/>
      <c r="H2" s="130"/>
    </row>
    <row r="3" spans="1:8" ht="13.5" thickBot="1">
      <c r="A3" s="129"/>
      <c r="B3" s="129" t="s">
        <v>159</v>
      </c>
      <c r="C3" s="129"/>
      <c r="D3" s="129"/>
      <c r="E3" s="130"/>
      <c r="F3" s="130"/>
      <c r="G3" s="130"/>
      <c r="H3" s="130"/>
    </row>
    <row r="4" spans="1:8" ht="13.5" thickBot="1">
      <c r="A4" s="129"/>
      <c r="B4" s="129"/>
      <c r="C4" s="129" t="s">
        <v>160</v>
      </c>
      <c r="D4" s="129"/>
      <c r="E4" s="131">
        <v>69161.820000000007</v>
      </c>
      <c r="F4" s="131">
        <v>8578.49</v>
      </c>
      <c r="G4" s="131">
        <v>12323.99</v>
      </c>
      <c r="H4" s="131">
        <f>'Financial summary'!K35</f>
        <v>14326.7</v>
      </c>
    </row>
    <row r="5" spans="1:8" s="132" customFormat="1" ht="12.75" customHeight="1" thickBot="1">
      <c r="A5" s="129"/>
      <c r="B5" s="129"/>
      <c r="C5" s="129" t="s">
        <v>161</v>
      </c>
      <c r="E5" s="131">
        <v>0</v>
      </c>
      <c r="F5" s="133">
        <v>50064.79</v>
      </c>
      <c r="G5" s="133">
        <v>40827.24</v>
      </c>
      <c r="H5" s="133">
        <f>'Financial summary'!K36</f>
        <v>41167.4</v>
      </c>
    </row>
    <row r="6" spans="1:8" ht="13.5" thickBot="1">
      <c r="A6" s="129"/>
      <c r="C6" s="129"/>
      <c r="D6" s="129" t="s">
        <v>162</v>
      </c>
      <c r="E6" s="131">
        <f>E4+E5</f>
        <v>69161.820000000007</v>
      </c>
      <c r="F6" s="131">
        <f>F4+F5</f>
        <v>58643.28</v>
      </c>
      <c r="G6" s="131">
        <f>G4+G5</f>
        <v>53151.229999999996</v>
      </c>
      <c r="H6" s="131">
        <f>H4+H5</f>
        <v>55494.100000000006</v>
      </c>
    </row>
    <row r="7" spans="1:8" ht="13.5" thickBot="1">
      <c r="A7" s="129" t="s">
        <v>163</v>
      </c>
      <c r="B7" s="129"/>
      <c r="C7" s="129"/>
      <c r="D7" s="129"/>
      <c r="E7" s="135">
        <f>ROUND(E2+E6,5)</f>
        <v>69161.820000000007</v>
      </c>
      <c r="F7" s="135">
        <f>ROUND(F2+F6,5)</f>
        <v>58643.28</v>
      </c>
      <c r="G7" s="135">
        <f>ROUND(G2+G6,5)</f>
        <v>53151.23</v>
      </c>
      <c r="H7" s="135">
        <f>ROUND(H2+H6,5)</f>
        <v>55494.1</v>
      </c>
    </row>
    <row r="8" spans="1:8" ht="13.5" thickTop="1">
      <c r="A8" s="129"/>
      <c r="B8" s="129"/>
      <c r="C8" s="129"/>
      <c r="D8" s="129"/>
      <c r="E8" s="136"/>
      <c r="F8" s="136"/>
      <c r="G8" s="136"/>
      <c r="H8" s="136"/>
    </row>
    <row r="9" spans="1:8">
      <c r="A9" s="129" t="s">
        <v>164</v>
      </c>
      <c r="B9" s="129"/>
      <c r="C9" s="129"/>
      <c r="D9" s="129"/>
      <c r="E9" s="130"/>
      <c r="F9" s="130"/>
      <c r="G9" s="130"/>
      <c r="H9" s="130"/>
    </row>
    <row r="10" spans="1:8">
      <c r="A10" s="129"/>
      <c r="B10" s="129" t="s">
        <v>165</v>
      </c>
      <c r="C10" s="129"/>
      <c r="D10" s="129"/>
      <c r="E10" s="130"/>
      <c r="F10" s="130"/>
      <c r="G10" s="130"/>
      <c r="H10" s="130"/>
    </row>
    <row r="11" spans="1:8" s="132" customFormat="1" ht="12.75" customHeight="1">
      <c r="A11" s="129"/>
      <c r="B11" s="129"/>
      <c r="C11" s="129" t="s">
        <v>166</v>
      </c>
      <c r="D11" s="129"/>
      <c r="E11" s="130">
        <v>5481.15</v>
      </c>
      <c r="F11" s="130">
        <v>5481.15</v>
      </c>
      <c r="G11" s="130">
        <v>5481.15</v>
      </c>
      <c r="H11" s="130">
        <v>5481.15</v>
      </c>
    </row>
    <row r="12" spans="1:8">
      <c r="A12" s="129"/>
      <c r="B12" s="129"/>
      <c r="C12" s="129" t="s">
        <v>167</v>
      </c>
      <c r="D12" s="129"/>
      <c r="E12" s="130">
        <v>0</v>
      </c>
      <c r="F12" s="130">
        <v>63680.67</v>
      </c>
      <c r="G12" s="130">
        <v>53162.13</v>
      </c>
      <c r="H12" s="130">
        <f>G12+G13</f>
        <v>48170.080000000002</v>
      </c>
    </row>
    <row r="13" spans="1:8" ht="13.5" thickBot="1">
      <c r="A13" s="129"/>
      <c r="B13" s="129"/>
      <c r="C13" s="129" t="s">
        <v>168</v>
      </c>
      <c r="D13" s="129"/>
      <c r="E13" s="133">
        <v>63680.67</v>
      </c>
      <c r="F13" s="133">
        <v>-10518.54</v>
      </c>
      <c r="G13" s="133">
        <f>'Financial summary'!I30</f>
        <v>-4992.0499999999993</v>
      </c>
      <c r="H13" s="133">
        <f>'Financial summary'!K30</f>
        <v>1842.869999999999</v>
      </c>
    </row>
    <row r="14" spans="1:8" ht="13.5" thickBot="1">
      <c r="A14" s="129"/>
      <c r="C14" s="129"/>
      <c r="D14" s="129" t="s">
        <v>169</v>
      </c>
      <c r="E14" s="131">
        <f>ROUND(SUM(E10:E13),5)</f>
        <v>69161.820000000007</v>
      </c>
      <c r="F14" s="131">
        <f>ROUND(SUM(F10:F13),5)</f>
        <v>58643.28</v>
      </c>
      <c r="G14" s="131">
        <f>ROUND(SUM(G10:G13),5)</f>
        <v>53651.23</v>
      </c>
      <c r="H14" s="131">
        <f>ROUND(COUNT(H10:H13),5)</f>
        <v>3</v>
      </c>
    </row>
    <row r="15" spans="1:8" ht="13.5" thickBot="1">
      <c r="A15" s="129" t="s">
        <v>170</v>
      </c>
      <c r="B15" s="129"/>
      <c r="C15" s="129"/>
      <c r="D15" s="129"/>
      <c r="E15" s="135">
        <f>ROUND(E9+E14,5)</f>
        <v>69161.820000000007</v>
      </c>
      <c r="F15" s="135">
        <f>ROUND(F9+F14,5)</f>
        <v>58643.28</v>
      </c>
      <c r="G15" s="135">
        <f>ROUND(G9+G14,5)</f>
        <v>53651.23</v>
      </c>
      <c r="H15" s="135">
        <f>ROUND(H9+H14,5)</f>
        <v>3</v>
      </c>
    </row>
    <row r="16" spans="1:8" ht="13.5" thickTop="1"/>
  </sheetData>
  <phoneticPr fontId="0" type="noConversion"/>
  <pageMargins left="0.78740157499999996" right="0.78740157499999996" top="0.984251969" bottom="0.984251969" header="0.25" footer="0.5"/>
  <pageSetup orientation="portrait" horizontalDpi="360" verticalDpi="360"/>
  <headerFooter alignWithMargins="0">
    <oddHeader>&amp;L&amp;"Arial,Bold"&amp;8 07/26/02&amp;C&amp;"Arial,Bold"&amp;12 World Flying Disc Federation
&amp;"Arial,Bold"&amp;14 Balance Sheet
&amp;"Arial,Bold"&amp;10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4239-5F09-4DD7-B4B6-92A9369065DE}">
  <sheetPr>
    <pageSetUpPr fitToPage="1"/>
  </sheetPr>
  <dimension ref="A1:U61"/>
  <sheetViews>
    <sheetView workbookViewId="0">
      <pane ySplit="4" topLeftCell="A5" activePane="bottomLeft" state="frozen"/>
      <selection pane="bottomLeft" activeCell="G64" sqref="G64"/>
    </sheetView>
  </sheetViews>
  <sheetFormatPr baseColWidth="10" defaultRowHeight="12"/>
  <cols>
    <col min="1" max="1" width="12.28515625" style="91" customWidth="1"/>
    <col min="2" max="2" width="10.85546875" style="99" customWidth="1"/>
    <col min="3" max="3" width="15.7109375" style="82" customWidth="1"/>
    <col min="4" max="4" width="11.28515625" style="82" customWidth="1"/>
    <col min="5" max="5" width="15.7109375" style="99" customWidth="1"/>
    <col min="6" max="6" width="14.85546875" style="82" customWidth="1"/>
    <col min="7" max="7" width="14.85546875" style="99" customWidth="1"/>
    <col min="8" max="8" width="11.42578125" style="82" customWidth="1"/>
    <col min="9" max="9" width="12.7109375" style="99" customWidth="1"/>
    <col min="10" max="10" width="11.42578125" style="82" customWidth="1"/>
    <col min="11" max="11" width="10.85546875" style="99" customWidth="1"/>
    <col min="12" max="12" width="11.42578125" style="82" customWidth="1"/>
    <col min="13" max="13" width="10.85546875" style="99" customWidth="1"/>
    <col min="14" max="14" width="11.42578125" style="82" customWidth="1"/>
    <col min="15" max="15" width="14.7109375" style="99" customWidth="1"/>
    <col min="16" max="16" width="11.42578125" style="82" customWidth="1"/>
    <col min="17" max="17" width="10.85546875" style="99" customWidth="1"/>
    <col min="18" max="18" width="13.140625" style="82" customWidth="1"/>
    <col min="19" max="19" width="13.140625" style="99" customWidth="1"/>
    <col min="20" max="20" width="11.42578125" style="82" customWidth="1"/>
    <col min="21" max="21" width="10.85546875" style="99" customWidth="1"/>
    <col min="22" max="16384" width="11.42578125" style="82"/>
  </cols>
  <sheetData>
    <row r="1" spans="1:21" ht="15.75">
      <c r="A1" s="76" t="s">
        <v>4</v>
      </c>
      <c r="B1" s="77"/>
      <c r="C1" s="78"/>
      <c r="D1" s="78"/>
      <c r="E1" s="79"/>
      <c r="F1" s="79" t="s">
        <v>53</v>
      </c>
      <c r="G1" s="80" t="s">
        <v>143</v>
      </c>
      <c r="H1" s="81"/>
      <c r="I1" s="79"/>
      <c r="J1" s="81"/>
      <c r="K1" s="79"/>
      <c r="L1" s="81"/>
      <c r="M1" s="79"/>
      <c r="N1" s="81"/>
      <c r="O1" s="79"/>
      <c r="P1" s="81"/>
      <c r="Q1" s="79"/>
      <c r="R1" s="81"/>
      <c r="S1" s="79"/>
      <c r="T1" s="81"/>
      <c r="U1" s="79"/>
    </row>
    <row r="2" spans="1:21">
      <c r="A2" s="83"/>
      <c r="B2" s="79"/>
      <c r="C2" s="81"/>
      <c r="D2" s="81"/>
      <c r="E2" s="79"/>
      <c r="F2" s="81"/>
      <c r="G2" s="79"/>
      <c r="H2" s="81"/>
      <c r="I2" s="79"/>
      <c r="J2" s="81"/>
      <c r="K2" s="79"/>
      <c r="L2" s="81"/>
      <c r="M2" s="79"/>
      <c r="N2" s="81"/>
      <c r="O2" s="79"/>
      <c r="P2" s="81"/>
      <c r="Q2" s="79"/>
      <c r="R2" s="81"/>
      <c r="S2" s="79"/>
      <c r="T2" s="81"/>
      <c r="U2" s="79"/>
    </row>
    <row r="3" spans="1:21" ht="15.75">
      <c r="A3" s="76" t="s">
        <v>54</v>
      </c>
      <c r="B3" s="79"/>
      <c r="C3" s="81"/>
      <c r="D3" s="81"/>
      <c r="E3" s="79"/>
      <c r="F3" s="81"/>
      <c r="G3" s="79"/>
      <c r="H3" s="81"/>
      <c r="I3" s="79"/>
      <c r="J3" s="81"/>
      <c r="K3" s="79"/>
      <c r="L3" s="81"/>
      <c r="M3" s="79"/>
      <c r="N3" s="81"/>
      <c r="O3" s="79"/>
      <c r="P3" s="81"/>
      <c r="Q3" s="79"/>
      <c r="R3" s="81"/>
      <c r="S3" s="79"/>
      <c r="T3" s="81"/>
      <c r="U3" s="79"/>
    </row>
    <row r="4" spans="1:21">
      <c r="A4" s="84" t="s">
        <v>7</v>
      </c>
      <c r="B4" s="85" t="s">
        <v>8</v>
      </c>
      <c r="C4" s="86" t="s">
        <v>55</v>
      </c>
      <c r="D4" s="86" t="s">
        <v>56</v>
      </c>
      <c r="E4" s="80" t="s">
        <v>10</v>
      </c>
      <c r="F4" s="86" t="s">
        <v>128</v>
      </c>
      <c r="G4" s="80" t="s">
        <v>10</v>
      </c>
      <c r="H4" s="86" t="s">
        <v>57</v>
      </c>
      <c r="I4" s="80" t="s">
        <v>10</v>
      </c>
      <c r="J4" s="86" t="s">
        <v>61</v>
      </c>
      <c r="K4" s="80" t="s">
        <v>10</v>
      </c>
      <c r="L4" s="86" t="s">
        <v>120</v>
      </c>
      <c r="M4" s="80" t="s">
        <v>10</v>
      </c>
      <c r="N4" s="86" t="s">
        <v>62</v>
      </c>
      <c r="O4" s="80" t="s">
        <v>10</v>
      </c>
      <c r="P4" s="86" t="s">
        <v>63</v>
      </c>
      <c r="Q4" s="80" t="s">
        <v>10</v>
      </c>
      <c r="R4" s="86" t="s">
        <v>64</v>
      </c>
      <c r="S4" s="80" t="s">
        <v>10</v>
      </c>
      <c r="T4" s="86" t="s">
        <v>14</v>
      </c>
      <c r="U4" s="80" t="s">
        <v>10</v>
      </c>
    </row>
    <row r="5" spans="1:21">
      <c r="A5" s="87"/>
      <c r="B5" s="88"/>
      <c r="C5" s="89"/>
      <c r="D5" s="89"/>
      <c r="E5" s="90"/>
      <c r="F5" s="89"/>
      <c r="G5" s="90"/>
      <c r="H5" s="89"/>
      <c r="I5" s="90"/>
      <c r="J5" s="89"/>
      <c r="K5" s="90"/>
      <c r="L5" s="89"/>
      <c r="M5" s="90"/>
      <c r="N5" s="89"/>
      <c r="O5" s="90"/>
      <c r="P5" s="89"/>
      <c r="Q5" s="90"/>
      <c r="R5" s="89"/>
      <c r="S5" s="90"/>
      <c r="T5" s="89"/>
      <c r="U5" s="90"/>
    </row>
    <row r="6" spans="1:21" s="100" customFormat="1">
      <c r="A6" s="95">
        <v>37263</v>
      </c>
      <c r="B6" s="90" t="s">
        <v>144</v>
      </c>
      <c r="C6" s="100">
        <v>25.58</v>
      </c>
      <c r="E6" s="90"/>
      <c r="G6" s="90"/>
      <c r="I6" s="90"/>
      <c r="K6" s="90"/>
      <c r="M6" s="90"/>
      <c r="O6" s="90"/>
      <c r="Q6" s="90"/>
      <c r="S6" s="90"/>
      <c r="T6" s="100">
        <v>25.58</v>
      </c>
      <c r="U6" s="90" t="s">
        <v>145</v>
      </c>
    </row>
    <row r="7" spans="1:21" s="100" customFormat="1">
      <c r="A7" s="95">
        <v>37263</v>
      </c>
      <c r="B7" s="90" t="s">
        <v>146</v>
      </c>
      <c r="C7" s="100">
        <v>5000</v>
      </c>
      <c r="E7" s="90"/>
      <c r="G7" s="90"/>
      <c r="H7" s="100">
        <v>5000</v>
      </c>
      <c r="I7" s="90" t="s">
        <v>147</v>
      </c>
      <c r="K7" s="90"/>
      <c r="M7" s="90"/>
      <c r="O7" s="90"/>
      <c r="Q7" s="90"/>
      <c r="S7" s="90"/>
      <c r="U7" s="90"/>
    </row>
    <row r="8" spans="1:21">
      <c r="A8" s="91">
        <v>37285</v>
      </c>
      <c r="B8" s="92" t="s">
        <v>65</v>
      </c>
      <c r="C8" s="93">
        <v>500</v>
      </c>
      <c r="D8" s="93"/>
      <c r="E8" s="92"/>
      <c r="F8" s="93"/>
      <c r="G8" s="92"/>
      <c r="H8" s="93">
        <v>500</v>
      </c>
      <c r="I8" s="92" t="s">
        <v>66</v>
      </c>
      <c r="J8" s="93"/>
      <c r="K8" s="92"/>
      <c r="L8" s="93"/>
      <c r="M8" s="92"/>
      <c r="N8" s="93"/>
      <c r="O8" s="92"/>
      <c r="P8" s="93"/>
      <c r="Q8" s="92"/>
      <c r="R8" s="93"/>
      <c r="S8" s="92"/>
      <c r="T8" s="93"/>
      <c r="U8" s="92"/>
    </row>
    <row r="9" spans="1:21">
      <c r="A9" s="91">
        <v>37300</v>
      </c>
      <c r="B9" s="92" t="s">
        <v>67</v>
      </c>
      <c r="C9" s="93">
        <v>306.8</v>
      </c>
      <c r="D9" s="93"/>
      <c r="E9" s="92"/>
      <c r="F9" s="93"/>
      <c r="G9" s="92"/>
      <c r="H9" s="93"/>
      <c r="I9" s="92"/>
      <c r="J9" s="93"/>
      <c r="K9" s="92"/>
      <c r="L9" s="93">
        <v>306.8</v>
      </c>
      <c r="M9" s="92" t="s">
        <v>69</v>
      </c>
      <c r="N9" s="93"/>
      <c r="O9" s="92"/>
      <c r="P9" s="93"/>
      <c r="Q9" s="92"/>
      <c r="R9" s="93"/>
      <c r="S9" s="92"/>
      <c r="T9" s="93"/>
      <c r="U9" s="92"/>
    </row>
    <row r="10" spans="1:21">
      <c r="A10" s="91">
        <v>37300</v>
      </c>
      <c r="B10" s="92" t="s">
        <v>70</v>
      </c>
      <c r="C10" s="93">
        <v>42</v>
      </c>
      <c r="D10" s="93">
        <v>42</v>
      </c>
      <c r="E10" s="92" t="s">
        <v>71</v>
      </c>
      <c r="F10" s="93"/>
      <c r="G10" s="92"/>
      <c r="H10" s="93"/>
      <c r="I10" s="92"/>
      <c r="J10" s="93"/>
      <c r="K10" s="92"/>
      <c r="L10" s="93"/>
      <c r="M10" s="92"/>
      <c r="N10" s="93"/>
      <c r="O10" s="92"/>
      <c r="P10" s="93"/>
      <c r="Q10" s="92"/>
      <c r="R10" s="93"/>
      <c r="S10" s="92"/>
      <c r="T10" s="93"/>
      <c r="U10" s="92"/>
    </row>
    <row r="11" spans="1:21">
      <c r="A11" s="91">
        <v>37301</v>
      </c>
      <c r="B11" s="92" t="s">
        <v>67</v>
      </c>
      <c r="C11" s="93">
        <v>2006.4</v>
      </c>
      <c r="D11" s="93"/>
      <c r="E11" s="92"/>
      <c r="F11" s="93"/>
      <c r="G11" s="92"/>
      <c r="H11" s="93"/>
      <c r="I11" s="92"/>
      <c r="J11" s="93"/>
      <c r="K11" s="92"/>
      <c r="L11" s="93">
        <v>2006.4</v>
      </c>
      <c r="M11" s="92" t="s">
        <v>72</v>
      </c>
      <c r="N11" s="93"/>
      <c r="O11" s="92"/>
      <c r="P11" s="93"/>
      <c r="Q11" s="92"/>
      <c r="R11" s="93"/>
      <c r="S11" s="92"/>
      <c r="T11" s="93"/>
      <c r="U11" s="92"/>
    </row>
    <row r="12" spans="1:21">
      <c r="A12" s="91">
        <v>37301</v>
      </c>
      <c r="B12" s="94" t="s">
        <v>70</v>
      </c>
      <c r="C12" s="93">
        <v>42</v>
      </c>
      <c r="D12" s="93">
        <v>42</v>
      </c>
      <c r="E12" s="94" t="s">
        <v>71</v>
      </c>
      <c r="F12" s="93"/>
      <c r="G12" s="92"/>
      <c r="H12" s="93"/>
      <c r="I12" s="92"/>
      <c r="J12" s="93"/>
      <c r="K12" s="92"/>
      <c r="L12" s="93"/>
      <c r="M12" s="92"/>
      <c r="N12" s="93"/>
      <c r="O12" s="92"/>
      <c r="P12" s="93"/>
      <c r="Q12" s="92"/>
      <c r="R12" s="93"/>
      <c r="S12" s="92"/>
      <c r="T12" s="93"/>
      <c r="U12" s="92"/>
    </row>
    <row r="13" spans="1:21">
      <c r="A13" s="91">
        <v>37307</v>
      </c>
      <c r="B13" s="92" t="s">
        <v>70</v>
      </c>
      <c r="C13" s="93">
        <v>10</v>
      </c>
      <c r="D13" s="93">
        <v>10</v>
      </c>
      <c r="E13" s="92" t="s">
        <v>73</v>
      </c>
      <c r="F13" s="93"/>
      <c r="G13" s="92"/>
      <c r="H13" s="93"/>
      <c r="I13" s="92"/>
      <c r="J13" s="93"/>
      <c r="K13" s="92"/>
      <c r="L13" s="93"/>
      <c r="M13" s="92"/>
      <c r="N13" s="93"/>
      <c r="O13" s="92"/>
      <c r="P13" s="93"/>
      <c r="Q13" s="92"/>
      <c r="R13" s="93"/>
      <c r="S13" s="92"/>
      <c r="T13" s="93"/>
      <c r="U13" s="92"/>
    </row>
    <row r="14" spans="1:21">
      <c r="A14" s="91">
        <v>37307</v>
      </c>
      <c r="B14" s="92" t="s">
        <v>70</v>
      </c>
      <c r="C14" s="93">
        <v>10</v>
      </c>
      <c r="D14" s="93">
        <v>10</v>
      </c>
      <c r="E14" s="92" t="s">
        <v>73</v>
      </c>
      <c r="F14" s="93"/>
      <c r="G14" s="92"/>
      <c r="H14" s="93"/>
      <c r="I14" s="92"/>
      <c r="J14" s="93"/>
      <c r="K14" s="92"/>
      <c r="L14" s="93"/>
      <c r="M14" s="92"/>
      <c r="N14" s="93"/>
      <c r="O14" s="92"/>
      <c r="P14" s="93"/>
      <c r="Q14" s="92"/>
      <c r="R14" s="93"/>
      <c r="S14" s="92"/>
      <c r="T14" s="93"/>
      <c r="U14" s="92"/>
    </row>
    <row r="15" spans="1:21">
      <c r="A15" s="91">
        <v>37308</v>
      </c>
      <c r="B15" s="92" t="s">
        <v>70</v>
      </c>
      <c r="C15" s="93">
        <v>10</v>
      </c>
      <c r="D15" s="93">
        <v>10</v>
      </c>
      <c r="E15" s="92" t="s">
        <v>73</v>
      </c>
      <c r="F15" s="93"/>
      <c r="G15" s="92"/>
      <c r="H15" s="93"/>
      <c r="I15" s="92"/>
      <c r="J15" s="93"/>
      <c r="K15" s="92"/>
      <c r="L15" s="93"/>
      <c r="M15" s="92"/>
      <c r="N15" s="93"/>
      <c r="O15" s="92"/>
      <c r="P15" s="93"/>
      <c r="Q15" s="92"/>
      <c r="R15" s="93"/>
      <c r="S15" s="92"/>
      <c r="T15" s="93"/>
      <c r="U15" s="92"/>
    </row>
    <row r="16" spans="1:21">
      <c r="A16" s="91">
        <v>37350</v>
      </c>
      <c r="B16" s="92" t="s">
        <v>74</v>
      </c>
      <c r="C16" s="93">
        <v>40</v>
      </c>
      <c r="D16" s="93"/>
      <c r="E16" s="92"/>
      <c r="F16" s="93"/>
      <c r="G16" s="92"/>
      <c r="H16" s="93"/>
      <c r="I16" s="92"/>
      <c r="J16" s="93"/>
      <c r="K16" s="92"/>
      <c r="L16" s="93"/>
      <c r="M16" s="92"/>
      <c r="N16" s="93">
        <v>40</v>
      </c>
      <c r="O16" s="92" t="s">
        <v>75</v>
      </c>
      <c r="P16" s="93"/>
      <c r="Q16" s="92"/>
      <c r="R16" s="93"/>
      <c r="S16" s="92"/>
      <c r="T16" s="93"/>
      <c r="U16" s="92"/>
    </row>
    <row r="17" spans="1:21">
      <c r="A17" s="91">
        <v>37351</v>
      </c>
      <c r="B17" s="92" t="s">
        <v>70</v>
      </c>
      <c r="C17" s="93">
        <v>10</v>
      </c>
      <c r="D17" s="93">
        <v>10</v>
      </c>
      <c r="E17" s="92" t="s">
        <v>73</v>
      </c>
      <c r="F17" s="93"/>
      <c r="G17" s="92"/>
      <c r="H17" s="93"/>
      <c r="I17" s="92"/>
      <c r="J17" s="93"/>
      <c r="K17" s="92"/>
      <c r="L17" s="93"/>
      <c r="M17" s="92"/>
      <c r="N17" s="93"/>
      <c r="O17" s="92"/>
      <c r="P17" s="93"/>
      <c r="Q17" s="92"/>
      <c r="R17" s="93"/>
      <c r="S17" s="92"/>
      <c r="T17" s="93"/>
      <c r="U17" s="92"/>
    </row>
    <row r="18" spans="1:21">
      <c r="A18" s="91">
        <v>37354</v>
      </c>
      <c r="B18" s="92" t="s">
        <v>76</v>
      </c>
      <c r="C18" s="93">
        <v>52.54</v>
      </c>
      <c r="D18" s="93"/>
      <c r="E18" s="92"/>
      <c r="F18" s="93"/>
      <c r="G18" s="92"/>
      <c r="H18" s="93"/>
      <c r="I18" s="92"/>
      <c r="J18" s="93"/>
      <c r="K18" s="92"/>
      <c r="L18" s="93"/>
      <c r="M18" s="92"/>
      <c r="N18" s="93">
        <v>52.54</v>
      </c>
      <c r="O18" s="92" t="s">
        <v>77</v>
      </c>
      <c r="P18" s="93"/>
      <c r="Q18" s="92"/>
      <c r="R18" s="93"/>
      <c r="S18" s="92"/>
      <c r="T18" s="93"/>
      <c r="U18" s="92"/>
    </row>
    <row r="19" spans="1:21">
      <c r="A19" s="91">
        <v>37356</v>
      </c>
      <c r="B19" s="92" t="s">
        <v>70</v>
      </c>
      <c r="C19" s="93">
        <v>10</v>
      </c>
      <c r="D19" s="93">
        <v>10</v>
      </c>
      <c r="E19" s="92" t="s">
        <v>73</v>
      </c>
      <c r="F19" s="93"/>
      <c r="G19" s="92"/>
      <c r="H19" s="93"/>
      <c r="I19" s="92"/>
      <c r="J19" s="93"/>
      <c r="K19" s="92"/>
      <c r="L19" s="93"/>
      <c r="M19" s="92"/>
      <c r="N19" s="93"/>
      <c r="O19" s="92"/>
      <c r="P19" s="93"/>
      <c r="Q19" s="92"/>
      <c r="R19" s="93"/>
      <c r="S19" s="92"/>
      <c r="T19" s="93"/>
      <c r="U19" s="92"/>
    </row>
    <row r="20" spans="1:21">
      <c r="A20" s="91">
        <v>37356</v>
      </c>
      <c r="B20" s="92" t="s">
        <v>70</v>
      </c>
      <c r="C20" s="93">
        <v>10</v>
      </c>
      <c r="D20" s="93">
        <v>10</v>
      </c>
      <c r="E20" s="92" t="s">
        <v>73</v>
      </c>
      <c r="F20" s="93"/>
      <c r="G20" s="92"/>
      <c r="H20" s="93"/>
      <c r="I20" s="92"/>
      <c r="J20" s="93"/>
      <c r="K20" s="92"/>
      <c r="L20" s="93"/>
      <c r="M20" s="92"/>
      <c r="N20" s="93"/>
      <c r="O20" s="92"/>
      <c r="P20" s="93"/>
      <c r="Q20" s="92"/>
      <c r="R20" s="93"/>
      <c r="S20" s="92"/>
      <c r="T20" s="93"/>
      <c r="U20" s="92"/>
    </row>
    <row r="21" spans="1:21">
      <c r="A21" s="91">
        <v>37356</v>
      </c>
      <c r="B21" s="92" t="s">
        <v>78</v>
      </c>
      <c r="C21" s="93">
        <v>3000</v>
      </c>
      <c r="D21" s="93"/>
      <c r="E21" s="92"/>
      <c r="F21" s="93">
        <v>3000</v>
      </c>
      <c r="G21" s="92" t="s">
        <v>79</v>
      </c>
      <c r="H21" s="93"/>
      <c r="I21" s="92"/>
      <c r="J21" s="93"/>
      <c r="K21" s="92"/>
      <c r="L21" s="93"/>
      <c r="M21" s="92"/>
      <c r="N21" s="93"/>
      <c r="O21" s="92"/>
      <c r="P21" s="93"/>
      <c r="Q21" s="92"/>
      <c r="R21" s="93"/>
      <c r="S21" s="92"/>
      <c r="T21" s="93"/>
      <c r="U21" s="92"/>
    </row>
    <row r="22" spans="1:21">
      <c r="A22" s="91">
        <v>37365</v>
      </c>
      <c r="B22" s="92" t="s">
        <v>70</v>
      </c>
      <c r="C22" s="93">
        <v>1.5</v>
      </c>
      <c r="D22" s="93">
        <v>1.5</v>
      </c>
      <c r="E22" s="92" t="s">
        <v>73</v>
      </c>
      <c r="F22" s="93"/>
      <c r="G22" s="92"/>
      <c r="H22" s="93"/>
      <c r="I22" s="92"/>
      <c r="J22" s="93"/>
      <c r="K22" s="92"/>
      <c r="L22" s="93"/>
      <c r="M22" s="92"/>
      <c r="N22" s="93"/>
      <c r="O22" s="92"/>
      <c r="P22" s="93"/>
      <c r="Q22" s="92"/>
      <c r="R22" s="93"/>
      <c r="S22" s="92"/>
      <c r="T22" s="93"/>
      <c r="U22" s="92"/>
    </row>
    <row r="23" spans="1:21">
      <c r="A23" s="91">
        <v>37377</v>
      </c>
      <c r="B23" s="92" t="s">
        <v>70</v>
      </c>
      <c r="C23" s="93">
        <v>10</v>
      </c>
      <c r="D23" s="93">
        <v>10</v>
      </c>
      <c r="E23" s="92" t="s">
        <v>73</v>
      </c>
      <c r="F23" s="93"/>
      <c r="G23" s="92"/>
      <c r="H23" s="93"/>
      <c r="I23" s="92"/>
      <c r="J23" s="93"/>
      <c r="K23" s="92"/>
      <c r="L23" s="93"/>
      <c r="M23" s="92"/>
      <c r="N23" s="93"/>
      <c r="O23" s="92"/>
      <c r="P23" s="93"/>
      <c r="Q23" s="92"/>
      <c r="R23" s="93"/>
      <c r="S23" s="92"/>
      <c r="T23" s="93"/>
      <c r="U23" s="92"/>
    </row>
    <row r="24" spans="1:21">
      <c r="A24" s="91">
        <v>37378</v>
      </c>
      <c r="B24" s="92" t="s">
        <v>70</v>
      </c>
      <c r="C24" s="93">
        <v>10</v>
      </c>
      <c r="D24" s="93">
        <v>10</v>
      </c>
      <c r="E24" s="92" t="s">
        <v>73</v>
      </c>
      <c r="F24" s="93"/>
      <c r="G24" s="92"/>
      <c r="H24" s="93"/>
      <c r="I24" s="92"/>
      <c r="J24" s="93"/>
      <c r="K24" s="92"/>
      <c r="L24" s="93"/>
      <c r="M24" s="92"/>
      <c r="N24" s="93"/>
      <c r="O24" s="92"/>
      <c r="P24" s="93"/>
      <c r="Q24" s="92"/>
      <c r="R24" s="93"/>
      <c r="S24" s="92"/>
      <c r="T24" s="93"/>
      <c r="U24" s="92"/>
    </row>
    <row r="25" spans="1:21">
      <c r="A25" s="91">
        <v>37378</v>
      </c>
      <c r="B25" s="92" t="s">
        <v>70</v>
      </c>
      <c r="C25" s="93">
        <v>10</v>
      </c>
      <c r="D25" s="93">
        <v>10</v>
      </c>
      <c r="E25" s="92" t="s">
        <v>73</v>
      </c>
      <c r="F25" s="93"/>
      <c r="G25" s="92"/>
      <c r="H25" s="93"/>
      <c r="I25" s="92"/>
      <c r="J25" s="93"/>
      <c r="K25" s="92"/>
      <c r="L25" s="93"/>
      <c r="M25" s="92"/>
      <c r="N25" s="93"/>
      <c r="O25" s="92"/>
      <c r="P25" s="93"/>
      <c r="Q25" s="92"/>
      <c r="R25" s="93"/>
      <c r="S25" s="92"/>
      <c r="T25" s="93"/>
      <c r="U25" s="92"/>
    </row>
    <row r="26" spans="1:21">
      <c r="A26" s="91">
        <v>37392</v>
      </c>
      <c r="B26" s="92" t="s">
        <v>70</v>
      </c>
      <c r="C26" s="93">
        <v>10</v>
      </c>
      <c r="D26" s="93">
        <v>10</v>
      </c>
      <c r="E26" s="92" t="s">
        <v>73</v>
      </c>
      <c r="F26" s="93"/>
      <c r="G26" s="92"/>
      <c r="H26" s="93"/>
      <c r="I26" s="92"/>
      <c r="J26" s="93"/>
      <c r="K26" s="92"/>
      <c r="L26" s="93"/>
      <c r="M26" s="92"/>
      <c r="N26" s="93"/>
      <c r="O26" s="92"/>
      <c r="P26" s="93"/>
      <c r="Q26" s="92"/>
      <c r="R26" s="93"/>
      <c r="S26" s="92"/>
      <c r="T26" s="93"/>
      <c r="U26" s="92"/>
    </row>
    <row r="27" spans="1:21">
      <c r="A27" s="91">
        <v>37405</v>
      </c>
      <c r="B27" s="92" t="s">
        <v>80</v>
      </c>
      <c r="C27" s="93">
        <v>2000</v>
      </c>
      <c r="D27" s="93"/>
      <c r="E27" s="92"/>
      <c r="F27" s="93"/>
      <c r="G27" s="92"/>
      <c r="H27" s="93"/>
      <c r="I27" s="92"/>
      <c r="J27" s="93"/>
      <c r="K27" s="92"/>
      <c r="L27" s="93"/>
      <c r="M27" s="92"/>
      <c r="N27" s="93"/>
      <c r="O27" s="92"/>
      <c r="P27" s="93"/>
      <c r="Q27" s="92"/>
      <c r="R27" s="93">
        <v>2000</v>
      </c>
      <c r="S27" s="92" t="s">
        <v>81</v>
      </c>
      <c r="T27" s="93"/>
      <c r="U27" s="92"/>
    </row>
    <row r="28" spans="1:21">
      <c r="A28" s="91">
        <v>37407</v>
      </c>
      <c r="B28" s="92" t="s">
        <v>70</v>
      </c>
      <c r="C28" s="93">
        <v>10</v>
      </c>
      <c r="D28" s="93">
        <v>10</v>
      </c>
      <c r="E28" s="92" t="s">
        <v>73</v>
      </c>
      <c r="F28" s="93"/>
      <c r="G28" s="92"/>
      <c r="H28" s="93"/>
      <c r="I28" s="92"/>
      <c r="J28" s="93"/>
      <c r="K28" s="92"/>
      <c r="L28" s="93"/>
      <c r="M28" s="92"/>
      <c r="N28" s="93"/>
      <c r="O28" s="92"/>
      <c r="P28" s="93"/>
      <c r="Q28" s="92"/>
      <c r="R28" s="93"/>
      <c r="S28" s="92"/>
      <c r="T28" s="93"/>
      <c r="U28" s="92"/>
    </row>
    <row r="29" spans="1:21">
      <c r="A29" s="91">
        <v>37418</v>
      </c>
      <c r="B29" s="92" t="s">
        <v>70</v>
      </c>
      <c r="C29" s="93">
        <v>10</v>
      </c>
      <c r="D29" s="93">
        <v>10</v>
      </c>
      <c r="E29" s="92" t="s">
        <v>73</v>
      </c>
      <c r="F29" s="93"/>
      <c r="G29" s="92"/>
      <c r="H29" s="93"/>
      <c r="I29" s="92"/>
      <c r="J29" s="93"/>
      <c r="K29" s="92"/>
      <c r="L29" s="93"/>
      <c r="M29" s="92"/>
      <c r="N29" s="93"/>
      <c r="O29" s="92"/>
      <c r="P29" s="93"/>
      <c r="Q29" s="92"/>
      <c r="R29" s="93"/>
      <c r="S29" s="92"/>
      <c r="T29" s="93"/>
      <c r="U29" s="92"/>
    </row>
    <row r="30" spans="1:21">
      <c r="A30" s="91">
        <v>37427</v>
      </c>
      <c r="B30" s="92" t="s">
        <v>70</v>
      </c>
      <c r="C30" s="93">
        <v>10</v>
      </c>
      <c r="D30" s="93">
        <v>10</v>
      </c>
      <c r="E30" s="92" t="s">
        <v>73</v>
      </c>
      <c r="F30" s="93"/>
      <c r="G30" s="92"/>
      <c r="H30" s="93"/>
      <c r="I30" s="92"/>
      <c r="J30" s="93"/>
      <c r="K30" s="92"/>
      <c r="L30" s="93"/>
      <c r="M30" s="92"/>
      <c r="N30" s="93"/>
      <c r="O30" s="92"/>
      <c r="P30" s="93"/>
      <c r="Q30" s="92"/>
      <c r="R30" s="93"/>
      <c r="S30" s="92"/>
      <c r="T30" s="93"/>
      <c r="U30" s="92"/>
    </row>
    <row r="31" spans="1:21">
      <c r="A31" s="91">
        <v>37442</v>
      </c>
      <c r="B31" s="92" t="s">
        <v>70</v>
      </c>
      <c r="C31" s="93">
        <v>10</v>
      </c>
      <c r="D31" s="93">
        <v>10</v>
      </c>
      <c r="E31" s="92" t="s">
        <v>73</v>
      </c>
      <c r="F31" s="93"/>
      <c r="G31" s="92"/>
      <c r="H31" s="93"/>
      <c r="I31" s="92"/>
      <c r="J31" s="93"/>
      <c r="K31" s="92"/>
      <c r="L31" s="93"/>
      <c r="M31" s="92"/>
      <c r="N31" s="93"/>
      <c r="O31" s="92"/>
      <c r="P31" s="93"/>
      <c r="Q31" s="92"/>
      <c r="R31" s="93"/>
      <c r="S31" s="92"/>
      <c r="T31" s="93"/>
      <c r="U31" s="92"/>
    </row>
    <row r="32" spans="1:21">
      <c r="A32" s="91">
        <v>37445</v>
      </c>
      <c r="B32" s="92" t="s">
        <v>82</v>
      </c>
      <c r="C32" s="93">
        <v>3000</v>
      </c>
      <c r="D32" s="93"/>
      <c r="E32" s="92"/>
      <c r="F32" s="93">
        <v>3000</v>
      </c>
      <c r="G32" s="92" t="s">
        <v>83</v>
      </c>
      <c r="H32" s="93"/>
      <c r="I32" s="92"/>
      <c r="J32" s="93"/>
      <c r="K32" s="92"/>
      <c r="L32" s="93"/>
      <c r="M32" s="92"/>
      <c r="N32" s="93"/>
      <c r="O32" s="92"/>
      <c r="P32" s="93"/>
      <c r="Q32" s="92"/>
      <c r="R32" s="93"/>
      <c r="S32" s="92"/>
      <c r="T32" s="93"/>
      <c r="U32" s="92"/>
    </row>
    <row r="33" spans="1:21">
      <c r="A33" s="91">
        <v>37453</v>
      </c>
      <c r="B33" s="92" t="s">
        <v>84</v>
      </c>
      <c r="C33" s="93">
        <v>650</v>
      </c>
      <c r="D33" s="93"/>
      <c r="E33" s="92"/>
      <c r="F33" s="93"/>
      <c r="G33" s="92"/>
      <c r="H33" s="93">
        <v>650</v>
      </c>
      <c r="I33" s="94" t="s">
        <v>85</v>
      </c>
      <c r="J33" s="93"/>
      <c r="K33" s="92"/>
      <c r="L33" s="93"/>
      <c r="M33" s="92"/>
      <c r="N33" s="93"/>
      <c r="O33" s="92"/>
      <c r="P33" s="93"/>
      <c r="Q33" s="92"/>
      <c r="R33" s="93"/>
      <c r="S33" s="92"/>
      <c r="T33" s="93"/>
      <c r="U33" s="92"/>
    </row>
    <row r="34" spans="1:21">
      <c r="A34" s="91">
        <v>37456</v>
      </c>
      <c r="B34" s="94" t="s">
        <v>67</v>
      </c>
      <c r="C34" s="93">
        <v>609.82000000000005</v>
      </c>
      <c r="D34" s="93"/>
      <c r="E34" s="92"/>
      <c r="F34" s="93"/>
      <c r="G34" s="92"/>
      <c r="H34" s="93">
        <v>609.82000000000005</v>
      </c>
      <c r="I34" s="94" t="s">
        <v>86</v>
      </c>
      <c r="J34" s="93"/>
      <c r="K34" s="92"/>
      <c r="L34" s="93"/>
      <c r="M34" s="92"/>
      <c r="N34" s="93"/>
      <c r="O34" s="92"/>
      <c r="P34" s="93"/>
      <c r="Q34" s="92"/>
      <c r="R34" s="93"/>
      <c r="S34" s="92"/>
      <c r="T34" s="93"/>
      <c r="U34" s="92"/>
    </row>
    <row r="35" spans="1:21">
      <c r="A35" s="91">
        <v>37456</v>
      </c>
      <c r="B35" s="94" t="s">
        <v>70</v>
      </c>
      <c r="C35" s="93">
        <v>42</v>
      </c>
      <c r="D35" s="93">
        <v>42</v>
      </c>
      <c r="E35" s="94" t="s">
        <v>87</v>
      </c>
      <c r="F35" s="93"/>
      <c r="G35" s="92"/>
      <c r="H35" s="93"/>
      <c r="I35" s="92"/>
      <c r="J35" s="93"/>
      <c r="K35" s="92"/>
      <c r="L35" s="93"/>
      <c r="M35" s="92"/>
      <c r="N35" s="93"/>
      <c r="O35" s="92"/>
      <c r="P35" s="93"/>
      <c r="Q35" s="92"/>
      <c r="R35" s="93"/>
      <c r="S35" s="92"/>
      <c r="T35" s="93"/>
      <c r="U35" s="92"/>
    </row>
    <row r="36" spans="1:21">
      <c r="A36" s="91">
        <v>37468</v>
      </c>
      <c r="B36" s="94" t="s">
        <v>88</v>
      </c>
      <c r="C36" s="93">
        <v>2024.48</v>
      </c>
      <c r="D36" s="93"/>
      <c r="E36" s="94" t="s">
        <v>89</v>
      </c>
      <c r="F36" s="93">
        <v>2000</v>
      </c>
      <c r="G36" s="94" t="s">
        <v>90</v>
      </c>
      <c r="H36" s="93"/>
      <c r="I36" s="92"/>
      <c r="J36" s="93"/>
      <c r="K36" s="92"/>
      <c r="L36" s="93"/>
      <c r="M36" s="92"/>
      <c r="N36" s="93"/>
      <c r="O36" s="92"/>
      <c r="P36" s="93"/>
      <c r="Q36" s="92"/>
      <c r="R36" s="93"/>
      <c r="S36" s="92"/>
      <c r="T36" s="93">
        <v>24.48</v>
      </c>
      <c r="U36" s="94" t="s">
        <v>91</v>
      </c>
    </row>
    <row r="37" spans="1:21">
      <c r="A37" s="95">
        <v>37468</v>
      </c>
      <c r="B37" s="94" t="s">
        <v>70</v>
      </c>
      <c r="C37" s="93">
        <v>10</v>
      </c>
      <c r="D37" s="93">
        <v>10</v>
      </c>
      <c r="E37" s="94" t="s">
        <v>71</v>
      </c>
      <c r="F37" s="93"/>
      <c r="G37" s="94"/>
      <c r="H37" s="93"/>
      <c r="I37" s="92"/>
      <c r="J37" s="93"/>
      <c r="K37" s="92"/>
      <c r="L37" s="93"/>
      <c r="M37" s="92"/>
      <c r="N37" s="93"/>
      <c r="O37" s="92"/>
      <c r="P37" s="93"/>
      <c r="Q37" s="92"/>
      <c r="R37" s="93"/>
      <c r="S37" s="92"/>
      <c r="T37" s="93"/>
      <c r="U37" s="92"/>
    </row>
    <row r="38" spans="1:21">
      <c r="A38" s="91">
        <v>37470</v>
      </c>
      <c r="B38" s="94" t="s">
        <v>92</v>
      </c>
      <c r="C38" s="93">
        <v>1000</v>
      </c>
      <c r="D38" s="93"/>
      <c r="E38" s="94"/>
      <c r="F38" s="93"/>
      <c r="G38" s="94"/>
      <c r="H38" s="93"/>
      <c r="I38" s="92"/>
      <c r="J38" s="93"/>
      <c r="K38" s="92"/>
      <c r="L38" s="93"/>
      <c r="M38" s="92"/>
      <c r="N38" s="93">
        <v>1000</v>
      </c>
      <c r="O38" s="94" t="s">
        <v>93</v>
      </c>
      <c r="P38" s="93"/>
      <c r="Q38" s="92"/>
      <c r="R38" s="93"/>
      <c r="S38" s="92"/>
      <c r="T38" s="93"/>
      <c r="U38" s="92"/>
    </row>
    <row r="39" spans="1:21">
      <c r="A39" s="91">
        <v>37476</v>
      </c>
      <c r="B39" s="94" t="s">
        <v>70</v>
      </c>
      <c r="C39" s="93">
        <v>54.15</v>
      </c>
      <c r="D39" s="93">
        <v>54.15</v>
      </c>
      <c r="E39" s="94" t="s">
        <v>94</v>
      </c>
      <c r="F39" s="93"/>
      <c r="G39" s="94"/>
      <c r="H39" s="93"/>
      <c r="I39" s="92"/>
      <c r="J39" s="93"/>
      <c r="K39" s="92"/>
      <c r="L39" s="93"/>
      <c r="M39" s="92"/>
      <c r="N39" s="93"/>
      <c r="O39" s="92"/>
      <c r="P39" s="93"/>
      <c r="Q39" s="92"/>
      <c r="R39" s="93"/>
      <c r="S39" s="92"/>
      <c r="T39" s="93"/>
      <c r="U39" s="92"/>
    </row>
    <row r="40" spans="1:21">
      <c r="A40" s="91">
        <v>37496</v>
      </c>
      <c r="B40" s="94" t="s">
        <v>95</v>
      </c>
      <c r="C40" s="93">
        <v>1045.43</v>
      </c>
      <c r="D40" s="93"/>
      <c r="E40" s="94"/>
      <c r="F40" s="93"/>
      <c r="G40" s="94"/>
      <c r="H40" s="93"/>
      <c r="I40" s="92"/>
      <c r="J40" s="93"/>
      <c r="K40" s="92"/>
      <c r="L40" s="93"/>
      <c r="M40" s="92"/>
      <c r="N40" s="93">
        <v>1045.43</v>
      </c>
      <c r="O40" s="94" t="s">
        <v>96</v>
      </c>
      <c r="P40" s="93"/>
      <c r="Q40" s="92"/>
      <c r="R40" s="93"/>
      <c r="S40" s="92"/>
      <c r="T40" s="93"/>
      <c r="U40" s="92"/>
    </row>
    <row r="41" spans="1:21">
      <c r="A41" s="91">
        <v>37502</v>
      </c>
      <c r="B41" s="94" t="s">
        <v>97</v>
      </c>
      <c r="C41" s="93">
        <v>441.87</v>
      </c>
      <c r="D41" s="93"/>
      <c r="E41" s="94"/>
      <c r="F41" s="93"/>
      <c r="G41" s="94"/>
      <c r="H41" s="93"/>
      <c r="I41" s="92"/>
      <c r="J41" s="93"/>
      <c r="K41" s="94"/>
      <c r="L41" s="93"/>
      <c r="M41" s="92"/>
      <c r="N41" s="93"/>
      <c r="O41" s="92"/>
      <c r="P41" s="93"/>
      <c r="Q41" s="92"/>
      <c r="R41" s="93"/>
      <c r="S41" s="92"/>
      <c r="T41" s="93">
        <v>441.87</v>
      </c>
      <c r="U41" s="94" t="s">
        <v>98</v>
      </c>
    </row>
    <row r="42" spans="1:21">
      <c r="A42" s="91">
        <v>37503</v>
      </c>
      <c r="B42" s="94" t="s">
        <v>99</v>
      </c>
      <c r="C42" s="93">
        <v>416.73</v>
      </c>
      <c r="D42" s="93"/>
      <c r="E42" s="94"/>
      <c r="F42" s="93"/>
      <c r="G42" s="94"/>
      <c r="H42" s="93"/>
      <c r="I42" s="92"/>
      <c r="J42" s="93"/>
      <c r="K42" s="94"/>
      <c r="L42" s="93"/>
      <c r="M42" s="92"/>
      <c r="N42" s="93">
        <v>416.73</v>
      </c>
      <c r="O42" s="94" t="s">
        <v>75</v>
      </c>
      <c r="P42" s="93"/>
      <c r="Q42" s="92"/>
      <c r="R42" s="93"/>
      <c r="S42" s="92"/>
      <c r="T42" s="93"/>
      <c r="U42" s="92"/>
    </row>
    <row r="43" spans="1:21">
      <c r="A43" s="95">
        <v>37504</v>
      </c>
      <c r="B43" s="94" t="s">
        <v>100</v>
      </c>
      <c r="C43" s="93">
        <v>309.74</v>
      </c>
      <c r="D43" s="93"/>
      <c r="E43" s="94"/>
      <c r="F43" s="93"/>
      <c r="G43" s="94"/>
      <c r="H43" s="93"/>
      <c r="I43" s="92"/>
      <c r="J43" s="93"/>
      <c r="K43" s="94"/>
      <c r="L43" s="93"/>
      <c r="M43" s="92"/>
      <c r="N43" s="93">
        <v>309.74</v>
      </c>
      <c r="O43" s="94" t="s">
        <v>101</v>
      </c>
      <c r="P43" s="93"/>
      <c r="Q43" s="92"/>
      <c r="R43" s="93"/>
      <c r="S43" s="92"/>
      <c r="T43" s="93"/>
      <c r="U43" s="92"/>
    </row>
    <row r="44" spans="1:21">
      <c r="A44" s="95">
        <v>37510</v>
      </c>
      <c r="B44" s="94" t="s">
        <v>102</v>
      </c>
      <c r="C44" s="93">
        <v>380</v>
      </c>
      <c r="D44" s="93"/>
      <c r="E44" s="94"/>
      <c r="F44" s="93"/>
      <c r="G44" s="94"/>
      <c r="H44" s="93">
        <v>380</v>
      </c>
      <c r="I44" s="94" t="s">
        <v>103</v>
      </c>
      <c r="J44" s="93"/>
      <c r="K44" s="94"/>
      <c r="L44" s="93"/>
      <c r="M44" s="92"/>
      <c r="N44" s="93"/>
      <c r="O44" s="94"/>
      <c r="P44" s="93"/>
      <c r="Q44" s="92"/>
      <c r="R44" s="93"/>
      <c r="S44" s="92"/>
      <c r="T44" s="93"/>
      <c r="U44" s="92"/>
    </row>
    <row r="45" spans="1:21">
      <c r="A45" s="95">
        <v>37515</v>
      </c>
      <c r="B45" s="94" t="s">
        <v>104</v>
      </c>
      <c r="C45" s="93">
        <v>1562.9</v>
      </c>
      <c r="D45" s="93"/>
      <c r="E45" s="94"/>
      <c r="F45" s="93"/>
      <c r="G45" s="94"/>
      <c r="H45" s="93">
        <v>1562.9</v>
      </c>
      <c r="I45" s="94" t="s">
        <v>105</v>
      </c>
      <c r="J45" s="93"/>
      <c r="K45" s="94"/>
      <c r="L45" s="93"/>
      <c r="M45" s="92"/>
      <c r="N45" s="93"/>
      <c r="O45" s="94"/>
      <c r="P45" s="93"/>
      <c r="Q45" s="92"/>
      <c r="R45" s="93"/>
      <c r="S45" s="92"/>
      <c r="T45" s="93"/>
      <c r="U45" s="92"/>
    </row>
    <row r="46" spans="1:21">
      <c r="A46" s="91">
        <v>37517</v>
      </c>
      <c r="B46" s="94" t="s">
        <v>106</v>
      </c>
      <c r="C46" s="93">
        <v>0</v>
      </c>
      <c r="D46" s="93"/>
      <c r="E46" s="94" t="s">
        <v>58</v>
      </c>
      <c r="F46" s="93"/>
      <c r="G46" s="92"/>
      <c r="H46" s="93">
        <v>0</v>
      </c>
      <c r="I46" s="94" t="s">
        <v>107</v>
      </c>
      <c r="J46" s="93"/>
      <c r="K46" s="92"/>
      <c r="L46" s="93"/>
      <c r="M46" s="92"/>
      <c r="N46" s="93"/>
      <c r="O46" s="92"/>
      <c r="P46" s="93"/>
      <c r="Q46" s="92"/>
      <c r="R46" s="93"/>
      <c r="S46" s="92"/>
      <c r="T46" s="93"/>
      <c r="U46" s="92"/>
    </row>
    <row r="47" spans="1:21">
      <c r="A47" s="91">
        <v>37537</v>
      </c>
      <c r="B47" s="94" t="s">
        <v>70</v>
      </c>
      <c r="C47" s="93">
        <v>6</v>
      </c>
      <c r="D47" s="93">
        <v>6</v>
      </c>
      <c r="E47" s="94"/>
      <c r="F47" s="93"/>
      <c r="G47" s="92"/>
      <c r="H47" s="93"/>
      <c r="I47" s="94"/>
      <c r="J47" s="93"/>
      <c r="K47" s="92"/>
      <c r="L47" s="93"/>
      <c r="M47" s="92"/>
      <c r="N47" s="93"/>
      <c r="O47" s="92"/>
      <c r="P47" s="93"/>
      <c r="Q47" s="92"/>
      <c r="R47" s="93"/>
      <c r="S47" s="92"/>
      <c r="T47" s="93"/>
      <c r="U47" s="92"/>
    </row>
    <row r="48" spans="1:21">
      <c r="A48" s="91">
        <v>37593</v>
      </c>
      <c r="B48" s="94" t="s">
        <v>99</v>
      </c>
      <c r="C48" s="93">
        <v>11.44</v>
      </c>
      <c r="D48" s="93"/>
      <c r="E48" s="94"/>
      <c r="F48" s="93"/>
      <c r="G48" s="92"/>
      <c r="H48" s="93"/>
      <c r="I48" s="94"/>
      <c r="J48" s="93"/>
      <c r="K48" s="92"/>
      <c r="L48" s="93"/>
      <c r="M48" s="92"/>
      <c r="N48" s="93">
        <v>11.44</v>
      </c>
      <c r="O48" s="94" t="s">
        <v>75</v>
      </c>
      <c r="P48" s="93"/>
      <c r="Q48" s="92"/>
      <c r="R48" s="93"/>
      <c r="S48" s="92"/>
      <c r="T48" s="93"/>
      <c r="U48" s="92"/>
    </row>
    <row r="49" spans="1:21">
      <c r="A49" s="91">
        <v>37608</v>
      </c>
      <c r="B49" s="94" t="s">
        <v>108</v>
      </c>
      <c r="C49" s="93">
        <v>3000</v>
      </c>
      <c r="D49" s="93"/>
      <c r="E49" s="94"/>
      <c r="F49" s="93">
        <v>3000</v>
      </c>
      <c r="G49" s="94" t="s">
        <v>109</v>
      </c>
      <c r="H49" s="93"/>
      <c r="I49" s="94"/>
      <c r="J49" s="93"/>
      <c r="K49" s="92"/>
      <c r="L49" s="93"/>
      <c r="M49" s="92"/>
      <c r="N49" s="93"/>
      <c r="O49" s="94"/>
      <c r="P49" s="93"/>
      <c r="Q49" s="92"/>
      <c r="R49" s="93"/>
      <c r="S49" s="92"/>
      <c r="T49" s="93"/>
      <c r="U49" s="92"/>
    </row>
    <row r="50" spans="1:21">
      <c r="A50" s="91">
        <v>37609</v>
      </c>
      <c r="B50" s="94" t="s">
        <v>110</v>
      </c>
      <c r="C50" s="93">
        <v>3000</v>
      </c>
      <c r="D50" s="93"/>
      <c r="E50" s="94"/>
      <c r="F50" s="93">
        <v>3000</v>
      </c>
      <c r="G50" s="94" t="s">
        <v>111</v>
      </c>
      <c r="H50" s="93"/>
      <c r="I50" s="94"/>
      <c r="J50" s="93"/>
      <c r="K50" s="92"/>
      <c r="L50" s="93"/>
      <c r="M50" s="92"/>
      <c r="N50" s="93"/>
      <c r="O50" s="94"/>
      <c r="P50" s="93"/>
      <c r="Q50" s="92"/>
      <c r="R50" s="93"/>
      <c r="S50" s="92"/>
      <c r="T50" s="93"/>
      <c r="U50" s="92"/>
    </row>
    <row r="51" spans="1:21">
      <c r="A51" s="91">
        <v>37621</v>
      </c>
      <c r="B51" s="94" t="s">
        <v>70</v>
      </c>
      <c r="C51" s="93">
        <v>10</v>
      </c>
      <c r="D51" s="93">
        <v>10</v>
      </c>
      <c r="E51" s="94"/>
      <c r="F51" s="93"/>
      <c r="G51" s="92"/>
      <c r="H51" s="93"/>
      <c r="I51" s="94"/>
      <c r="J51" s="93"/>
      <c r="K51" s="92"/>
      <c r="L51" s="93"/>
      <c r="M51" s="92"/>
      <c r="N51" s="93"/>
      <c r="O51" s="94"/>
      <c r="P51" s="93"/>
      <c r="Q51" s="92"/>
      <c r="R51" s="93"/>
      <c r="S51" s="92"/>
      <c r="T51" s="93"/>
      <c r="U51" s="92"/>
    </row>
    <row r="52" spans="1:21">
      <c r="B52" s="94"/>
      <c r="C52" s="93"/>
      <c r="D52" s="93"/>
      <c r="E52" s="94"/>
      <c r="F52" s="93"/>
      <c r="G52" s="92"/>
      <c r="H52" s="93"/>
      <c r="I52" s="94"/>
      <c r="J52" s="93"/>
      <c r="K52" s="92"/>
      <c r="L52" s="93"/>
      <c r="M52" s="92"/>
      <c r="N52" s="93"/>
      <c r="O52" s="94"/>
      <c r="P52" s="93"/>
      <c r="Q52" s="92"/>
      <c r="R52" s="93"/>
      <c r="S52" s="92"/>
      <c r="T52" s="93"/>
      <c r="U52" s="92"/>
    </row>
    <row r="53" spans="1:21">
      <c r="B53" s="94"/>
      <c r="C53" s="93"/>
      <c r="D53" s="93"/>
      <c r="E53" s="94"/>
      <c r="F53" s="93"/>
      <c r="G53" s="92"/>
      <c r="H53" s="93"/>
      <c r="I53" s="94"/>
      <c r="J53" s="93"/>
      <c r="K53" s="92"/>
      <c r="L53" s="93"/>
      <c r="M53" s="92"/>
      <c r="N53" s="93"/>
      <c r="O53" s="94"/>
      <c r="P53" s="93"/>
      <c r="Q53" s="92"/>
      <c r="R53" s="93"/>
      <c r="S53" s="92"/>
      <c r="T53" s="93"/>
      <c r="U53" s="92"/>
    </row>
    <row r="55" spans="1:21" ht="15.75">
      <c r="A55" s="96" t="s">
        <v>47</v>
      </c>
      <c r="B55" s="97"/>
      <c r="C55" s="98">
        <f>SUM(C6:C54)</f>
        <v>30731.38</v>
      </c>
      <c r="D55" s="98">
        <f>SUM(D8:D54)</f>
        <v>347.65</v>
      </c>
      <c r="E55" s="79"/>
      <c r="F55" s="98">
        <f>SUM(F8:F54)</f>
        <v>14000</v>
      </c>
      <c r="G55" s="79"/>
      <c r="H55" s="98">
        <f>SUM(H6:H54)</f>
        <v>8702.7199999999993</v>
      </c>
      <c r="I55" s="79"/>
      <c r="J55" s="98">
        <f>SUM(J8:J54)</f>
        <v>0</v>
      </c>
      <c r="K55" s="79"/>
      <c r="L55" s="98">
        <f>SUM(L8:L54)</f>
        <v>2313.2000000000003</v>
      </c>
      <c r="M55" s="79"/>
      <c r="N55" s="98">
        <f>SUM(N8:N54)</f>
        <v>2875.8800000000006</v>
      </c>
      <c r="O55" s="79"/>
      <c r="P55" s="98">
        <f>SUM(P8:P54)</f>
        <v>0</v>
      </c>
      <c r="Q55" s="79"/>
      <c r="R55" s="98">
        <f>SUM(R8:R54)</f>
        <v>2000</v>
      </c>
      <c r="S55" s="79"/>
      <c r="T55" s="98">
        <f>SUM(T6:T54)</f>
        <v>491.93</v>
      </c>
      <c r="U55" s="79"/>
    </row>
    <row r="57" spans="1:21">
      <c r="B57" s="90"/>
    </row>
    <row r="58" spans="1:21">
      <c r="C58" s="89" t="s">
        <v>59</v>
      </c>
      <c r="H58" s="93">
        <f>H45+H44+H33</f>
        <v>2592.9</v>
      </c>
      <c r="I58" s="126" t="s">
        <v>154</v>
      </c>
    </row>
    <row r="59" spans="1:21">
      <c r="C59" s="100" t="s">
        <v>6</v>
      </c>
      <c r="D59" s="93">
        <f>C55</f>
        <v>30731.38</v>
      </c>
    </row>
    <row r="60" spans="1:21">
      <c r="C60" s="100" t="s">
        <v>54</v>
      </c>
      <c r="D60" s="125">
        <f>'Stork - 2002 Receipts'!C43</f>
        <v>32574.25</v>
      </c>
    </row>
    <row r="61" spans="1:21">
      <c r="C61" s="100" t="s">
        <v>60</v>
      </c>
      <c r="D61" s="93">
        <f>D59-D60</f>
        <v>-1842.869999999999</v>
      </c>
      <c r="E61" s="92"/>
    </row>
  </sheetData>
  <phoneticPr fontId="0" type="noConversion"/>
  <pageMargins left="0.17" right="0.19" top="0.984251969" bottom="0.984251969" header="0.5" footer="0.5"/>
  <pageSetup scale="47"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9E89-BB02-4265-B25B-7A12CBB0AB15}">
  <sheetPr>
    <pageSetUpPr fitToPage="1"/>
  </sheetPr>
  <dimension ref="A1:P45"/>
  <sheetViews>
    <sheetView workbookViewId="0">
      <pane ySplit="4" topLeftCell="A23" activePane="bottomLeft" state="frozen"/>
      <selection pane="bottomLeft" activeCell="G1" sqref="G1"/>
    </sheetView>
  </sheetViews>
  <sheetFormatPr baseColWidth="10" defaultRowHeight="12"/>
  <cols>
    <col min="1" max="1" width="10.85546875" style="69" customWidth="1"/>
    <col min="2" max="2" width="10.85546875" style="70" customWidth="1"/>
    <col min="3" max="3" width="16.42578125" style="71" customWidth="1"/>
    <col min="4" max="4" width="13" style="56" customWidth="1"/>
    <col min="5" max="5" width="19.42578125" style="70" customWidth="1"/>
    <col min="6" max="6" width="11.42578125" style="56" customWidth="1"/>
    <col min="7" max="7" width="10.85546875" style="70" customWidth="1"/>
    <col min="8" max="8" width="11.42578125" style="56" customWidth="1"/>
    <col min="9" max="9" width="10.85546875" style="70" customWidth="1"/>
    <col min="10" max="10" width="11.42578125" style="56" customWidth="1"/>
    <col min="11" max="11" width="10.85546875" style="70" customWidth="1"/>
    <col min="12" max="12" width="11.42578125" style="56" customWidth="1"/>
    <col min="13" max="13" width="10.85546875" style="70" customWidth="1"/>
    <col min="14" max="14" width="11.42578125" style="56" customWidth="1"/>
    <col min="15" max="15" width="14.140625" style="70" customWidth="1"/>
    <col min="16" max="16384" width="11.42578125" style="56"/>
  </cols>
  <sheetData>
    <row r="1" spans="1:16" ht="15.75">
      <c r="A1" s="50" t="s">
        <v>4</v>
      </c>
      <c r="B1" s="51"/>
      <c r="C1" s="52"/>
      <c r="D1" s="53"/>
      <c r="E1" s="54"/>
      <c r="F1" s="54" t="s">
        <v>5</v>
      </c>
      <c r="G1" s="63" t="s">
        <v>143</v>
      </c>
      <c r="H1" s="55"/>
      <c r="I1" s="54"/>
      <c r="J1" s="55"/>
      <c r="K1" s="54"/>
      <c r="L1" s="55"/>
      <c r="M1" s="54"/>
      <c r="N1" s="55"/>
      <c r="O1" s="54"/>
    </row>
    <row r="2" spans="1:16">
      <c r="A2" s="57"/>
      <c r="B2" s="54"/>
      <c r="C2" s="58"/>
      <c r="D2" s="55"/>
      <c r="E2" s="54"/>
      <c r="F2" s="55"/>
      <c r="G2" s="54"/>
      <c r="H2" s="55"/>
      <c r="I2" s="54"/>
      <c r="J2" s="55"/>
      <c r="K2" s="54"/>
      <c r="L2" s="55"/>
      <c r="M2" s="54"/>
      <c r="N2" s="55"/>
      <c r="O2" s="54"/>
    </row>
    <row r="3" spans="1:16" ht="15.75">
      <c r="A3" s="59" t="s">
        <v>6</v>
      </c>
      <c r="B3" s="54"/>
      <c r="C3" s="58"/>
      <c r="D3" s="55"/>
      <c r="E3" s="54"/>
      <c r="F3" s="55"/>
      <c r="G3" s="54"/>
      <c r="H3" s="55"/>
      <c r="I3" s="54"/>
      <c r="J3" s="55"/>
      <c r="K3" s="54"/>
      <c r="L3" s="55"/>
      <c r="M3" s="54"/>
      <c r="N3" s="55"/>
      <c r="O3" s="54"/>
    </row>
    <row r="4" spans="1:16">
      <c r="A4" s="57" t="s">
        <v>7</v>
      </c>
      <c r="B4" s="60" t="s">
        <v>8</v>
      </c>
      <c r="C4" s="61" t="s">
        <v>9</v>
      </c>
      <c r="D4" s="62" t="s">
        <v>120</v>
      </c>
      <c r="E4" s="63" t="s">
        <v>10</v>
      </c>
      <c r="F4" s="62" t="s">
        <v>11</v>
      </c>
      <c r="G4" s="63" t="s">
        <v>10</v>
      </c>
      <c r="H4" s="62" t="s">
        <v>12</v>
      </c>
      <c r="I4" s="63" t="s">
        <v>10</v>
      </c>
      <c r="J4" s="62" t="s">
        <v>13</v>
      </c>
      <c r="K4" s="63" t="s">
        <v>10</v>
      </c>
      <c r="L4" s="62" t="s">
        <v>123</v>
      </c>
      <c r="M4" s="63" t="s">
        <v>10</v>
      </c>
      <c r="N4" s="62" t="s">
        <v>14</v>
      </c>
      <c r="O4" s="63" t="s">
        <v>10</v>
      </c>
      <c r="P4" s="64"/>
    </row>
    <row r="5" spans="1:16">
      <c r="A5" s="65"/>
      <c r="B5" s="66"/>
      <c r="C5" s="67"/>
      <c r="D5" s="64"/>
      <c r="E5" s="68"/>
      <c r="F5" s="64"/>
      <c r="G5" s="68"/>
      <c r="H5" s="64"/>
      <c r="I5" s="68"/>
      <c r="J5" s="64"/>
      <c r="K5" s="68"/>
      <c r="L5" s="64"/>
      <c r="M5" s="68"/>
      <c r="N5" s="64"/>
      <c r="O5" s="68"/>
      <c r="P5" s="64"/>
    </row>
    <row r="6" spans="1:16">
      <c r="A6" s="69">
        <v>37307</v>
      </c>
      <c r="B6" s="70" t="s">
        <v>15</v>
      </c>
      <c r="C6" s="71">
        <v>573.23</v>
      </c>
      <c r="D6" s="71">
        <v>573.23</v>
      </c>
      <c r="E6" s="72" t="s">
        <v>16</v>
      </c>
      <c r="F6" s="71"/>
      <c r="G6" s="72"/>
      <c r="H6" s="71"/>
      <c r="I6" s="72"/>
      <c r="J6" s="71"/>
      <c r="K6" s="72"/>
      <c r="L6" s="71"/>
      <c r="M6" s="72"/>
      <c r="N6" s="71"/>
      <c r="O6" s="72"/>
    </row>
    <row r="7" spans="1:16">
      <c r="A7" s="69">
        <v>37308</v>
      </c>
      <c r="B7" s="70" t="s">
        <v>15</v>
      </c>
      <c r="C7" s="71">
        <v>290.86</v>
      </c>
      <c r="D7" s="71">
        <v>290.86</v>
      </c>
      <c r="E7" s="72" t="s">
        <v>17</v>
      </c>
      <c r="F7" s="71"/>
      <c r="G7" s="72"/>
      <c r="H7" s="71"/>
      <c r="I7" s="72"/>
      <c r="J7" s="71"/>
      <c r="K7" s="72"/>
      <c r="L7" s="71"/>
      <c r="M7" s="72"/>
      <c r="N7" s="71"/>
      <c r="O7" s="72"/>
    </row>
    <row r="8" spans="1:16">
      <c r="A8" s="69">
        <v>37341</v>
      </c>
      <c r="B8" s="70" t="s">
        <v>18</v>
      </c>
      <c r="C8" s="71">
        <v>150</v>
      </c>
      <c r="D8" s="71">
        <v>150</v>
      </c>
      <c r="E8" s="72" t="s">
        <v>19</v>
      </c>
      <c r="F8" s="71"/>
      <c r="G8" s="72"/>
      <c r="H8" s="71"/>
      <c r="I8" s="72"/>
      <c r="J8" s="71"/>
      <c r="K8" s="72"/>
      <c r="L8" s="71"/>
      <c r="M8" s="72"/>
      <c r="N8" s="71"/>
      <c r="O8" s="72"/>
    </row>
    <row r="9" spans="1:16">
      <c r="A9" s="69">
        <v>37351</v>
      </c>
      <c r="B9" s="70" t="s">
        <v>15</v>
      </c>
      <c r="C9" s="71">
        <v>130</v>
      </c>
      <c r="D9" s="71">
        <v>130</v>
      </c>
      <c r="E9" s="72" t="s">
        <v>20</v>
      </c>
      <c r="F9" s="71"/>
      <c r="G9" s="72"/>
      <c r="H9" s="71"/>
      <c r="I9" s="72"/>
      <c r="J9" s="71"/>
      <c r="K9" s="72"/>
      <c r="L9" s="71"/>
      <c r="M9" s="72"/>
      <c r="N9" s="71"/>
      <c r="O9" s="72"/>
    </row>
    <row r="10" spans="1:16">
      <c r="A10" s="69">
        <v>37355</v>
      </c>
      <c r="B10" s="70" t="s">
        <v>18</v>
      </c>
      <c r="C10" s="71">
        <v>2000</v>
      </c>
      <c r="D10" s="71"/>
      <c r="E10" s="72"/>
      <c r="F10" s="71"/>
      <c r="G10" s="72"/>
      <c r="H10" s="71"/>
      <c r="I10" s="72"/>
      <c r="J10" s="71"/>
      <c r="K10" s="72"/>
      <c r="L10" s="71">
        <v>2000</v>
      </c>
      <c r="M10" s="72" t="s">
        <v>21</v>
      </c>
      <c r="N10" s="71"/>
      <c r="O10" s="72"/>
    </row>
    <row r="11" spans="1:16">
      <c r="A11" s="69">
        <v>37355</v>
      </c>
      <c r="B11" s="70" t="s">
        <v>18</v>
      </c>
      <c r="C11" s="71">
        <v>300</v>
      </c>
      <c r="D11" s="71">
        <v>300</v>
      </c>
      <c r="E11" s="72" t="s">
        <v>22</v>
      </c>
      <c r="F11" s="71"/>
      <c r="G11" s="72"/>
      <c r="H11" s="71"/>
      <c r="I11" s="72"/>
      <c r="J11" s="71"/>
      <c r="K11" s="72"/>
      <c r="L11" s="71"/>
      <c r="M11" s="72"/>
      <c r="N11" s="71">
        <v>14</v>
      </c>
      <c r="O11" s="72" t="s">
        <v>23</v>
      </c>
    </row>
    <row r="12" spans="1:16">
      <c r="A12" s="69">
        <v>37355</v>
      </c>
      <c r="B12" s="70" t="s">
        <v>18</v>
      </c>
      <c r="C12" s="71">
        <v>14</v>
      </c>
      <c r="D12" s="71"/>
      <c r="E12" s="72"/>
      <c r="F12" s="71"/>
      <c r="G12" s="72"/>
      <c r="H12" s="71"/>
      <c r="I12" s="72"/>
      <c r="J12" s="71"/>
      <c r="K12" s="72"/>
      <c r="L12" s="71"/>
      <c r="M12" s="72"/>
      <c r="N12" s="71"/>
      <c r="O12" s="72"/>
    </row>
    <row r="13" spans="1:16">
      <c r="A13" s="69">
        <v>37355</v>
      </c>
      <c r="B13" s="70" t="s">
        <v>15</v>
      </c>
      <c r="C13" s="71">
        <v>150</v>
      </c>
      <c r="D13" s="71">
        <v>150</v>
      </c>
      <c r="E13" s="72" t="s">
        <v>24</v>
      </c>
      <c r="F13" s="71"/>
      <c r="G13" s="72"/>
      <c r="H13" s="71"/>
      <c r="I13" s="72"/>
      <c r="J13" s="71"/>
      <c r="K13" s="72"/>
      <c r="L13" s="71"/>
      <c r="M13" s="72"/>
      <c r="N13" s="71"/>
      <c r="O13" s="72"/>
    </row>
    <row r="14" spans="1:16">
      <c r="A14" s="69">
        <v>37356</v>
      </c>
      <c r="B14" s="70" t="s">
        <v>15</v>
      </c>
      <c r="C14" s="71">
        <v>300</v>
      </c>
      <c r="D14" s="71">
        <v>300</v>
      </c>
      <c r="E14" s="72" t="s">
        <v>25</v>
      </c>
      <c r="F14" s="71"/>
      <c r="G14" s="72"/>
      <c r="H14" s="71"/>
      <c r="I14" s="72"/>
      <c r="J14" s="71"/>
      <c r="K14" s="72"/>
      <c r="L14" s="71"/>
      <c r="M14" s="72"/>
      <c r="N14" s="71"/>
      <c r="O14" s="72"/>
    </row>
    <row r="15" spans="1:16">
      <c r="A15" s="69">
        <v>37356</v>
      </c>
      <c r="B15" s="70" t="s">
        <v>15</v>
      </c>
      <c r="C15" s="71">
        <v>75</v>
      </c>
      <c r="D15" s="71">
        <v>75</v>
      </c>
      <c r="E15" s="72" t="s">
        <v>26</v>
      </c>
      <c r="F15" s="71"/>
      <c r="G15" s="72"/>
      <c r="H15" s="71"/>
      <c r="I15" s="72"/>
      <c r="J15" s="71"/>
      <c r="K15" s="72"/>
      <c r="L15" s="71"/>
      <c r="M15" s="72"/>
      <c r="N15" s="71"/>
      <c r="O15" s="72"/>
    </row>
    <row r="16" spans="1:16">
      <c r="A16" s="69">
        <v>37364</v>
      </c>
      <c r="B16" s="70" t="s">
        <v>18</v>
      </c>
      <c r="C16" s="71">
        <v>150</v>
      </c>
      <c r="D16" s="71">
        <v>150</v>
      </c>
      <c r="E16" s="72" t="s">
        <v>27</v>
      </c>
      <c r="F16" s="71"/>
      <c r="G16" s="72"/>
      <c r="H16" s="71"/>
      <c r="I16" s="72"/>
      <c r="J16" s="71"/>
      <c r="K16" s="72"/>
      <c r="L16" s="71"/>
      <c r="M16" s="72"/>
      <c r="N16" s="71"/>
      <c r="O16" s="72"/>
    </row>
    <row r="17" spans="1:15">
      <c r="A17" s="69">
        <v>37364</v>
      </c>
      <c r="B17" s="70" t="s">
        <v>18</v>
      </c>
      <c r="C17" s="71">
        <v>250</v>
      </c>
      <c r="D17" s="71">
        <v>250</v>
      </c>
      <c r="E17" s="72" t="s">
        <v>28</v>
      </c>
      <c r="F17" s="71"/>
      <c r="G17" s="72"/>
      <c r="H17" s="71"/>
      <c r="I17" s="72"/>
      <c r="J17" s="71"/>
      <c r="K17" s="72"/>
      <c r="L17" s="71"/>
      <c r="M17" s="72"/>
      <c r="N17" s="71"/>
      <c r="O17" s="72"/>
    </row>
    <row r="18" spans="1:15">
      <c r="A18" s="69">
        <v>37369</v>
      </c>
      <c r="B18" s="70" t="s">
        <v>18</v>
      </c>
      <c r="C18" s="71">
        <v>150</v>
      </c>
      <c r="D18" s="71">
        <v>150</v>
      </c>
      <c r="E18" s="72" t="s">
        <v>29</v>
      </c>
      <c r="F18" s="71"/>
      <c r="G18" s="72"/>
      <c r="H18" s="71"/>
      <c r="I18" s="72"/>
      <c r="J18" s="71"/>
      <c r="K18" s="72"/>
      <c r="L18" s="71"/>
      <c r="M18" s="72"/>
      <c r="N18" s="71"/>
      <c r="O18" s="72"/>
    </row>
    <row r="19" spans="1:15">
      <c r="A19" s="69">
        <v>37369</v>
      </c>
      <c r="B19" s="70" t="s">
        <v>18</v>
      </c>
      <c r="C19" s="71">
        <v>150</v>
      </c>
      <c r="D19" s="71">
        <v>150</v>
      </c>
      <c r="E19" s="72" t="s">
        <v>30</v>
      </c>
      <c r="F19" s="71"/>
      <c r="G19" s="72"/>
      <c r="H19" s="71"/>
      <c r="I19" s="72"/>
      <c r="J19" s="71"/>
      <c r="K19" s="72"/>
      <c r="L19" s="71"/>
      <c r="M19" s="72"/>
      <c r="N19" s="71"/>
      <c r="O19" s="72"/>
    </row>
    <row r="20" spans="1:15">
      <c r="A20" s="69">
        <v>37369</v>
      </c>
      <c r="B20" s="70" t="s">
        <v>18</v>
      </c>
      <c r="C20" s="71">
        <v>150</v>
      </c>
      <c r="D20" s="71">
        <v>150</v>
      </c>
      <c r="E20" s="72" t="s">
        <v>31</v>
      </c>
      <c r="F20" s="71"/>
      <c r="G20" s="72"/>
      <c r="H20" s="71"/>
      <c r="I20" s="72"/>
      <c r="J20" s="71"/>
      <c r="K20" s="72"/>
      <c r="L20" s="71"/>
      <c r="M20" s="72"/>
      <c r="N20" s="71"/>
      <c r="O20" s="72"/>
    </row>
    <row r="21" spans="1:15">
      <c r="A21" s="69">
        <v>37370</v>
      </c>
      <c r="B21" s="70" t="s">
        <v>15</v>
      </c>
      <c r="C21" s="71">
        <v>150</v>
      </c>
      <c r="D21" s="71">
        <v>150</v>
      </c>
      <c r="E21" s="72" t="s">
        <v>32</v>
      </c>
      <c r="F21" s="71"/>
      <c r="G21" s="72"/>
      <c r="H21" s="71"/>
      <c r="I21" s="72"/>
      <c r="J21" s="71"/>
      <c r="K21" s="72"/>
      <c r="L21" s="71"/>
      <c r="M21" s="72"/>
      <c r="N21" s="71"/>
      <c r="O21" s="72"/>
    </row>
    <row r="22" spans="1:15">
      <c r="A22" s="69">
        <v>37377</v>
      </c>
      <c r="B22" s="70" t="s">
        <v>15</v>
      </c>
      <c r="C22" s="71">
        <v>300</v>
      </c>
      <c r="D22" s="71">
        <v>300</v>
      </c>
      <c r="E22" s="72" t="s">
        <v>33</v>
      </c>
      <c r="F22" s="71"/>
      <c r="G22" s="72"/>
      <c r="H22" s="71"/>
      <c r="I22" s="72"/>
      <c r="J22" s="71"/>
      <c r="K22" s="72"/>
      <c r="L22" s="71"/>
      <c r="M22" s="72"/>
      <c r="N22" s="71"/>
      <c r="O22" s="72"/>
    </row>
    <row r="23" spans="1:15">
      <c r="A23" s="69">
        <v>37378</v>
      </c>
      <c r="B23" s="70" t="s">
        <v>15</v>
      </c>
      <c r="C23" s="71">
        <v>150</v>
      </c>
      <c r="D23" s="71">
        <v>150</v>
      </c>
      <c r="E23" s="72" t="s">
        <v>34</v>
      </c>
      <c r="F23" s="71"/>
      <c r="G23" s="72"/>
      <c r="H23" s="71"/>
      <c r="I23" s="72"/>
      <c r="J23" s="71"/>
      <c r="K23" s="72"/>
      <c r="L23" s="71"/>
      <c r="M23" s="72"/>
      <c r="N23" s="71"/>
      <c r="O23" s="72"/>
    </row>
    <row r="24" spans="1:15">
      <c r="A24" s="69">
        <v>37378</v>
      </c>
      <c r="B24" s="70" t="s">
        <v>15</v>
      </c>
      <c r="C24" s="71">
        <v>125</v>
      </c>
      <c r="D24" s="71">
        <v>125</v>
      </c>
      <c r="E24" s="72" t="s">
        <v>35</v>
      </c>
      <c r="F24" s="71"/>
      <c r="G24" s="72"/>
      <c r="H24" s="71"/>
      <c r="I24" s="72"/>
      <c r="J24" s="71"/>
      <c r="K24" s="72"/>
      <c r="L24" s="71"/>
      <c r="M24" s="72"/>
      <c r="N24" s="71"/>
      <c r="O24" s="72"/>
    </row>
    <row r="25" spans="1:15">
      <c r="A25" s="69">
        <v>37385</v>
      </c>
      <c r="B25" s="70" t="s">
        <v>18</v>
      </c>
      <c r="C25" s="71">
        <v>150</v>
      </c>
      <c r="D25" s="71">
        <v>150</v>
      </c>
      <c r="E25" s="72" t="s">
        <v>36</v>
      </c>
      <c r="F25" s="71"/>
      <c r="G25" s="72"/>
      <c r="H25" s="71"/>
      <c r="I25" s="72"/>
      <c r="J25" s="71"/>
      <c r="K25" s="72"/>
      <c r="L25" s="71"/>
      <c r="M25" s="72"/>
      <c r="N25" s="71"/>
      <c r="O25" s="72"/>
    </row>
    <row r="26" spans="1:15">
      <c r="A26" s="69">
        <v>37389</v>
      </c>
      <c r="B26" s="70" t="s">
        <v>18</v>
      </c>
      <c r="C26" s="71">
        <v>150</v>
      </c>
      <c r="D26" s="71">
        <v>150</v>
      </c>
      <c r="E26" s="72" t="s">
        <v>37</v>
      </c>
      <c r="F26" s="71"/>
      <c r="G26" s="72"/>
      <c r="H26" s="71"/>
      <c r="I26" s="72"/>
      <c r="J26" s="71"/>
      <c r="K26" s="72"/>
      <c r="L26" s="71"/>
      <c r="M26" s="72"/>
      <c r="N26" s="71"/>
      <c r="O26" s="72"/>
    </row>
    <row r="27" spans="1:15">
      <c r="A27" s="69">
        <v>37392</v>
      </c>
      <c r="B27" s="70" t="s">
        <v>15</v>
      </c>
      <c r="C27" s="71">
        <v>150</v>
      </c>
      <c r="D27" s="71">
        <v>150</v>
      </c>
      <c r="E27" s="72" t="s">
        <v>38</v>
      </c>
      <c r="F27" s="71"/>
      <c r="G27" s="72"/>
      <c r="H27" s="71"/>
      <c r="I27" s="72"/>
      <c r="J27" s="71"/>
      <c r="K27" s="72"/>
      <c r="L27" s="71"/>
      <c r="M27" s="72"/>
      <c r="N27" s="71"/>
      <c r="O27" s="72"/>
    </row>
    <row r="28" spans="1:15">
      <c r="A28" s="69">
        <v>37396</v>
      </c>
      <c r="B28" s="70" t="s">
        <v>18</v>
      </c>
      <c r="C28" s="71">
        <v>5000</v>
      </c>
      <c r="D28" s="71"/>
      <c r="E28" s="72"/>
      <c r="F28" s="71"/>
      <c r="G28" s="72"/>
      <c r="H28" s="71"/>
      <c r="I28" s="72"/>
      <c r="J28" s="71"/>
      <c r="K28" s="72"/>
      <c r="L28" s="71"/>
      <c r="M28" s="72"/>
      <c r="N28" s="71">
        <v>5000</v>
      </c>
      <c r="O28" s="72" t="s">
        <v>39</v>
      </c>
    </row>
    <row r="29" spans="1:15">
      <c r="A29" s="69">
        <v>37407</v>
      </c>
      <c r="B29" s="70" t="s">
        <v>18</v>
      </c>
      <c r="C29" s="71">
        <v>250</v>
      </c>
      <c r="D29" s="71">
        <v>250</v>
      </c>
      <c r="E29" s="72" t="s">
        <v>40</v>
      </c>
      <c r="F29" s="71"/>
      <c r="G29" s="72"/>
      <c r="H29" s="71"/>
      <c r="I29" s="72"/>
      <c r="J29" s="71"/>
      <c r="K29" s="72"/>
      <c r="L29" s="71"/>
      <c r="M29" s="72"/>
      <c r="N29" s="71"/>
      <c r="O29" s="72"/>
    </row>
    <row r="30" spans="1:15">
      <c r="A30" s="69">
        <v>37407</v>
      </c>
      <c r="B30" s="70" t="s">
        <v>15</v>
      </c>
      <c r="C30" s="71">
        <v>150</v>
      </c>
      <c r="D30" s="71">
        <v>150</v>
      </c>
      <c r="E30" s="72" t="s">
        <v>41</v>
      </c>
      <c r="F30" s="71"/>
      <c r="G30" s="72"/>
      <c r="H30" s="71"/>
      <c r="I30" s="72"/>
      <c r="J30" s="71"/>
      <c r="K30" s="72"/>
      <c r="L30" s="71"/>
      <c r="M30" s="72"/>
      <c r="N30" s="71"/>
      <c r="O30" s="72"/>
    </row>
    <row r="31" spans="1:15">
      <c r="A31" s="69">
        <v>37414</v>
      </c>
      <c r="B31" s="70" t="s">
        <v>18</v>
      </c>
      <c r="C31" s="71">
        <v>300</v>
      </c>
      <c r="D31" s="71">
        <v>300</v>
      </c>
      <c r="E31" s="72" t="s">
        <v>42</v>
      </c>
      <c r="F31" s="71"/>
      <c r="G31" s="72"/>
      <c r="H31" s="71"/>
      <c r="I31" s="72"/>
      <c r="J31" s="71"/>
      <c r="K31" s="72"/>
      <c r="L31" s="71"/>
      <c r="M31" s="72"/>
      <c r="N31" s="71"/>
      <c r="O31" s="72"/>
    </row>
    <row r="32" spans="1:15">
      <c r="A32" s="69">
        <v>37414</v>
      </c>
      <c r="B32" s="70" t="s">
        <v>18</v>
      </c>
      <c r="C32" s="71">
        <v>150</v>
      </c>
      <c r="D32" s="71">
        <v>150</v>
      </c>
      <c r="E32" s="72" t="s">
        <v>43</v>
      </c>
      <c r="F32" s="71"/>
      <c r="G32" s="72"/>
      <c r="H32" s="71"/>
      <c r="I32" s="72"/>
      <c r="J32" s="71"/>
      <c r="K32" s="72"/>
      <c r="L32" s="71"/>
      <c r="M32" s="72"/>
      <c r="N32" s="71"/>
      <c r="O32" s="72"/>
    </row>
    <row r="33" spans="1:16">
      <c r="A33" s="69">
        <v>37418</v>
      </c>
      <c r="B33" s="70" t="s">
        <v>15</v>
      </c>
      <c r="C33" s="71">
        <v>150</v>
      </c>
      <c r="D33" s="71">
        <v>150</v>
      </c>
      <c r="E33" s="72" t="s">
        <v>44</v>
      </c>
      <c r="F33" s="71"/>
      <c r="G33" s="72"/>
      <c r="H33" s="71"/>
      <c r="I33" s="72"/>
      <c r="J33" s="71"/>
      <c r="K33" s="72"/>
      <c r="L33" s="71"/>
      <c r="M33" s="72"/>
      <c r="N33" s="71"/>
      <c r="O33" s="72"/>
    </row>
    <row r="34" spans="1:16">
      <c r="A34" s="69">
        <v>37427</v>
      </c>
      <c r="B34" s="70" t="s">
        <v>15</v>
      </c>
      <c r="C34" s="71">
        <v>135</v>
      </c>
      <c r="D34" s="71">
        <v>135</v>
      </c>
      <c r="E34" s="72" t="s">
        <v>45</v>
      </c>
      <c r="F34" s="71"/>
      <c r="G34" s="72"/>
      <c r="H34" s="71"/>
      <c r="I34" s="72"/>
      <c r="J34" s="71"/>
      <c r="K34" s="72"/>
      <c r="L34" s="71"/>
      <c r="M34" s="72"/>
      <c r="N34" s="71"/>
      <c r="O34" s="72"/>
    </row>
    <row r="35" spans="1:16">
      <c r="A35" s="69">
        <v>37442</v>
      </c>
      <c r="B35" s="70" t="s">
        <v>15</v>
      </c>
      <c r="C35" s="71">
        <v>75</v>
      </c>
      <c r="D35" s="71">
        <v>75</v>
      </c>
      <c r="E35" s="72" t="s">
        <v>46</v>
      </c>
      <c r="F35" s="71"/>
      <c r="G35" s="72"/>
      <c r="H35" s="71"/>
      <c r="I35" s="72"/>
      <c r="J35" s="71"/>
      <c r="K35" s="72"/>
      <c r="L35" s="71"/>
      <c r="M35" s="72"/>
      <c r="N35" s="71"/>
      <c r="O35" s="72"/>
    </row>
    <row r="36" spans="1:16">
      <c r="A36" s="69">
        <v>37468</v>
      </c>
      <c r="B36" s="68" t="s">
        <v>15</v>
      </c>
      <c r="C36" s="71">
        <v>1360</v>
      </c>
      <c r="D36" s="71"/>
      <c r="E36" s="72"/>
      <c r="F36" s="71"/>
      <c r="G36" s="72"/>
      <c r="H36" s="71">
        <v>1360</v>
      </c>
      <c r="I36" s="74" t="s">
        <v>48</v>
      </c>
      <c r="J36" s="71"/>
      <c r="K36" s="72"/>
      <c r="L36" s="71"/>
      <c r="M36" s="72"/>
      <c r="N36" s="71"/>
      <c r="O36" s="72"/>
    </row>
    <row r="37" spans="1:16">
      <c r="A37" s="69">
        <v>37519</v>
      </c>
      <c r="B37" s="68" t="s">
        <v>18</v>
      </c>
      <c r="C37" s="71">
        <v>3000</v>
      </c>
      <c r="D37" s="71"/>
      <c r="E37" s="72"/>
      <c r="F37" s="71"/>
      <c r="G37" s="72"/>
      <c r="H37" s="71"/>
      <c r="I37" s="74"/>
      <c r="J37" s="71"/>
      <c r="K37" s="72"/>
      <c r="L37" s="71">
        <v>3000</v>
      </c>
      <c r="M37" s="74" t="s">
        <v>49</v>
      </c>
      <c r="N37" s="71"/>
      <c r="O37" s="72"/>
    </row>
    <row r="38" spans="1:16">
      <c r="A38" s="69">
        <v>37586</v>
      </c>
      <c r="B38" s="68" t="s">
        <v>18</v>
      </c>
      <c r="C38" s="71">
        <v>150</v>
      </c>
      <c r="D38" s="71">
        <v>150</v>
      </c>
      <c r="E38" s="74" t="s">
        <v>50</v>
      </c>
      <c r="F38" s="71"/>
      <c r="G38" s="72"/>
      <c r="H38" s="71"/>
      <c r="I38" s="74"/>
      <c r="J38" s="71"/>
      <c r="K38" s="72"/>
      <c r="L38" s="71"/>
      <c r="M38" s="74"/>
      <c r="N38" s="71"/>
      <c r="O38" s="72"/>
    </row>
    <row r="39" spans="1:16">
      <c r="A39" s="69">
        <v>37599</v>
      </c>
      <c r="B39" s="68" t="s">
        <v>18</v>
      </c>
      <c r="C39" s="71">
        <v>15000</v>
      </c>
      <c r="D39" s="71"/>
      <c r="E39" s="74"/>
      <c r="F39" s="71"/>
      <c r="G39" s="72"/>
      <c r="H39" s="71">
        <v>15000</v>
      </c>
      <c r="I39" s="74" t="s">
        <v>51</v>
      </c>
      <c r="J39" s="71"/>
      <c r="K39" s="72"/>
      <c r="L39" s="71"/>
      <c r="M39" s="74"/>
      <c r="N39" s="71"/>
      <c r="O39" s="72"/>
    </row>
    <row r="40" spans="1:16">
      <c r="A40" s="69">
        <v>37621</v>
      </c>
      <c r="B40" s="68" t="s">
        <v>18</v>
      </c>
      <c r="C40" s="71">
        <v>506</v>
      </c>
      <c r="D40" s="71"/>
      <c r="E40" s="74"/>
      <c r="F40" s="71"/>
      <c r="G40" s="72"/>
      <c r="H40" s="71"/>
      <c r="I40" s="74"/>
      <c r="J40" s="71"/>
      <c r="K40" s="72"/>
      <c r="L40" s="71">
        <v>506</v>
      </c>
      <c r="M40" s="74" t="s">
        <v>52</v>
      </c>
      <c r="N40" s="71"/>
      <c r="O40" s="72"/>
    </row>
    <row r="41" spans="1:16">
      <c r="A41" s="69">
        <v>37621</v>
      </c>
      <c r="B41" s="68" t="s">
        <v>15</v>
      </c>
      <c r="C41" s="71">
        <v>340.16</v>
      </c>
      <c r="D41" s="71"/>
      <c r="E41" s="74"/>
      <c r="F41" s="71"/>
      <c r="G41" s="72"/>
      <c r="H41" s="71"/>
      <c r="I41" s="74"/>
      <c r="J41" s="71">
        <v>340.16</v>
      </c>
      <c r="K41" s="74" t="s">
        <v>142</v>
      </c>
      <c r="L41" s="71"/>
      <c r="M41" s="74"/>
      <c r="N41" s="71"/>
      <c r="O41" s="72"/>
    </row>
    <row r="42" spans="1:16">
      <c r="D42" s="71"/>
      <c r="E42" s="72"/>
      <c r="F42" s="71"/>
      <c r="G42" s="72"/>
      <c r="H42" s="71"/>
      <c r="I42" s="72"/>
      <c r="J42" s="71"/>
      <c r="K42" s="72"/>
      <c r="L42" s="71"/>
      <c r="M42" s="72"/>
      <c r="N42" s="71"/>
      <c r="O42" s="72"/>
    </row>
    <row r="43" spans="1:16" ht="15.75">
      <c r="A43" s="59" t="s">
        <v>47</v>
      </c>
      <c r="B43" s="54"/>
      <c r="C43" s="58">
        <f>SUM(C6:C42)</f>
        <v>32574.25</v>
      </c>
      <c r="D43" s="58">
        <f>SUM(D6:D42)</f>
        <v>5354.09</v>
      </c>
      <c r="E43" s="73"/>
      <c r="F43" s="58">
        <f>SUM(F6:F42)</f>
        <v>0</v>
      </c>
      <c r="G43" s="73"/>
      <c r="H43" s="58">
        <f>SUM(H6:H42)</f>
        <v>16360</v>
      </c>
      <c r="I43" s="73"/>
      <c r="J43" s="58">
        <f>SUM(J6:J42)</f>
        <v>340.16</v>
      </c>
      <c r="K43" s="73"/>
      <c r="L43" s="58">
        <f>SUM(L6:L42)</f>
        <v>5506</v>
      </c>
      <c r="M43" s="73"/>
      <c r="N43" s="58">
        <f>SUM(N6:N42)</f>
        <v>5014</v>
      </c>
      <c r="O43" s="73"/>
      <c r="P43" s="71"/>
    </row>
    <row r="44" spans="1:16">
      <c r="D44" s="71"/>
      <c r="E44" s="72"/>
      <c r="F44" s="71"/>
      <c r="G44" s="72"/>
      <c r="H44" s="71"/>
      <c r="I44" s="72"/>
      <c r="J44" s="71"/>
      <c r="K44" s="72"/>
      <c r="L44" s="71"/>
      <c r="M44" s="72"/>
      <c r="N44" s="71"/>
      <c r="O44" s="72"/>
    </row>
    <row r="45" spans="1:16">
      <c r="B45" s="68"/>
      <c r="C45" s="75"/>
      <c r="L45" s="71"/>
      <c r="N45" s="71"/>
    </row>
  </sheetData>
  <phoneticPr fontId="0" type="noConversion"/>
  <pageMargins left="0.78740157499999996" right="0.78740157499999996" top="0.984251969" bottom="0.984251969" header="0.5" footer="0.5"/>
  <pageSetup scale="61" orientation="landscape"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Financial summary</vt:lpstr>
      <vt:lpstr>Balance Sheet</vt:lpstr>
      <vt:lpstr>Stork - 2002 Expenditures</vt:lpstr>
      <vt:lpstr>Stork - 2002 Receipts</vt:lpstr>
      <vt:lpstr>'Financial summary'!Druckbereich</vt:lpstr>
      <vt:lpstr>'Balance Sheet'!Drucktitel</vt:lpstr>
      <vt:lpstr>'Financial summary'!Drucktitel</vt:lpstr>
    </vt:vector>
  </TitlesOfParts>
  <Company>QDC Business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Jalovaara</dc:creator>
  <cp:lastModifiedBy>Kaufmann Timon</cp:lastModifiedBy>
  <cp:lastPrinted>2003-07-04T01:10:20Z</cp:lastPrinted>
  <dcterms:created xsi:type="dcterms:W3CDTF">2003-06-30T07:14:27Z</dcterms:created>
  <dcterms:modified xsi:type="dcterms:W3CDTF">2026-03-11T23:07:15Z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427186504</vt:i4>
  </property>
  <property fmtid="{D5CDD505-2E9C-101B-9397-08002B2CF9AE}" pid="3" name="_EmailSubject">
    <vt:lpwstr>[WFDFMemberLink] Congress at World Disc Games</vt:lpwstr>
  </property>
  <property fmtid="{D5CDD505-2E9C-101B-9397-08002B2CF9AE}" pid="4" name="_AuthorEmail">
    <vt:lpwstr>juha.jalovaara@qdc.fi</vt:lpwstr>
  </property>
  <property fmtid="{D5CDD505-2E9C-101B-9397-08002B2CF9AE}" pid="5" name="_AuthorEmailDisplayName">
    <vt:lpwstr>Juha Jalovaara</vt:lpwstr>
  </property>
  <property fmtid="{D5CDD505-2E9C-101B-9397-08002B2CF9AE}" pid="6" name="_PreviousAdHocReviewCycleID">
    <vt:i4>-106177824</vt:i4>
  </property>
  <property fmtid="{D5CDD505-2E9C-101B-9397-08002B2CF9AE}" pid="7" name="_ReviewingToolsShownOnce">
    <vt:lpwstr/>
  </property>
</Properties>
</file>